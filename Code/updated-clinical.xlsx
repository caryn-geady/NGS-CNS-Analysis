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https://universityhealthnetwork-my.sharepoint.com/personal/kevinxin_wang_uhn_ca/Documents/Research/CNS/Projects/CNS_NGS/CNS registry/"/>
    </mc:Choice>
  </mc:AlternateContent>
  <xr:revisionPtr revIDLastSave="6" documentId="8_{B3A04677-CF7C-F341-9E7E-20F06481657E}" xr6:coauthVersionLast="47" xr6:coauthVersionMax="47" xr10:uidLastSave="{AD8F6497-2F55-2042-8DCF-49CD5F7F6259}"/>
  <bookViews>
    <workbookView xWindow="0" yWindow="680" windowWidth="30240" windowHeight="18960" activeTab="1" xr2:uid="{00000000-000D-0000-FFFF-FFFF00000000}"/>
  </bookViews>
  <sheets>
    <sheet name="NGS Data" sheetId="1" r:id="rId1"/>
    <sheet name="Clinical Data" sheetId="2" r:id="rId2"/>
    <sheet name="NGS Mutations Organize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70P0ntcZ60kH9uR6KB+amO0nRQP/5pgcMsMp0EMdJaw="/>
    </ext>
  </extLst>
</workbook>
</file>

<file path=xl/calcChain.xml><?xml version="1.0" encoding="utf-8"?>
<calcChain xmlns="http://schemas.openxmlformats.org/spreadsheetml/2006/main">
  <c r="I46" i="1" l="1"/>
  <c r="J46" i="1" s="1"/>
  <c r="AY289" i="2"/>
  <c r="AX289" i="2"/>
  <c r="AW289" i="2"/>
  <c r="AY288" i="2"/>
  <c r="AX288" i="2"/>
  <c r="AW288" i="2"/>
  <c r="AY287" i="2"/>
  <c r="AX287" i="2"/>
  <c r="AW287" i="2"/>
  <c r="AH287" i="2"/>
  <c r="G287" i="2"/>
  <c r="BQ286" i="2"/>
  <c r="BE286" i="2"/>
  <c r="AY286" i="2"/>
  <c r="AX286" i="2"/>
  <c r="AW286" i="2"/>
  <c r="AH286" i="2"/>
  <c r="G286" i="2"/>
  <c r="BQ285" i="2"/>
  <c r="BE285" i="2"/>
  <c r="AY285" i="2"/>
  <c r="AX285" i="2"/>
  <c r="AW285" i="2"/>
  <c r="AH285" i="2"/>
  <c r="G285" i="2"/>
  <c r="F285" i="2"/>
  <c r="E285" i="2"/>
  <c r="BQ284" i="2"/>
  <c r="BE284" i="2"/>
  <c r="AY284" i="2"/>
  <c r="AX284" i="2"/>
  <c r="AW284" i="2"/>
  <c r="AR284" i="2"/>
  <c r="AQ284" i="2"/>
  <c r="AP284" i="2"/>
  <c r="AO284" i="2"/>
  <c r="AN284" i="2"/>
  <c r="AM284" i="2"/>
  <c r="AL284" i="2"/>
  <c r="AK284" i="2"/>
  <c r="AJ284" i="2"/>
  <c r="AH284" i="2"/>
  <c r="AG284" i="2"/>
  <c r="AE284" i="2"/>
  <c r="AD284" i="2"/>
  <c r="AC284" i="2"/>
  <c r="AB284" i="2"/>
  <c r="AA284" i="2"/>
  <c r="Z284" i="2"/>
  <c r="Y284" i="2"/>
  <c r="X284" i="2"/>
  <c r="W284" i="2"/>
  <c r="V284" i="2"/>
  <c r="U284" i="2"/>
  <c r="T284" i="2"/>
  <c r="S284" i="2"/>
  <c r="R284" i="2"/>
  <c r="Q284" i="2"/>
  <c r="P284" i="2"/>
  <c r="O284" i="2"/>
  <c r="N284" i="2"/>
  <c r="M284" i="2"/>
  <c r="G284" i="2"/>
  <c r="F284" i="2"/>
  <c r="E284" i="2"/>
  <c r="D284" i="2"/>
  <c r="I285" i="1"/>
  <c r="J285" i="1" s="1"/>
  <c r="I284" i="1"/>
  <c r="J284" i="1" s="1"/>
  <c r="J283" i="1"/>
  <c r="I283" i="1"/>
  <c r="J282" i="1"/>
  <c r="I282" i="1"/>
  <c r="J281" i="1"/>
  <c r="I281" i="1"/>
  <c r="I280" i="1"/>
  <c r="J280" i="1" s="1"/>
  <c r="I279" i="1"/>
  <c r="J279" i="1" s="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I53" i="1"/>
  <c r="J53" i="1" s="1"/>
  <c r="I52" i="1"/>
  <c r="J52" i="1" s="1"/>
  <c r="I51" i="1"/>
  <c r="J51" i="1" s="1"/>
  <c r="I50" i="1"/>
  <c r="J50" i="1" s="1"/>
  <c r="I49" i="1"/>
  <c r="J49" i="1" s="1"/>
  <c r="I48" i="1"/>
  <c r="J48" i="1" s="1"/>
  <c r="I47" i="1"/>
  <c r="J47" i="1" s="1"/>
  <c r="I45" i="1"/>
  <c r="J45" i="1" s="1"/>
  <c r="I44" i="1"/>
  <c r="J44" i="1" s="1"/>
  <c r="I43" i="1"/>
  <c r="J43" i="1" s="1"/>
  <c r="I42" i="1"/>
  <c r="J42" i="1" s="1"/>
  <c r="I41" i="1"/>
  <c r="J41" i="1" s="1"/>
  <c r="I40" i="1"/>
  <c r="J40" i="1" s="1"/>
  <c r="I39" i="1"/>
  <c r="J39" i="1" s="1"/>
  <c r="AC38" i="1"/>
  <c r="J38" i="1"/>
  <c r="I38" i="1"/>
  <c r="S37" i="1"/>
  <c r="I37" i="1"/>
  <c r="J37" i="1" s="1"/>
  <c r="I36" i="1"/>
  <c r="J36" i="1" s="1"/>
  <c r="I35" i="1"/>
  <c r="J35" i="1" s="1"/>
  <c r="I34" i="1"/>
  <c r="J34" i="1" s="1"/>
  <c r="I33" i="1"/>
  <c r="J33" i="1" s="1"/>
  <c r="I32" i="1"/>
  <c r="J32" i="1" s="1"/>
  <c r="I31" i="1"/>
  <c r="J31" i="1" s="1"/>
  <c r="I30" i="1"/>
  <c r="J30" i="1" s="1"/>
  <c r="I29" i="1"/>
  <c r="J29" i="1" s="1"/>
  <c r="I28" i="1"/>
  <c r="J28" i="1" s="1"/>
  <c r="I27" i="1"/>
  <c r="J27" i="1" s="1"/>
  <c r="I26" i="1"/>
  <c r="J26" i="1" s="1"/>
  <c r="I25" i="1"/>
  <c r="J25" i="1" s="1"/>
  <c r="I24" i="1"/>
  <c r="J24" i="1" s="1"/>
  <c r="I23" i="1"/>
  <c r="J23" i="1" s="1"/>
  <c r="I22" i="1"/>
  <c r="J22" i="1" s="1"/>
  <c r="I21" i="1"/>
  <c r="J21" i="1" s="1"/>
  <c r="I20" i="1"/>
  <c r="J20" i="1" s="1"/>
  <c r="I19" i="1"/>
  <c r="J19" i="1" s="1"/>
  <c r="I18" i="1"/>
  <c r="J18" i="1" s="1"/>
  <c r="I17" i="1"/>
  <c r="J17" i="1" s="1"/>
  <c r="I16" i="1"/>
  <c r="J16" i="1" s="1"/>
  <c r="I15" i="1"/>
  <c r="J15" i="1" s="1"/>
  <c r="I14" i="1"/>
  <c r="J14" i="1" s="1"/>
  <c r="I13" i="1"/>
  <c r="J13" i="1" s="1"/>
  <c r="I12" i="1"/>
  <c r="J12" i="1" s="1"/>
  <c r="I11" i="1"/>
  <c r="J11" i="1" s="1"/>
  <c r="I10" i="1"/>
  <c r="J10" i="1" s="1"/>
  <c r="I9" i="1"/>
  <c r="J9" i="1" s="1"/>
  <c r="I8" i="1"/>
  <c r="J8" i="1" s="1"/>
  <c r="I7" i="1"/>
  <c r="J7" i="1" s="1"/>
  <c r="I6" i="1"/>
  <c r="J6" i="1" s="1"/>
  <c r="I5" i="1"/>
  <c r="J5" i="1" s="1"/>
  <c r="I4" i="1"/>
  <c r="J4" i="1" s="1"/>
  <c r="I3" i="1"/>
  <c r="J3" i="1" s="1"/>
  <c r="I2" i="1"/>
  <c r="J2" i="1" s="1"/>
</calcChain>
</file>

<file path=xl/sharedStrings.xml><?xml version="1.0" encoding="utf-8"?>
<sst xmlns="http://schemas.openxmlformats.org/spreadsheetml/2006/main" count="31437" uniqueCount="2944">
  <si>
    <t>Database_ID</t>
  </si>
  <si>
    <t>Copath #</t>
  </si>
  <si>
    <t>Chart complete</t>
  </si>
  <si>
    <t>MRN</t>
  </si>
  <si>
    <t>Evoq Patient?</t>
  </si>
  <si>
    <t>Sex</t>
  </si>
  <si>
    <t>Age_onset</t>
  </si>
  <si>
    <t>Age_dx/sx</t>
  </si>
  <si>
    <t>&lt;40</t>
  </si>
  <si>
    <t>LEAT</t>
  </si>
  <si>
    <t>Diffuse</t>
  </si>
  <si>
    <t>Date Sx</t>
  </si>
  <si>
    <t>DOB</t>
  </si>
  <si>
    <t>Location</t>
  </si>
  <si>
    <t>Histology</t>
  </si>
  <si>
    <t>Recurrent?</t>
  </si>
  <si>
    <t>Notes</t>
  </si>
  <si>
    <t>MGMT</t>
  </si>
  <si>
    <t>H3 K27M</t>
  </si>
  <si>
    <t>IDH IHC</t>
  </si>
  <si>
    <t>BRAF IHC</t>
  </si>
  <si>
    <t>ATRX IHC</t>
  </si>
  <si>
    <t>TP53 IHC</t>
  </si>
  <si>
    <t>MMR IHC</t>
  </si>
  <si>
    <t>1p/19q FISH</t>
  </si>
  <si>
    <t>CDKN2A FISH</t>
  </si>
  <si>
    <t>EGFR FISH</t>
  </si>
  <si>
    <t>PTEN FISH</t>
  </si>
  <si>
    <t>OCAv3  Variant 1</t>
  </si>
  <si>
    <t>OCAv3  Variant 2</t>
  </si>
  <si>
    <t>OCAv3  Variant 3</t>
  </si>
  <si>
    <t>OCAv3  Variant 4</t>
  </si>
  <si>
    <t>OCAv3  Variant 5</t>
  </si>
  <si>
    <t>OCAv3  Variant 6</t>
  </si>
  <si>
    <t>OCAv3  Variant 7</t>
  </si>
  <si>
    <t>OCAv3  Variant 8</t>
  </si>
  <si>
    <t>OCAv3  Variant 9</t>
  </si>
  <si>
    <t>OCAv3  Variant 10</t>
  </si>
  <si>
    <t>OCAv3  Variant 11</t>
  </si>
  <si>
    <t>OCAv3  Variant 12</t>
  </si>
  <si>
    <t>C21-049</t>
  </si>
  <si>
    <t>S21-36523</t>
  </si>
  <si>
    <t>Steven-done</t>
  </si>
  <si>
    <t>Parietal</t>
  </si>
  <si>
    <t>GBM</t>
  </si>
  <si>
    <t>No</t>
  </si>
  <si>
    <t>Negative</t>
  </si>
  <si>
    <t>No data</t>
  </si>
  <si>
    <t>C22-001</t>
  </si>
  <si>
    <t>S22-307</t>
  </si>
  <si>
    <t>Frontal</t>
  </si>
  <si>
    <t>Yes</t>
  </si>
  <si>
    <t>C22-002</t>
  </si>
  <si>
    <t>S22-671</t>
  </si>
  <si>
    <t>Kat-done</t>
  </si>
  <si>
    <t>Oncomine start</t>
  </si>
  <si>
    <t>Positive (2016)</t>
  </si>
  <si>
    <t>Wild Type</t>
  </si>
  <si>
    <t>wild-type</t>
  </si>
  <si>
    <t>PMS2 mut</t>
  </si>
  <si>
    <t>No variants detected</t>
  </si>
  <si>
    <t>C22-003</t>
  </si>
  <si>
    <t>S22-1164</t>
  </si>
  <si>
    <t>Negative (2015)</t>
  </si>
  <si>
    <t>C22-004</t>
  </si>
  <si>
    <t>S22-1584</t>
  </si>
  <si>
    <t>done</t>
  </si>
  <si>
    <t>A/2</t>
  </si>
  <si>
    <t>Positive</t>
  </si>
  <si>
    <t>mutated</t>
  </si>
  <si>
    <t>I-IDH1: c.395G&gt;T (p.Arg132Leu) 35%</t>
  </si>
  <si>
    <t>II-ATRX: c.4434_4435delGA (p.Lys1479Asnfs*6) 48%</t>
  </si>
  <si>
    <t>III-TP53: c.473G&gt;A (p.Arg158His) 38%</t>
  </si>
  <si>
    <t>III-TP53: c.830G&gt;A (p.Cys277Tyr) 40%</t>
  </si>
  <si>
    <t>C22-005</t>
  </si>
  <si>
    <t>S22-1942</t>
  </si>
  <si>
    <t>Chris-Done</t>
  </si>
  <si>
    <t>O/2</t>
  </si>
  <si>
    <t>CO-DELETION (~34 - 39%): nuc ish(TP73x1,ABL2x2)[68/200]/(TP73,ABL2)x1[63/200]/(TP73x1,ABL2x3)[10/200]/ (TP73x0,ABL2x2)[26/200],(ZNF443x2,GLTSCR1x1)[78/200]</t>
  </si>
  <si>
    <t>Negative (Oncoscan SNP Microarray)</t>
  </si>
  <si>
    <t>I-TERTp: c.-124C&gt;T (p.?) 52%</t>
  </si>
  <si>
    <t>I-IDH1: c.395G&gt;A (p.Arg132His) 30%</t>
  </si>
  <si>
    <t>III-CTNNB1: c.101G&gt;A (p.Gly34Glu) 6%</t>
  </si>
  <si>
    <t>III-PIK3CA: c.1619T&gt;C (p.Leu540Pro) 28%</t>
  </si>
  <si>
    <t>C22-006</t>
  </si>
  <si>
    <t>S22-2052</t>
  </si>
  <si>
    <t>NGS not performed</t>
  </si>
  <si>
    <t>Negative (Oncoscan SNP microarray)</t>
  </si>
  <si>
    <t>C22-008</t>
  </si>
  <si>
    <t>S22-4473</t>
  </si>
  <si>
    <t>Brainstem</t>
  </si>
  <si>
    <t>A/3</t>
  </si>
  <si>
    <t>Inconclusive</t>
  </si>
  <si>
    <t>III-Fusion EGFR Exon 1 - EGFR Exon 8</t>
  </si>
  <si>
    <t>III-NTRK3: c.940G&gt;A (p.Glu314Lys) 47%</t>
  </si>
  <si>
    <t>III-TP53: c.218T&gt;C (p.Val73Ala) 68%</t>
  </si>
  <si>
    <t>III-TP53: c.721T&gt;A (p.Ser241Thr) 48%</t>
  </si>
  <si>
    <t>C22-009</t>
  </si>
  <si>
    <t>S22-4684</t>
  </si>
  <si>
    <t>Cerebellar</t>
  </si>
  <si>
    <t>LGG/O</t>
  </si>
  <si>
    <t>II-PIK3CA: c.1633G&gt;A (p.Glu545Lys) 34%</t>
  </si>
  <si>
    <t>II-FGFR1: c.1731C&gt;A (p.Asn577Lys) 47%</t>
  </si>
  <si>
    <t>III- NF1: c.1646T&gt;C (p.Leu549Pro) 38</t>
  </si>
  <si>
    <t>C22-010</t>
  </si>
  <si>
    <t>S22-4984</t>
  </si>
  <si>
    <t>Temporal</t>
  </si>
  <si>
    <t>equivocal</t>
  </si>
  <si>
    <t>I-EGFR Amplification Copy number: 26.</t>
  </si>
  <si>
    <t>I-PTEN: c.264T&gt;G (p.Tyr88*) 55%</t>
  </si>
  <si>
    <t>I-TERTp: c.-124C&gt;T (p.?) 34%</t>
  </si>
  <si>
    <t>II-BRAF: c.1799T&gt;A (p.Val600Glu) 7%</t>
  </si>
  <si>
    <t>II-EGFR: c.1793G&gt;T (p.Gly598Val) 51%</t>
  </si>
  <si>
    <t>C22-011</t>
  </si>
  <si>
    <t>S22-9215</t>
  </si>
  <si>
    <t>I-EGFR Amplification Copy number: 93.2</t>
  </si>
  <si>
    <t>I-TERTp: c.-124C&gt;T p.(?) 18</t>
  </si>
  <si>
    <t>II-CDK4 Amplification Copy number: 39.1</t>
  </si>
  <si>
    <t>II-MDM4 Amplification Copy number: 35.0</t>
  </si>
  <si>
    <t>II-PDGFRA Amplification Copy number: 12.3</t>
  </si>
  <si>
    <t>C22-013</t>
  </si>
  <si>
    <t>S22-10269</t>
  </si>
  <si>
    <t xml:space="preserve">CO-DELETION (24.5 - 20%): nuc ish (TP73x1,ABL2x2)[49/200]/(TP73x2,ABL2x3)[27/200]/(TP73x2,ABL2x4)[26/200]/
(TP73x1,ABL2x3)[18/200]/(TP73x1,ABL2x4)[6/200],(ZNF443x2,GLTSCR1x1)[40/200]/(ZNF443x3,GLTSCR1x1)[37/200]/
(ZNF443x4,GLTSCR1x2)[27/200]/(ZNF443x3,GLTSCR1x2)[21/200]/(ZNF443x4,GLTSCR1x1)[5/200] </t>
  </si>
  <si>
    <t>I-ATRX: c.6502C&gt;T p.(Gln2168*) 88%</t>
  </si>
  <si>
    <t>I-IDH2: c.515G&gt;T p.(Arg172Met) 48%</t>
  </si>
  <si>
    <t>II-TP53: c.659A&gt;G p.(Tyr220Cys) 86%</t>
  </si>
  <si>
    <t>C22-014</t>
  </si>
  <si>
    <t>S22-10383</t>
  </si>
  <si>
    <t>DELETION-HOMO (performed at trillium)</t>
  </si>
  <si>
    <t>I-TERTp: c.-124C&gt;T p.(?) 46%</t>
  </si>
  <si>
    <t>II-EGFR: c.866C&gt;T p.(Ala289Val) 25%</t>
  </si>
  <si>
    <t>II-PTEN: c.143A&gt;C p.(Asn48Thr) 59%</t>
  </si>
  <si>
    <t>C22-015</t>
  </si>
  <si>
    <t>S22-11652</t>
  </si>
  <si>
    <t>I-IDH1: c.395G&gt;A p.(Arg132His) 46%</t>
  </si>
  <si>
    <t>II-PDGFRA Amplification Copy number: 58.2</t>
  </si>
  <si>
    <t>II-TP53: c.493C&gt;T p.(Gln165*) 89%</t>
  </si>
  <si>
    <t>III-ATRX: c.6490A&gt;G p.(Arg2164Gly) 47%</t>
  </si>
  <si>
    <t>C22-016</t>
  </si>
  <si>
    <t>S22-11863</t>
  </si>
  <si>
    <t>30 (cl)</t>
  </si>
  <si>
    <t>LGG/A</t>
  </si>
  <si>
    <t>NEGATIVE</t>
  </si>
  <si>
    <t>I-BRAF: c.1799T&gt;A p.(Val600Glu) 6%</t>
  </si>
  <si>
    <t>C22-017</t>
  </si>
  <si>
    <t>S22-12583</t>
  </si>
  <si>
    <t>I-ATRX: c.1330C&gt;T p.(Arg444*) 68%</t>
  </si>
  <si>
    <t>I-IDH1: c.395G&gt;A p.(Arg132His) 30%</t>
  </si>
  <si>
    <t>III-TP53: c.715A&gt;G p.(Asn239Asp) 72%</t>
  </si>
  <si>
    <t>C22-020</t>
  </si>
  <si>
    <t>S22-12942</t>
  </si>
  <si>
    <t>Thalamic</t>
  </si>
  <si>
    <t>II-PDGFRA Amplification Copy number: 14.7</t>
  </si>
  <si>
    <t>II-TP53: c.818G&gt;A p.(Arg273His) 53%</t>
  </si>
  <si>
    <t>C22-049</t>
  </si>
  <si>
    <t>S22-28458</t>
  </si>
  <si>
    <t>CO-DELETION (24.5 - 19.5%): nuc ish(TP73x1,ABL2x2)[49/200],(ZNF443x2,GLTSCR1x1)[39/200]</t>
  </si>
  <si>
    <t>I-IDH1: c.395G&gt;A p.(Arg132His) 18%</t>
  </si>
  <si>
    <t>II-TP53: c.578A&gt;G p.(His193Arg) 16%</t>
  </si>
  <si>
    <t>C22-050</t>
  </si>
  <si>
    <t>S22-28915</t>
  </si>
  <si>
    <t>I-ATRX: c.2753delC p.(Thr918Metfs*52) 40%</t>
  </si>
  <si>
    <t>II-TP53: c.707A&gt;G p.(Tyr236Cys) 85%</t>
  </si>
  <si>
    <t>III-CDKN2A: c.248A&gt;G p.(His83Arg) 64%</t>
  </si>
  <si>
    <t>C22-051</t>
  </si>
  <si>
    <t>S22-29529</t>
  </si>
  <si>
    <t>O/3</t>
  </si>
  <si>
    <t>CO-DELETION (2008)</t>
  </si>
  <si>
    <t>I-IDH1: c.394C&gt;T p.(Arg132Cys) 47%</t>
  </si>
  <si>
    <t>I-TERTp: c.-124C&gt;T p.(?) 59%</t>
  </si>
  <si>
    <t>C22-052</t>
  </si>
  <si>
    <t>S22-30162</t>
  </si>
  <si>
    <t>ABNORMAL NO CO-DELETION (30-50%): nuc ish(TP73x2~3,ABL2x1~3)[61/200]/(TP73x4~8,ABL2x1~5)[35/200],(ZNF443x3~4,GLTSCR1x1~2)[56/200]</t>
  </si>
  <si>
    <t>I-IDH1: c.395G&gt;A p.(Arg132His) 40</t>
  </si>
  <si>
    <t>II-TP53: c.532_549delCACCATGAGCGCTGCTCA p.(His178_Ser183del) 88%</t>
  </si>
  <si>
    <t>C22-053</t>
  </si>
  <si>
    <t>S22-31777</t>
  </si>
  <si>
    <t>Occipital</t>
  </si>
  <si>
    <t>MSH6 mut</t>
  </si>
  <si>
    <t>Normal Result</t>
  </si>
  <si>
    <t>+10</t>
  </si>
  <si>
    <t>II-MSH6: c.1483C&gt;T p.(Arg495*) 55%</t>
  </si>
  <si>
    <t>II-NF1: c.3574G&gt;T p.(Glu1192*) 38%</t>
  </si>
  <si>
    <t>II-NF1: c.7348C&gt;T p.(Arg2450*) 45%</t>
  </si>
  <si>
    <t>II-PIK3CA: c.3073A&gt;G p.(Thr1025Ala) 26%</t>
  </si>
  <si>
    <t>II-PMS2: c.1321G&gt;T p.(Glu441*) 45%</t>
  </si>
  <si>
    <t>II-POLE: c.857C&gt;G p.(Pro286Arg) 41</t>
  </si>
  <si>
    <t>II-TP53: c.339C&gt;A p.(Phe113Leu) 36%</t>
  </si>
  <si>
    <t>III-ALK: c.3752C&gt;A p.(Ala1251Asp) 34</t>
  </si>
  <si>
    <t>III-ALK: c.3968T&gt;G p.(Phe1323Cys) 32</t>
  </si>
  <si>
    <t>III-ATRX: c.941G&gt;A p.(Arg314Lys) 22</t>
  </si>
  <si>
    <t>III-ATRX: c.1715G&gt;A p.(Gly572Glu) 38</t>
  </si>
  <si>
    <t>III-ATRX: c.2342G&gt;A p.(Arg781Gln) 43%</t>
  </si>
  <si>
    <t>III-ATRX: c.4792C&gt;A p.(Leu1598Ile) 19%</t>
  </si>
  <si>
    <t>III-ATRX: c.6127T&gt;C p.(Ser2043Pro) 40%</t>
  </si>
  <si>
    <t>III-ATRX: c.6187G&gt;A p.(Glu2063Lys) 41%</t>
  </si>
  <si>
    <t>III-ATRX: c.7315C&gt;A p.(Pro2439Thr) 36%</t>
  </si>
  <si>
    <t>III-EGFR: c.359C&gt;A p.(Ala120Glu) 42%</t>
  </si>
  <si>
    <t>III-FGFR2: c.2141A&gt;C p.(Lys714Thr) 39%</t>
  </si>
  <si>
    <t>III-MDM4: c.1091G&gt;T p.(Arg364Ile) 36%</t>
  </si>
  <si>
    <t>III-MET: c.898C&gt;T p.(Leu300Phe) 40%</t>
  </si>
  <si>
    <t>III-MLH1: c.1177C&gt;A p.(Leu393Ile) 26</t>
  </si>
  <si>
    <t>III-MLH1: c.1433A&gt;G p.(Asp478Gly) 29%</t>
  </si>
  <si>
    <t>III-MSH6: c.1796G&gt;A p.(Gly599Glu) 50%</t>
  </si>
  <si>
    <t>III-MSH6: c.280G&gt;T p.(Asp94Tyr) 35%</t>
  </si>
  <si>
    <t>III-NF1: c.1708T&gt;G p.(Phe570Val) 42%</t>
  </si>
  <si>
    <t>III-NF1: c.2052G&gt;T p.(Gln684His) 46%</t>
  </si>
  <si>
    <t>III-NF1: c.2527T&gt;G p.(Phe843Val) 22%</t>
  </si>
  <si>
    <t>III-NF1: c.4969G&gt;T p.(Asp1657Tyr) 24%</t>
  </si>
  <si>
    <t>III-NF1: c.6977A&gt;C p.(Asp2326Ala) 24%</t>
  </si>
  <si>
    <t>III-PDGFRA: c.1739T&gt;C p.(Leu580Pro) 32%</t>
  </si>
  <si>
    <t>III-POLE: c.1763T&gt;C p.(Val588Ala) 19%</t>
  </si>
  <si>
    <t>III-POLE: c.5554C&gt;A p.(Leu1852Ile) 21%</t>
  </si>
  <si>
    <t>III-RB1: c.2123T&gt;C p.(Met708Thr) 28</t>
  </si>
  <si>
    <t>C22-054</t>
  </si>
  <si>
    <t>S22-33204</t>
  </si>
  <si>
    <t>I-IDH1: c.395G&gt;A p.(Arg132His) 39%</t>
  </si>
  <si>
    <t>II-TP53: c.673-2_673-1delAG p.(?) 71%</t>
  </si>
  <si>
    <t>C22-055</t>
  </si>
  <si>
    <t>S22-33867</t>
  </si>
  <si>
    <t>Suprasellar</t>
  </si>
  <si>
    <t>PA</t>
  </si>
  <si>
    <t>I-Fusion KIAA1549 Exon 15 -  BRAF Exon 9</t>
  </si>
  <si>
    <t>III-MYC: c.517G&gt;A p.(Asp173Asn) 51%</t>
  </si>
  <si>
    <t>C22-057</t>
  </si>
  <si>
    <t>S22-34719</t>
  </si>
  <si>
    <t>CO-DELETION: nuc ish(TP73x1,ABL2x3)[29/200]/(TP73x2,ABL2x3)[57/200]/(TP73x2,ABL2x4)[40/200],(ZNF443x3,GLTSCR1x1)[23/200]/(ZNF443x3,GLTSCR1x2)[51/200]/(ZNF443x4,GLTSCR1x2)[32/200]</t>
  </si>
  <si>
    <t>I-TERTp: c.-146C&gt;T p.(?) 41%</t>
  </si>
  <si>
    <t>C22-058</t>
  </si>
  <si>
    <t>S22-34763</t>
  </si>
  <si>
    <t>II-BRAF: c.1455G&gt;C p.(Leu485Phe) 32%</t>
  </si>
  <si>
    <t>C22-059</t>
  </si>
  <si>
    <t>S22-34833</t>
  </si>
  <si>
    <t>CO-DELETION  (26.5 - 20%) : nuc ish(TP73x1,ABL2x2)[53/200]/(TP73x1,ABL2x3)[15/200]/(TP73x2,ABL2x3)[34/200],(ZNF443x2,GLTSCR1x1)[40/200]/ (ZNF443x3,GLTSCR1x1)[14/200]/(ZNF443x3,GLTSCR1x2)[53/200]</t>
  </si>
  <si>
    <t>C22-060</t>
  </si>
  <si>
    <t>S22-34941</t>
  </si>
  <si>
    <t>17 (cl)</t>
  </si>
  <si>
    <t>DNET</t>
  </si>
  <si>
    <t>II-Fusion: FGFR1 Exon 17 - TACC1 Exon 7</t>
  </si>
  <si>
    <t>C22-061</t>
  </si>
  <si>
    <t>S22-35419</t>
  </si>
  <si>
    <t>CO-DELETION (~24-34%): nuc ish(TP73x1,ABL2x2)[48/200],(ZNF443x2,GLTSCR1x1)[68/200]</t>
  </si>
  <si>
    <t>DELETION HOMO (43.5%): nuc ish(CDKN2Ax0,D9Z1x1)[42/200]/(CDKN2Ax0,D9Z1x2)[45/200]</t>
  </si>
  <si>
    <t xml:space="preserve">Normal </t>
  </si>
  <si>
    <t>II-PIK3CA: c.328_330delGAA p.(Glu110del) 17</t>
  </si>
  <si>
    <t>C22-062</t>
  </si>
  <si>
    <t>S22-36067</t>
  </si>
  <si>
    <t>Frontal (multifocal)</t>
  </si>
  <si>
    <t>amplification</t>
  </si>
  <si>
    <t>I-EGFR Amplification Copy number: 17.9</t>
  </si>
  <si>
    <t>II-EGFR: c.1793G&gt;T p.(Gly598Val) 88%</t>
  </si>
  <si>
    <t>C22-063</t>
  </si>
  <si>
    <t>S22-36314</t>
  </si>
  <si>
    <t>18 (cl)</t>
  </si>
  <si>
    <t>DELETION HOMO (79%): nuc ish(CDKN2Ax0,D9Z1x2)[86/200]/(CDKN2Ax0,D9Z1x1)[64/200]/(CDKN2Ax0,D9Z1x3)[8/200]</t>
  </si>
  <si>
    <t>I-BRAF: c.1799T&gt;A p.(Val600Glu) 39%</t>
  </si>
  <si>
    <t>I-TERTp: c.-124C&gt;T p.(?) 39%</t>
  </si>
  <si>
    <t>C22-064</t>
  </si>
  <si>
    <t>S22-36979</t>
  </si>
  <si>
    <t>I-TERTp: c.-124C&gt;T p.(?) 43%</t>
  </si>
  <si>
    <t>II-NF1: c.1008G&gt;A p.(Trp336*) 22</t>
  </si>
  <si>
    <t>II-NF1: c.1278G&gt;A p.(Trp426*) 25%</t>
  </si>
  <si>
    <t>II-NF1: c.4677G&gt;A p.(Trp1559*) 5%</t>
  </si>
  <si>
    <t>II-PIK3CA: c.1625A&gt;T p.(Glu542Val) 30%</t>
  </si>
  <si>
    <t>III-HRAS: c.152G&gt;A p.(Cys51Tyr) 27%</t>
  </si>
  <si>
    <t>III-NF1: c.7321G&gt;A p.(Ala2441Thr) 5</t>
  </si>
  <si>
    <t>C22-067</t>
  </si>
  <si>
    <t>S22-39560</t>
  </si>
  <si>
    <t>II-CDK6 Amplification Copy number: 15.4</t>
  </si>
  <si>
    <t>II-PDGFRA Amplification Copy number: 7.9</t>
  </si>
  <si>
    <t>II-TP53: c.1024C&gt;T p.(Arg342*) 94%</t>
  </si>
  <si>
    <t>C22-069</t>
  </si>
  <si>
    <t>S22-39825</t>
  </si>
  <si>
    <t>I-TERTp: c.-124C&gt;T p.(?) 44%</t>
  </si>
  <si>
    <t>II-NF1: c.888+1G&gt;A p.(?) 21%</t>
  </si>
  <si>
    <t>II-PIK3CA: c.1637A&gt;C p.(Gln546Pro) 31%</t>
  </si>
  <si>
    <t>C22-072</t>
  </si>
  <si>
    <t>S22-41911</t>
  </si>
  <si>
    <t>I-TERTp: c.-124C&gt;T p.(?) 47%</t>
  </si>
  <si>
    <t>II-NF1: c.6852_6855delTTAC p.(Tyr2285Thrfs*5) 77%</t>
  </si>
  <si>
    <t>C22-073</t>
  </si>
  <si>
    <t>S22-41984</t>
  </si>
  <si>
    <t>I-CDKN2A Deletion Copy number: 0.5</t>
  </si>
  <si>
    <t>I-TERTp: c.-124C&gt;T p.(?) 40%</t>
  </si>
  <si>
    <t>II-Fusion: GOPC Exon 4 - ROS1 Exon 36</t>
  </si>
  <si>
    <t>C22-074</t>
  </si>
  <si>
    <t>S22-41992</t>
  </si>
  <si>
    <t>Abnormal, EXTRA SIGNAL (78%): nuc ish(EGFR,D7Z1)x2~6[60],(D10Z1,PTEN)x2[200]</t>
  </si>
  <si>
    <t>I-TERTp: c.-124C&gt;T p.(?) 55%</t>
  </si>
  <si>
    <t>II-NF1: c.1466A&gt;G p.(Tyr489Cys) 30%</t>
  </si>
  <si>
    <t>C22-076</t>
  </si>
  <si>
    <t>S22-43027</t>
  </si>
  <si>
    <t xml:space="preserve">Positive </t>
  </si>
  <si>
    <t>I-Fusion: EGFR Exon 1 - EGFR Exon 8</t>
  </si>
  <si>
    <t>I-EGFR Amplification Copy number: 136.8</t>
  </si>
  <si>
    <t>I-PTEN: c.638delC p.(Pro213Leufs*8) 65%</t>
  </si>
  <si>
    <t>II-TP53: c.472C&gt;G p.(Arg158Gly) 34%</t>
  </si>
  <si>
    <t>II-TP53: c.783-1G&gt;A p.(?) 38%</t>
  </si>
  <si>
    <t>C22-078</t>
  </si>
  <si>
    <t>S22-44235</t>
  </si>
  <si>
    <t>I-CDKN2A Deletion Copy number: 0.2</t>
  </si>
  <si>
    <t>II-PDGFRA Amplification Copy number: 5.1</t>
  </si>
  <si>
    <t>C22-079</t>
  </si>
  <si>
    <t>S22-44692</t>
  </si>
  <si>
    <t xml:space="preserve">No </t>
  </si>
  <si>
    <t>II-KRAS: c.180_181delTCinsAA p.(Gln61Lys) 19%</t>
  </si>
  <si>
    <t>C22-081</t>
  </si>
  <si>
    <t>S22-46883</t>
  </si>
  <si>
    <t>I-EGFR: c.2156G&gt;C p.(Gly719Ala) 10%</t>
  </si>
  <si>
    <t>I-EGFR Amplification Copy number: 73.5</t>
  </si>
  <si>
    <t>I-PTEN: c.455T&gt;A p.(Leu152Gln) 52%</t>
  </si>
  <si>
    <t>I-TERTp: c.-124C&gt;T p.(?) 40</t>
  </si>
  <si>
    <t>II-TP53: c.523C&gt;T p.(Arg175Cys) 28%</t>
  </si>
  <si>
    <t>III-EGFR: c.2639G&gt;A p.(Trp880*) 12%</t>
  </si>
  <si>
    <t>C22-082</t>
  </si>
  <si>
    <t>S22-47245</t>
  </si>
  <si>
    <t>+7</t>
  </si>
  <si>
    <t>-10</t>
  </si>
  <si>
    <t>II-PIK3CA: c.1636C&gt;A p.(Gln546Lys) 30%</t>
  </si>
  <si>
    <t>C22-083</t>
  </si>
  <si>
    <t>S22-47345</t>
  </si>
  <si>
    <t>DELETION HOMO low levels (8.5%): nuc ish(CDKN2Ax0,D9Z1x1)[17/200]</t>
  </si>
  <si>
    <t>C22-084</t>
  </si>
  <si>
    <t>S22-47959</t>
  </si>
  <si>
    <t>II-EGFR: c.2156G&gt;T p.(Gly719Val) 38%</t>
  </si>
  <si>
    <t>II-FGFR1: c.1731C&gt;A p.(Asn577Lys) 40%</t>
  </si>
  <si>
    <t>II-PIK3CA: c.3140A&gt;G p.(His1047Arg) 15%</t>
  </si>
  <si>
    <t>II-TP53: c.314G&gt;T p.(Gly105Val) 41%</t>
  </si>
  <si>
    <t>II-TP53: c.425C&gt;A p.(Pro142His) 45%</t>
  </si>
  <si>
    <t>III-ATRX: c.6386C&gt;T p.(Ala2129Val) 31%</t>
  </si>
  <si>
    <t>III-BRAF: c.1633G&gt;A p.(Glu545Lys) 41%</t>
  </si>
  <si>
    <t>III-CDK4: c.803G&gt;A p.(Gly268Glu) 16%</t>
  </si>
  <si>
    <t>III-EGFR: c.1855C&gt;A p.(Leu619Met) 40%</t>
  </si>
  <si>
    <t>III-FGFR2: c.1177G&gt;A p.(Val393Ile) 14%</t>
  </si>
  <si>
    <t>III-FGFR3: c.1168G&gt;A p.(Val390Met) 11%</t>
  </si>
  <si>
    <t>III-MYC: c.956C&gt;T p.(Thr319Ile) 12%</t>
  </si>
  <si>
    <t>III-NF1: c.4122C&gt;G p.(His1374Gln) 38%</t>
  </si>
  <si>
    <t>III-NTRK1: c.346C&gt;T p.(Arg116Trp) 18%</t>
  </si>
  <si>
    <t>III-NTRK2: c.2084C&gt;T p.(Thr695Ile) 43%</t>
  </si>
  <si>
    <t>III-NTRK2: c.2135G&gt;T p.(Gly712Val) 43%</t>
  </si>
  <si>
    <t>III-NTRK3: c.2045C&gt;T p.(Thr682Ile) 45%</t>
  </si>
  <si>
    <t>III-PDGFRA: c.1780G&gt;A p.(Val594Met) 39%</t>
  </si>
  <si>
    <t>III-POLE: c.5322G&gt;T p.(Gln1774His) 45%</t>
  </si>
  <si>
    <t>III-POLE: c.6479G&gt;T p.(Ser2160Ile) 13%</t>
  </si>
  <si>
    <t>C22-085</t>
  </si>
  <si>
    <t>S22-47986</t>
  </si>
  <si>
    <t>I-Fusion EGFR Exon 1 - EGFR Exon 8</t>
  </si>
  <si>
    <t>I-CDKN2A Deletion Copy number: 0.3</t>
  </si>
  <si>
    <t>I-EGFR Amplification Copy number: 159.6</t>
  </si>
  <si>
    <t>I-PTEN: c.518G&gt;A p.(Arg173His) 73%</t>
  </si>
  <si>
    <t>II-TP53: c.722C&gt;A p.(Ser241Tyr) 69%</t>
  </si>
  <si>
    <t>C22-086</t>
  </si>
  <si>
    <t>S22-48283</t>
  </si>
  <si>
    <t>II-FGFR1: c.2057_2059delinsTAG p.(Lys686_Lys687delinsIleGlu) 26%</t>
  </si>
  <si>
    <t>II-NF1: c.1396_1397delCT p.(Leu466Tyrfs*3) 8%</t>
  </si>
  <si>
    <t>C22-087</t>
  </si>
  <si>
    <t>S22-49203</t>
  </si>
  <si>
    <t>C22-088</t>
  </si>
  <si>
    <t>S22-51168</t>
  </si>
  <si>
    <t>PXA/2</t>
  </si>
  <si>
    <t>I-BRAF: c.1799T&gt;A p.(Val600Glu) 33%</t>
  </si>
  <si>
    <t>C22-090</t>
  </si>
  <si>
    <t>S22-51992</t>
  </si>
  <si>
    <t>I-ATRX: c.5540_5541delAT p.(Tyr1847Serfs*13) 62%</t>
  </si>
  <si>
    <t>I-IDH1: c.394C&gt;G p.(Arg132Gly) 30%</t>
  </si>
  <si>
    <t>II-TP53: c.817C&gt;T p.(Arg273Cys) 64%</t>
  </si>
  <si>
    <t>C22-091</t>
  </si>
  <si>
    <t>S22-52119</t>
  </si>
  <si>
    <t>II-KRAS: c.183A&gt;C p.(Gln61His) 38%</t>
  </si>
  <si>
    <t>II-NF1: c.4921delA p.(Ile1641Leufs*2) 36%</t>
  </si>
  <si>
    <t>II-NF1: c.5610-1G&gt;A p.(?) 31%</t>
  </si>
  <si>
    <t>C22-093</t>
  </si>
  <si>
    <t>S22-53100</t>
  </si>
  <si>
    <t>Frontal, Thal</t>
  </si>
  <si>
    <t>I-TERTp: c.-124C&gt;T p.(?) 74%</t>
  </si>
  <si>
    <t>II-CDKN2A Copy Number Loss (Copy number: 0.2)</t>
  </si>
  <si>
    <t>II-NF1: c.7226delC p.(Thr2409Lysfs*9) 89%</t>
  </si>
  <si>
    <t>C23-062</t>
  </si>
  <si>
    <t>S23-29765</t>
  </si>
  <si>
    <t>CO-DELETION (~58.5%): nuc ish(TP73x1,ABL2x2)[44/200]/(TP73x2,ABL2x3)[18/200]/
(TP73x1,ABL2x3)[31/200]/(TP73x2,ABL2x4)[38/200],
(ZNF443x3,GLTSCR1x2)[59/200]/(ZNF443x3,GLTSCR1x1)[13/200]/
(ZNF443x4,GLTSCR1x2)[34/200]/(ZNF443x4,GLTSCR1x1)[11/200]</t>
  </si>
  <si>
    <t>C22-022</t>
  </si>
  <si>
    <t>S22-13423</t>
  </si>
  <si>
    <t>I-EGFR Amplification Copy number: 45.2</t>
  </si>
  <si>
    <t>I-TERTp: c.-124C&gt;T p.(?) 53%</t>
  </si>
  <si>
    <t>II-CDK4 Amplification Copy number: 61.2</t>
  </si>
  <si>
    <t>C22-023</t>
  </si>
  <si>
    <t>S22-15462</t>
  </si>
  <si>
    <t>C22-024</t>
  </si>
  <si>
    <t>S22-16520</t>
  </si>
  <si>
    <t>ABNORMAL: polisomy</t>
  </si>
  <si>
    <t xml:space="preserve">ABNORMAL, polisomy: nuc ish(EGFRx3~12,D7Z1x2~6)[60], 
(D10Z1,PTEN)x2~3[57/200]/(D10Z1x2~7,PTENx3~8)[58/200] (D10Z1,PTEN)x2~3[57/200]/(D10Z1x2~7,PTENx3~8)[58/200] 
</t>
  </si>
  <si>
    <t>I-TERTp: c.-124C&gt;T p.(?) 51%</t>
  </si>
  <si>
    <t>II-PTEN: c.1026+1G&gt;A p.(?) 83%</t>
  </si>
  <si>
    <t>II-TP53: c.235_236delGC p.(Ala79Serfs*69) 85%</t>
  </si>
  <si>
    <t>C22-025</t>
  </si>
  <si>
    <t>S22-17115</t>
  </si>
  <si>
    <t>DELETION HOMO (87%): nuc ish(CDKN2Ax0,D9Z1x2)[118/200]/(CDKN2Ax0,D9Z1x1)[56/200]</t>
  </si>
  <si>
    <t>Amplification: nuc ish(EGFR amp,D7Z1x1~4)[60],(D10Z1,PTEN)x1[181/200]</t>
  </si>
  <si>
    <t>Deletion: monosomy 10 (90.5%)</t>
  </si>
  <si>
    <t>I-EGFR Amplification Copy number: 66.7</t>
  </si>
  <si>
    <t>C22-026</t>
  </si>
  <si>
    <t>S22-17493</t>
  </si>
  <si>
    <t>II-CDK4 Amplification Copy number: 55.0</t>
  </si>
  <si>
    <t>II-PDGFRA Amplification Copy number: 31.9</t>
  </si>
  <si>
    <t>II-TP53: c.518T&gt;G p.(Val173Gly) 83%</t>
  </si>
  <si>
    <t>III-ATRX: c.5408G&gt;A p.(Arg1803His) 73%</t>
  </si>
  <si>
    <t>C22-027</t>
  </si>
  <si>
    <t>S22-18510</t>
  </si>
  <si>
    <t>CO-DELETION (68 - 71%):nuc ish(TP73x1,ABL2x2)[81/200]/(TP73x0,ABL2x1~2)[55/200],(ZNF443x2,GLTSCR1x1)[123/200]/(ZNF443x2,GLTSCR1x0)[19/200]</t>
  </si>
  <si>
    <t>I-IDH1: c.395G&gt;A p.(Arg132His) 45%</t>
  </si>
  <si>
    <t>I-TERTp: c.-124C&gt;T p.(?) 54</t>
  </si>
  <si>
    <t>III-FGFR3: c.521C&gt;G p.(Thr174Arg) 53%</t>
  </si>
  <si>
    <t>C22-028</t>
  </si>
  <si>
    <t>S22-18774</t>
  </si>
  <si>
    <t>II-Fusion FGFR3 Exon 17 - TACC3 Exon 11</t>
  </si>
  <si>
    <t>II-FGFR3 Amplification Copy number: 6.3</t>
  </si>
  <si>
    <t>C22-029</t>
  </si>
  <si>
    <t>S22-18950</t>
  </si>
  <si>
    <t>DELETION HOMO (see path, not FISH)</t>
  </si>
  <si>
    <t>II-TP53: c.831_835delTCCTG p.(Cys277Trpfs*27) 17%</t>
  </si>
  <si>
    <t>C22-031</t>
  </si>
  <si>
    <t>S22-19219</t>
  </si>
  <si>
    <t>20 (cl)</t>
  </si>
  <si>
    <t>CO-DELETION (27-21%):nuc ish(TP73x1,ABL2x2)[54/200],(ZNF443x2,GLTSCR1x1)[42/200]</t>
  </si>
  <si>
    <t>DELETION HOMO low levels (7.5%): nuc ish(CDKN2A,D9Z1)x1[100/200](CDKN2Ax0,D9Z1x1)[15/200]</t>
  </si>
  <si>
    <t>C22-032</t>
  </si>
  <si>
    <t>S22-19443</t>
  </si>
  <si>
    <t>I-ATRX: c.5698-1G&gt;C p.(?) 65</t>
  </si>
  <si>
    <t>I-IDH1: c.394C&gt;T p.(Arg132Cys) 27%</t>
  </si>
  <si>
    <t>II-TP53: c.817C&gt;T p.(Arg273Cys) 58%</t>
  </si>
  <si>
    <t>C22-034</t>
  </si>
  <si>
    <t>S22-19767</t>
  </si>
  <si>
    <t>Negative (2016)</t>
  </si>
  <si>
    <t>I-ATRX: c.3971C&gt;G p.(Ser1324*) 49%</t>
  </si>
  <si>
    <t>I-IDH1: c.395G&gt;A p.(Arg132His) 42%</t>
  </si>
  <si>
    <t>II-PIK3CA: c.1633G&gt;A p.(Glu545Lys) 60%</t>
  </si>
  <si>
    <t>II-TP53: c.572_574delCTC p.(Pro191del) 87%</t>
  </si>
  <si>
    <t>II-TP53: c.991C&gt;T p.(Gln331*) 38%</t>
  </si>
  <si>
    <t>C22-037</t>
  </si>
  <si>
    <t>S22-20684</t>
  </si>
  <si>
    <t>II-PDGFRA Amplification Copy number: 40.4</t>
  </si>
  <si>
    <t>II-TP53: c.587G&gt;A p.(Arg196Gln) 50%</t>
  </si>
  <si>
    <t>III-EGFR: c.1762G&gt;A p.(Gly588Ser) 31%</t>
  </si>
  <si>
    <t>C22-041</t>
  </si>
  <si>
    <t>S22-22428</t>
  </si>
  <si>
    <t>Abnormal, EXTRA SIGNAL (67%): nuc ish(EGFRx1~6,D7Z1x1~7)[60],(D10Z1,PTEN)x2[200]</t>
  </si>
  <si>
    <t>I-Fusion: FGFR3 Exon 17 - TACC3 Exon 8</t>
  </si>
  <si>
    <t>II-CDK4 Amplification Copy number: 29.2</t>
  </si>
  <si>
    <t>C22-045</t>
  </si>
  <si>
    <t>S22-27218</t>
  </si>
  <si>
    <t>I-Fusion: FGFR3 Exon 17 - TACC3 Exon 11</t>
  </si>
  <si>
    <t>I-TERTp: c.-146C&gt;T p.(?) 27%</t>
  </si>
  <si>
    <t>C22-046</t>
  </si>
  <si>
    <t>S22-27431</t>
  </si>
  <si>
    <t>Chris-Done - spinal tumour</t>
  </si>
  <si>
    <t>42 (cl)</t>
  </si>
  <si>
    <t>SC</t>
  </si>
  <si>
    <t>DLGNT</t>
  </si>
  <si>
    <t>CO-DELETION (~18.5%):nuc ish(TP73x1,ABL2x2)[59/200]/(TP73x1,ABL2x3)[92/200],(ZNF443x2,GLTSCR1x1)[37/200]</t>
  </si>
  <si>
    <t>I-Fusion: KIAA1549 Exon 14 - BRAF Exon 9</t>
  </si>
  <si>
    <t>C22-047</t>
  </si>
  <si>
    <t>S22-27558</t>
  </si>
  <si>
    <t>I-EGFR Amplification Copy number: 98.2</t>
  </si>
  <si>
    <t>I-TERTp: c.-124C&gt;T p.(?) 52%</t>
  </si>
  <si>
    <t>II-CDK4 Amplification Copy number: 75.1</t>
  </si>
  <si>
    <t>C22-048</t>
  </si>
  <si>
    <t>S22-28334</t>
  </si>
  <si>
    <t>II-Fusion: PTPRZ1 Exon 1 - MET Exon 2</t>
  </si>
  <si>
    <t>II-ATRX: c.1409_1412delATAG p.(Asp470Valfs*43) 95%</t>
  </si>
  <si>
    <t>II-CDK4 Amplification Copy number: 83.5</t>
  </si>
  <si>
    <t>II-TP53: c.524G&gt;A p.(Arg175His) 60%</t>
  </si>
  <si>
    <t>C21-066</t>
  </si>
  <si>
    <t>S21-48286</t>
  </si>
  <si>
    <t>DELETION HOMO (SNP Microarray)</t>
  </si>
  <si>
    <t>C21-067</t>
  </si>
  <si>
    <t>S21-49714 / S23-15757</t>
  </si>
  <si>
    <t>IDH1: c.394C&gt;T (p.Arg132Cys) 30% (SANGER SEQ)</t>
  </si>
  <si>
    <t>C22-007</t>
  </si>
  <si>
    <t>S22-3597 / S24-30806</t>
  </si>
  <si>
    <t>C22-012</t>
  </si>
  <si>
    <t>S22-9661 / S22-47244</t>
  </si>
  <si>
    <t>I-Fusion:  EGFR Exon 1 - EGFR Exon 8</t>
  </si>
  <si>
    <t>I-EGFR Amplification Copy number: 149.2</t>
  </si>
  <si>
    <t>I-TERTp: c.-124C&gt;T p.(?) 42</t>
  </si>
  <si>
    <t>II-PTEN: c.203A&gt;G p.(Tyr68Cys) 4%</t>
  </si>
  <si>
    <t>III-EGFR: c.2721G&gt;C p.(Leu907Phe) 27%</t>
  </si>
  <si>
    <t>C22-019</t>
  </si>
  <si>
    <t>S22-12691 / S22-50463</t>
  </si>
  <si>
    <t>DELETION HOMO (30.5%): nuc ish(CDKN2Ax0,D9Z1x1)[61/200]</t>
  </si>
  <si>
    <t>III-BRAF: c.1741A&gt;C p.(Asn581His) 20%</t>
  </si>
  <si>
    <t>C22-021</t>
  </si>
  <si>
    <t>S22-13194</t>
  </si>
  <si>
    <t>23 (cl)</t>
  </si>
  <si>
    <t>CO-DELETION (44.5 - 55%):nuc ish(TP73x1,ABL2x2)[89/200]/(TP73,ABL2)x1[68/200]/(TP73x0,ABL2x2)[17/200]/(TP73x0,ABL2x1)[12/200],
(ZNF443x2,GLTSCR1x1)[110/200]/(ZNF443x2,GLTSCR1x0)[19/200]/(ZNF443x1,GLTSCR1x0)[17/200]</t>
  </si>
  <si>
    <t>C22-030</t>
  </si>
  <si>
    <t>S22-19126</t>
  </si>
  <si>
    <t>C22-033</t>
  </si>
  <si>
    <t>S22-19552</t>
  </si>
  <si>
    <t>C22-035</t>
  </si>
  <si>
    <t>S22-20122</t>
  </si>
  <si>
    <t>GG</t>
  </si>
  <si>
    <t>I-Fusion: KIAA1549 Exon 9 - BRAF Exon 9</t>
  </si>
  <si>
    <t>C22-039</t>
  </si>
  <si>
    <t>S22-21109</t>
  </si>
  <si>
    <t>CO-DELETION (43.5 - 57.5%): nuc ish(TP73x1,ABL2x2)[87/200]/(TP73,ABL2)x1[64/200]/(TP73x0,ABL2x1)[17/200]/(TP73x0,ABL2x2)[14/200],
(ZNF443x2,GLTSCR1x1)[115/200]/(ZNF443,GLTSCR1)x1[62/200]/(ZNF443x2,GLTSCR1x0)[8/200]</t>
  </si>
  <si>
    <t>C22-040</t>
  </si>
  <si>
    <t>S22-22258</t>
  </si>
  <si>
    <t>EPE/2</t>
  </si>
  <si>
    <t>C22-042</t>
  </si>
  <si>
    <t>S22-24067 / R22-2061 / S24-27598</t>
  </si>
  <si>
    <t>II-NF1: c.5246_5247delAA p.(Lys1749Argfs*7) 26%</t>
  </si>
  <si>
    <t>II-NF1: c.5907_5910delAAGA p.(Arg1970Leufs*8) 21%</t>
  </si>
  <si>
    <t>II-PIK3CA: c.323G&gt;A p.(Arg108His) 26%</t>
  </si>
  <si>
    <t>II-TP53: c.524G&gt;A p.(Arg175His) 23%</t>
  </si>
  <si>
    <t>II-TP53: c.818G&gt;A p.(Arg273His) 28%</t>
  </si>
  <si>
    <t>C22-043</t>
  </si>
  <si>
    <t>S22-25178 / S24-8628</t>
  </si>
  <si>
    <t>I-TERTp: c.-124C&gt;T p.(?) 39</t>
  </si>
  <si>
    <t>II-TP53: c.993+1G&gt;A p.(?) 73%</t>
  </si>
  <si>
    <t>III-PIK3CA Amplification Copy number: 6.6</t>
  </si>
  <si>
    <t>C22-056</t>
  </si>
  <si>
    <t>S22-34515 / S23-59648</t>
  </si>
  <si>
    <t>ABNORMAL, polisomy: nuc ish(EGFRx3~15,D7Z1x3~7)[60],(D10Z1x1~5,PTENx4~5)[46/200]/(D10Z1x1~6,PTENx6~10)[57/200]/ (D10Z1x1~6,PTENx11~20)[21/200]</t>
  </si>
  <si>
    <t>II-RB1: c.2520+3_2520+6delGAGT p.(?) 56%</t>
  </si>
  <si>
    <t>II-TP53: c.559+1G&gt;A p.(?) 58%</t>
  </si>
  <si>
    <t>III-ATRX: c.1159A&gt;G p.(Thr387Ala) 100%</t>
  </si>
  <si>
    <t>III-ATRX: c.6547_6549delCAG p.(Gln2183del) 72%</t>
  </si>
  <si>
    <t>III-NTRK1: c.355C&gt;T p.(Arg119Cys) 83%</t>
  </si>
  <si>
    <t>C22-065</t>
  </si>
  <si>
    <t>S22-37208</t>
  </si>
  <si>
    <t>25 (cl)</t>
  </si>
  <si>
    <t>4V</t>
  </si>
  <si>
    <t>III-MYCN: c.866C&gt;G p.(Ser289Cys) 53%</t>
  </si>
  <si>
    <t>C22-066</t>
  </si>
  <si>
    <t>S22-37756</t>
  </si>
  <si>
    <t>4 (cl)</t>
  </si>
  <si>
    <t>C22-068</t>
  </si>
  <si>
    <t>S22-39488 / S23-7513</t>
  </si>
  <si>
    <t>Kat</t>
  </si>
  <si>
    <t>I-TERTp: c.-124C&gt;T p.(?) 49%</t>
  </si>
  <si>
    <t>II-Fusion: MET Exon 13 - MET Exon 15</t>
  </si>
  <si>
    <t>II-CDK4 Amplification Copy number: 43.8</t>
  </si>
  <si>
    <t>II-MET Amplification Copy number: 4.6</t>
  </si>
  <si>
    <t>II-PDGFRA Amplification Copy number: 25.8</t>
  </si>
  <si>
    <t>II-PTEN: c.29G&gt;A p.(Ser10Asn) 74%</t>
  </si>
  <si>
    <t>II-TP53: c.527G&gt;T p.(Cys176Phe) 38%</t>
  </si>
  <si>
    <t>II-TP53: c.853G&gt;A p.(Glu285Lys) 42%</t>
  </si>
  <si>
    <t>III-Fusion: PTPRZ1 Exon 1 - MET Exon 2</t>
  </si>
  <si>
    <t>C22-075</t>
  </si>
  <si>
    <t>S22-42971</t>
  </si>
  <si>
    <t>II-Fusion PTPRZ1 Exon 1 - MET Exon 2</t>
  </si>
  <si>
    <t>C22-077</t>
  </si>
  <si>
    <t>S22-43453 / S23-58689</t>
  </si>
  <si>
    <t>I-IDH1: c.395G&gt;A p.(Arg132His) 9%</t>
  </si>
  <si>
    <t>II-TP53: c.773A&gt;G p.(Glu258Gly) 83%</t>
  </si>
  <si>
    <t>III-BRAF: c.1661T&gt;C p.(Ile554Thr) 51%</t>
  </si>
  <si>
    <t>II-PIK3CA: c.1633G&gt;A p.(Glu545Lys) 10%</t>
  </si>
  <si>
    <t>II-RB1: c.138-1G&gt;A p.(?) 5%</t>
  </si>
  <si>
    <t>II-TP53: c.53C&gt;T p.(Thr18Ile) 19%</t>
  </si>
  <si>
    <t>II-TP53: c.773A&gt;G p.(Glu258Gly) 93%</t>
  </si>
  <si>
    <t>III-BRAF: c.1661T&gt;C p.(Ile554Thr) 53%</t>
  </si>
  <si>
    <t>III-MET: c.3412G&gt;A p.(Glu1138Lys) 6%</t>
  </si>
  <si>
    <t>III-MSH2: c.371C&gt;T p.(Ser124Phe) 53%</t>
  </si>
  <si>
    <t>III-MSH6: c.1986G&gt;A p.(Met662Ile) 9%</t>
  </si>
  <si>
    <t>C22-080</t>
  </si>
  <si>
    <t>S22-45746</t>
  </si>
  <si>
    <t>CO-DELETION (39 - 56.5%):nuc ish(TP73x1,ABL2x2)[78/200],(ZNF443x2,GLTSCR1x1)[113/200]</t>
  </si>
  <si>
    <t>C22-089</t>
  </si>
  <si>
    <t>S22-51810</t>
  </si>
  <si>
    <t>CO-DELETION (17.5 - 26.5%):nuc ish(TP73x1,ABL2x2)[53/200]/(TP73x2,ABL2x3)[23/200]/(TP73x1,ABL2x3)[13/200]/(TP73x2,ABL2x4)[14/200]/
(TP73x1,ABL2x4)[14/200],(ZNF443x2,GLTSCR1x1)[35/200]/(ZNF443x3,GLTSCR1x2)[42/200]/
(ZNF443x3,GLTSCR1x1)[14/200]/(ZNF443x4,GLTSCR1x2)[4/200]</t>
  </si>
  <si>
    <t>C23-012</t>
  </si>
  <si>
    <t>S23-6507</t>
  </si>
  <si>
    <t>Indeterminate</t>
  </si>
  <si>
    <t>CO-DELETION (24.5 - 28%): nuc ish(TP73x1,ABL2x2)[49/200]/(TP73x1~2,ABL2x3)[27/200],
(ZNF443x2,GLTSCR1x1)[56/200]/(ZNF443x3,GLTSCR1x1~2)[19/200]
(ZNF443x4,GLTSCR1x2)[34/200]/(ZNF443x4,GLTSCR1x1)[11/200]</t>
  </si>
  <si>
    <t>C23-013</t>
  </si>
  <si>
    <t>S23-6529</t>
  </si>
  <si>
    <t>CO-DELETION (38.5 - 46%):nuc ish(TP73x1,ABL2x2)[77/200]/(TP73,ABL2)x1[81/200],(ZNF443x2,GLTSCR1x1)[92/200]/
(ZNF443,GLTSCR1)x1[53/200]</t>
  </si>
  <si>
    <t>C23-015</t>
  </si>
  <si>
    <t>S23-8285</t>
  </si>
  <si>
    <t>CO-DELETION (~56%):nuc ish(TP73x1,ABL2x2)[112/200],
(ZNF443x2,GLTSCR1x1)[124/200]/(ZNF443x2,GLTSCR1x0)[15/200]/
(ZNF443x1,GLTSCR1x0)[12/200]</t>
  </si>
  <si>
    <t>C23-025</t>
  </si>
  <si>
    <t>S23-13284</t>
  </si>
  <si>
    <t>CO-DELETION (~31.5 - 33%):nuc ish(TP73x1,ABL2x2)[63/200],(ZNF443x2,GLTSCR1x1)[66/200]</t>
  </si>
  <si>
    <t>DELETION HOMO (6%): nuc ish(CDKN2Ax0,D9Z1x1)[12/200]/(CDKN2A,D9Z1)x1[70/200]</t>
  </si>
  <si>
    <t>C23-027</t>
  </si>
  <si>
    <t>S23-15241</t>
  </si>
  <si>
    <t>CO-DELETION (52 - 71%):nuc ish(TP73x1,ABL2x2)[104/200],(ZNF443x2,GLTSCR1x1)[142/200]</t>
  </si>
  <si>
    <t>C23-055</t>
  </si>
  <si>
    <t>S23-24651</t>
  </si>
  <si>
    <t>ABNORMAL: NO CO-DELETION: nuc ish(TP73,ABL2)x3~4[8/200]/(TP73,ABL2)x3~4[14/200],(ZNF443,GLTSCR1)x3[9/200]/
(ZNF443x3,GLTSCR1x1)[12/200]/(ZNF443x3,GLTSCR1x2)[55/200]</t>
  </si>
  <si>
    <t>C23-060</t>
  </si>
  <si>
    <t>S23-27309</t>
  </si>
  <si>
    <t>C23-075</t>
  </si>
  <si>
    <t>S23-36089</t>
  </si>
  <si>
    <t>CO-DELETION (30 - 21%):nuc ish(TP73x1,ABL2x2)[60/200]/(TP73x2,ABL2x3)[15/200]/(TP73x1,ABL2x3)[15/200]/(TP73x2,ABL2x4)[14/200],
(ZNF443x2,GLTSCR1x1)[42/200]/(ZNF443x3,GLTSCR1x2)[34/200]/(ZNF443x3,GLTSCR1x1)[12/200]/
(ZNF443x4,GLTSCR1x2)[20/200]</t>
  </si>
  <si>
    <t>C23-085</t>
  </si>
  <si>
    <t>S23-38025</t>
  </si>
  <si>
    <t>DELETION HOMO low levels (8.5%): nuc ish(CDKN2A,D9Z1)x1[96/200]/(CDKN2Ax0,D9Z1x1)[17/200]</t>
  </si>
  <si>
    <t>C23-086</t>
  </si>
  <si>
    <t>S23-38028</t>
  </si>
  <si>
    <t>CO-DELETION (2011)</t>
  </si>
  <si>
    <t>C23-105</t>
  </si>
  <si>
    <t>S23-46007</t>
  </si>
  <si>
    <t>C23-112</t>
  </si>
  <si>
    <t>S23-47671</t>
  </si>
  <si>
    <t>C23-116</t>
  </si>
  <si>
    <t>S23-49053</t>
  </si>
  <si>
    <t>CO-DELETION (34.5 - 30%):nuc ish(TP73x1,ABL2x2)[69/200]/(TP73,ABL2)x1[63/200],(ZNF443x2,GLTSCR1x1)[60/200]/
(ZNF443x3,GLTSCR1x1~2)[50/200]</t>
  </si>
  <si>
    <t>DELETION HOMO (13%): nuc ish(CDKN2Ax0,D9Z1x1)[15/200]/(CDKN2Ax0,D9Z1x2)[11/200]/(CDKN2Ax1,D9Z1x2)[37/200]</t>
  </si>
  <si>
    <t>C23-117</t>
  </si>
  <si>
    <t>S23-49390</t>
  </si>
  <si>
    <t>C23-118</t>
  </si>
  <si>
    <t>S23-50041</t>
  </si>
  <si>
    <t>CO-DELETION (18 - 20.5%): nuc ish(TP73x1,ABL2x2)[36/200]/(TP73x1~2,ABL2x3)[61/200]/(TP73x2,ABL2x4)[60/200],
(ZNF443x2,GLTSCR1x1)[41/200]/(ZNF443x3,GLTSCR1x2)[56/200]/(ZNF443x4,GLTSCR1x2)[58/200]</t>
  </si>
  <si>
    <t>C23-124</t>
  </si>
  <si>
    <t>S23-51444</t>
  </si>
  <si>
    <t>C23-125</t>
  </si>
  <si>
    <t>S23-51498</t>
  </si>
  <si>
    <t>CO-DELETION (50.5 - 55.5%): nuc ish(TP73x1,ABL2x2)[67/200]/(TP73x2,ABL2x3)[17/200]/(TP73x1,ABL2x3)[11/200]/
(TP73x2,ABL2x4)[6/200],(ZNF443x2,GLTSCR1x1)[85/200]/(ZNF443x3,GLTSCR1x2)[11/200]/
(ZNF443x3,GLTSCR1x1)[9/200]/(ZNF443x4,GLTSCR1x2)[6/200]</t>
  </si>
  <si>
    <t>C23-148</t>
  </si>
  <si>
    <t>S23-58460</t>
  </si>
  <si>
    <t>C23-149</t>
  </si>
  <si>
    <t>S23-59399</t>
  </si>
  <si>
    <t>CO-DELETION (57.5 - 53.5%): nuc ish(TP73x1,ABL2x2)[115/200],(ZNF443x2,GLTSCR1x1)[107/200]</t>
  </si>
  <si>
    <t>I-IDH1: c.395G&gt;A p.(Arg132His) 44%</t>
  </si>
  <si>
    <t>C23-151</t>
  </si>
  <si>
    <t>S23-60014</t>
  </si>
  <si>
    <t>CO-DELETION (2010)</t>
  </si>
  <si>
    <t>C23-154</t>
  </si>
  <si>
    <t>S23-60441</t>
  </si>
  <si>
    <t>CO-DELETION (2009)</t>
  </si>
  <si>
    <t>C23-160</t>
  </si>
  <si>
    <t>S23-62251</t>
  </si>
  <si>
    <t>C23-170</t>
  </si>
  <si>
    <t>S23-63673</t>
  </si>
  <si>
    <t>C24-005</t>
  </si>
  <si>
    <t>S24-2420 / S24-18637</t>
  </si>
  <si>
    <t>Hamilton/UHN</t>
  </si>
  <si>
    <t>I-Fusion: FGFR3 Exon 17 -  TACC3 Exon 1</t>
  </si>
  <si>
    <t>I-TERTp: c.-124C&gt;T p.(?) 45%</t>
  </si>
  <si>
    <t>II-FGFR3 Amplification Copy number: 9.1</t>
  </si>
  <si>
    <t>III-PTPN11: c.206A&gt;T p.(Glu69Val) 29%</t>
  </si>
  <si>
    <t>C24-006</t>
  </si>
  <si>
    <t>S24-2903</t>
  </si>
  <si>
    <t>M</t>
  </si>
  <si>
    <t>C24-018</t>
  </si>
  <si>
    <t>S24-6529</t>
  </si>
  <si>
    <t>CO-DELETION (2014)</t>
  </si>
  <si>
    <t>C24-034</t>
  </si>
  <si>
    <t>S24-11719</t>
  </si>
  <si>
    <t>I-ATRX: c.4121-2A&gt;C p.(?) 82%</t>
  </si>
  <si>
    <t>II-TP53: c.537_544delTGAGCGCT p.(His179Glnfs*4) 85%</t>
  </si>
  <si>
    <t>C24-039</t>
  </si>
  <si>
    <t>S24-13401</t>
  </si>
  <si>
    <t>F</t>
  </si>
  <si>
    <t>CO-DELETION (54 - 63%): nuc ish(TP73x1,ABL2x2)[108/200]/(TP73,ABL2)x1[63/200],(ZNF443x2,GLTSCR1x1)[126/200</t>
  </si>
  <si>
    <t>C24-040</t>
  </si>
  <si>
    <t>S24-13596</t>
  </si>
  <si>
    <t xml:space="preserve">DELETION HOMO (20%): nuc ish(CDKN2Ax0,D9Z1x1)[19/200]/(CDKN2Ax0,D9Z1x2)[21/200]/(CDKN2Ax1,D9Z1x2~3)[56/200]/ 
(CDKN2Ax2,D9Z1x3~4)[45/200] 
</t>
  </si>
  <si>
    <t>C24-044</t>
  </si>
  <si>
    <t>S24-15660</t>
  </si>
  <si>
    <t>C24-046</t>
  </si>
  <si>
    <t>S24-16051</t>
  </si>
  <si>
    <t>DELETION HOMO (32.5%): nuc ish(CDKN2Ax1,D9Z1x2)[42/200]/(CDKN2Ax0,D9Z1x1)[36/200]/(CDKN2Ax0,D9Z1x2)[29/200]</t>
  </si>
  <si>
    <t>I-IDH1: c.395G&gt;A p.(Arg132His) 43%</t>
  </si>
  <si>
    <t>C24-050</t>
  </si>
  <si>
    <t>S24-17352</t>
  </si>
  <si>
    <t>C24-053</t>
  </si>
  <si>
    <t>S24-17833</t>
  </si>
  <si>
    <t>C24-058</t>
  </si>
  <si>
    <t>S24-21105</t>
  </si>
  <si>
    <t xml:space="preserve">Temporal </t>
  </si>
  <si>
    <t xml:space="preserve">CO-DELETION (44.5 - 55%): nuc ish(TP73x1,ABL2x2)[89/200]/(TP73x0,ABL2x2)[18/200]/(TP73x1,ABL2x3)[9/200]/(TP73x2,ABL2x4)[8/200],
(ZNF443x2,GLTSCR1x1)[110/200]/(ZNF443,GLTSCR1)x1[53/200]/(ZNF443x1~2,GLTSCR1x0)[25/200]
</t>
  </si>
  <si>
    <t>C24-068</t>
  </si>
  <si>
    <t>S24-22407</t>
  </si>
  <si>
    <t>C24-077</t>
  </si>
  <si>
    <t>S24-23609</t>
  </si>
  <si>
    <t>C24-078</t>
  </si>
  <si>
    <t>S24-24449</t>
  </si>
  <si>
    <t>CO-DELETION (50 - 59%): nuc ish(TP73x1,ABL2x2)[100/200]/(TP73,ABL2)x1[72/200],(ZNF443x2,GLTSCR1x1)[118/200]</t>
  </si>
  <si>
    <t>C24-079</t>
  </si>
  <si>
    <t>S24-24996</t>
  </si>
  <si>
    <t>CO-DELETION (57 - 65.5%):  nuc ish(TP73x1,ABL2x2)[114/200]/(TP73,ABL2)x1[65/200],(ZNF443x2,GLTSCR1x1)[131/200]</t>
  </si>
  <si>
    <t>C24-084</t>
  </si>
  <si>
    <t>S24-25595</t>
  </si>
  <si>
    <t>CO-DELETION (56 - 64.5%): nuc ish(TP73x1,ABL2x2)[112/200],(ZNF443x2,GLTSCR1x1)[129/200]</t>
  </si>
  <si>
    <t>C24-085</t>
  </si>
  <si>
    <t>S24-25739</t>
  </si>
  <si>
    <t>DELETION HOMO (19%): nuc ish(CDKN2Ax0,D9Z1x1)[18/200]/(CDKN2Ax0,D9Z1x2)[20/200]/(CDKN2Ax1,D9Z1x2)[64/200]/(CDKN2Ax1~2,D9Z1x3)[33/200</t>
  </si>
  <si>
    <t>C23-003</t>
  </si>
  <si>
    <t>S23-2118</t>
  </si>
  <si>
    <t>Negatvie</t>
  </si>
  <si>
    <t>C23-005</t>
  </si>
  <si>
    <t>S23-2578</t>
  </si>
  <si>
    <t>I-CDKN2A Copy number loss: 0.3</t>
  </si>
  <si>
    <t>I-CDKN2B Copy number loss: 0.3</t>
  </si>
  <si>
    <t>I-EGFR amplification Copy number gain: 35.3</t>
  </si>
  <si>
    <t>II-CDK6 Copy number gain: 14.2</t>
  </si>
  <si>
    <t>II-PIK3CA: c.1636C&gt;A p.(Gln546Lys) 43%</t>
  </si>
  <si>
    <t>III-EGFR: c.1772G&gt;A p.(Cys591Tyr) 31%</t>
  </si>
  <si>
    <t>C23-006</t>
  </si>
  <si>
    <t>S23-2872</t>
  </si>
  <si>
    <t>I-Fusion: KIAA1549 Exon 16 - BRAF Exon 9</t>
  </si>
  <si>
    <t>C23-008</t>
  </si>
  <si>
    <t>S23-3418</t>
  </si>
  <si>
    <t>II-CDK4 Amplification Copy number: 21.8</t>
  </si>
  <si>
    <t>II-FGFR1: c.2059A&gt;G p.(Lys687Glu) 56%</t>
  </si>
  <si>
    <t>II-MDM2 Amplification Copy number: 28.3</t>
  </si>
  <si>
    <t>C23-011</t>
  </si>
  <si>
    <t>S23-5791</t>
  </si>
  <si>
    <t>Abnormal, EXTRA SIGNAL (32%): nuc ish(EGFR,D7Z1)x3[19/60],(D10Z1x1~3,PTENx3)[71/200]/(D10Z1x2~4,PTENx4)[26/200]</t>
  </si>
  <si>
    <t>Abnormal, EXTRA SIGNAL (48.5%)</t>
  </si>
  <si>
    <t>II-CDK4 Amplification Copy number: 15.3</t>
  </si>
  <si>
    <t>II-PIK3CA: c.1624G&gt;A p.(Glu542Lys) 26%</t>
  </si>
  <si>
    <t>II-TP53: c.493_495delCAG p.(Gln165del) 94%</t>
  </si>
  <si>
    <t>C23-014</t>
  </si>
  <si>
    <t>S23-7103</t>
  </si>
  <si>
    <t>I-TERTp: c.-146C&gt;T p.(?) 29%</t>
  </si>
  <si>
    <t>II-CDK4 Amplification Copy number: 9.8</t>
  </si>
  <si>
    <t>II-MDM2 Amplification Copy number: 38.5</t>
  </si>
  <si>
    <t>C23-016</t>
  </si>
  <si>
    <t>S23-8529</t>
  </si>
  <si>
    <t>I-IDH1: c.395G&gt;A p.(Arg132His) 36</t>
  </si>
  <si>
    <t>II-TP53: c.166delG p.(Glu56Lysfs*67) 45%</t>
  </si>
  <si>
    <t>II-TP53: c.650T&gt;G p.(Val217Gly) 44%</t>
  </si>
  <si>
    <t>C23-017</t>
  </si>
  <si>
    <t>S23-8658</t>
  </si>
  <si>
    <t>DELETION HOMO: nuc ish(CDKN2Ax1,D9Z1x2~3)[74/200]/(CDKN2Ax0,D9Z1x2)[30/200]/(CDKN2Ax0,D9Z1x1)[11/200]/ (CDKN2Ax0,D9Z1x3)[7/200]</t>
  </si>
  <si>
    <t>I-ATRX: c.3323C&gt;G p.(Ser1108*) 82%</t>
  </si>
  <si>
    <t>I-IDH1: c.395G&gt;A p.(Arg132His) 35%</t>
  </si>
  <si>
    <t>II-TP53: c.517G&gt;C p.(Val173Leu) 85%</t>
  </si>
  <si>
    <t>III-ATRX: c.3334A&gt;G p.(Thr1112Ala) 82%</t>
  </si>
  <si>
    <t>C23-018</t>
  </si>
  <si>
    <t>S23-9293</t>
  </si>
  <si>
    <t>C23-019</t>
  </si>
  <si>
    <t>S23-9977</t>
  </si>
  <si>
    <t>I-PTEN: c.386_387insT p.(Arg130Thrfs*50) 38%</t>
  </si>
  <si>
    <t>C23-022</t>
  </si>
  <si>
    <t>S23-11401</t>
  </si>
  <si>
    <t>I-IDH1: c.395G&gt;A p.(Arg132His) 47%</t>
  </si>
  <si>
    <t>I-TERTp: c.-124C&gt;T p.(?) 51</t>
  </si>
  <si>
    <t>II-CDKN2A: c.247C&gt;T p.(His83Tyr) 19%</t>
  </si>
  <si>
    <t>II-TP53: c.796G&gt;A p.(Gly266Arg) 50%</t>
  </si>
  <si>
    <t>III-FGFR1: c.1103G&gt;A p.(Gly368Glu) 7%</t>
  </si>
  <si>
    <t>III-MSH6: c.1315G&gt;A p.(Asp439Asn) 43%</t>
  </si>
  <si>
    <t>III-MSH6: c.3412G&gt;A p.(Gly1138Arg) 42</t>
  </si>
  <si>
    <t>III-SMARCB1: c.1091_1093delAGA p.(Lys364del) 47%</t>
  </si>
  <si>
    <t>C23-023</t>
  </si>
  <si>
    <t>S23-11659</t>
  </si>
  <si>
    <t>I-EGFR Amplification Copy number: 30.2</t>
  </si>
  <si>
    <t>I-TERTp: c.-124C&gt;T p.(?) 30%</t>
  </si>
  <si>
    <t>II-EGFR: c.865G&gt;A p.(Ala289Thr) 88%</t>
  </si>
  <si>
    <t>C23-028</t>
  </si>
  <si>
    <t>S23-15866</t>
  </si>
  <si>
    <t>I-Fusion EGFR Exon 1 -  EGFR Exon 8</t>
  </si>
  <si>
    <t>I-EGFR Amplification Copy number: 68.5</t>
  </si>
  <si>
    <t>I-PTEN: c.209+1G&gt;A p.(?) 70%</t>
  </si>
  <si>
    <t>II-TERT Amplification Copy number: 12.9</t>
  </si>
  <si>
    <t>II-TP53: c.520_530delinsGG p.(Arg174_Pro177delinsGly) 5%</t>
  </si>
  <si>
    <t>C23-030</t>
  </si>
  <si>
    <t>S23-17037</t>
  </si>
  <si>
    <t>I-PTEN: p.(Cys136_Ala137del)</t>
  </si>
  <si>
    <t>II- CDKN2A: p.(Pro81Leu)</t>
  </si>
  <si>
    <t>II- TP53: c.782+1G&gt;A p.(?)</t>
  </si>
  <si>
    <t>C23-034</t>
  </si>
  <si>
    <t>S23-18455</t>
  </si>
  <si>
    <t>C23-045</t>
  </si>
  <si>
    <t>S23-22137</t>
  </si>
  <si>
    <t>ABNORMAL, NO DELETION: nuc ish(CDKN2Ax1,D9Z1x2)[42/200]/(CDKN2Ax2,D9Z1x3)[28/200]/(CDKN2Ax1,D9Z1x3)[14/200]</t>
  </si>
  <si>
    <t>I-ATRX: c.1023C&gt;G p.(Tyr341*) 91%</t>
  </si>
  <si>
    <t>II-PDGFRA Amplification Copy number: 13.0</t>
  </si>
  <si>
    <t>II-TP53: c.482C&gt;A p.(Ala161Asp) 92%</t>
  </si>
  <si>
    <t>C23-050</t>
  </si>
  <si>
    <t>S23-24147</t>
  </si>
  <si>
    <t>ABNORMAL: NO CO-DELETION: nuc ish(TP73x0~2,ABL2x3)[72/200]/(TP73x1~2,ABL2x4)[35/200],(ZNF443x3,GLTSCR1x1~2)[56/200]/(ZNF443x4,GLTSCR1x1~2)[46/200]</t>
  </si>
  <si>
    <t>I-TERTp: c.-124C&gt;T p.(?) 58%</t>
  </si>
  <si>
    <t>II-MSH6: c.2975A&gt;G p.(Glu992Gly) 60%</t>
  </si>
  <si>
    <t>III-MET: c.715C&gt;T p.(Pro239Ser) 20%</t>
  </si>
  <si>
    <t>III-PMS2: c.1504G&gt;A p.(Asp502Asn) 16%</t>
  </si>
  <si>
    <t>C23-054</t>
  </si>
  <si>
    <t>S23-24650</t>
  </si>
  <si>
    <t>19 (cl)</t>
  </si>
  <si>
    <t>C23-056</t>
  </si>
  <si>
    <t>S23-25231</t>
  </si>
  <si>
    <t>Negative (2013)</t>
  </si>
  <si>
    <t>DELETION HOMO (81.5%): nuc ish(CDKN2Ax0,D9Z1x2)[63/200]/(CDKN2Ax0,D9Z1x3)[44/200]/(CDKN2Ax0,D9Z1x4)[28/200]/  (CDKN2Ax0,D9Z1x1)[17/200]/(CDKN2Ax0,D9Z1x5)[11/200]</t>
  </si>
  <si>
    <t>I-CDKN2A Deletion Copy number: 0.1</t>
  </si>
  <si>
    <t>I-CDKN2B Deletion Copy number: 0.1</t>
  </si>
  <si>
    <t>I-MSH6: c.4068_4071dup p.(Lys1358Aspfs*2) 49%</t>
  </si>
  <si>
    <t>I-PTEN: c.209+2T&gt;C p.(?) 49%</t>
  </si>
  <si>
    <t>II-FGFR3: c.1172C&gt;T p.(Ala391Val) 5%</t>
  </si>
  <si>
    <t>II-MLH1: c.676C&gt;T p.(?) 90%</t>
  </si>
  <si>
    <t>II-PDGFRA Amplification Copy number: 22.2</t>
  </si>
  <si>
    <t>II-PIK3CA: c.3140A&gt;G p.(His1047Arg) 53%</t>
  </si>
  <si>
    <t>II-TP53: c.817C&gt;T p.(Arg273Cys) 94%</t>
  </si>
  <si>
    <t>III-MET: c.3409G&gt;A p.(Gly1137Arg) 46%</t>
  </si>
  <si>
    <t>III-PTEN: c.376G&gt;A p.(Ala126Thr) 46%</t>
  </si>
  <si>
    <t>C23-057</t>
  </si>
  <si>
    <t>S23-25394</t>
  </si>
  <si>
    <t>AB</t>
  </si>
  <si>
    <t>III-ATRX: c.5938T&gt;C p.(Ser1980Pro) 85%</t>
  </si>
  <si>
    <t>III-RB1: c.899T&gt;C p.(Met300Thr) 82%</t>
  </si>
  <si>
    <t>III-TERTp: c.875C&gt;T p.(Thr292Met) 19%</t>
  </si>
  <si>
    <t>C23-063</t>
  </si>
  <si>
    <t>S23-29861</t>
  </si>
  <si>
    <t>I-ATRX: c.6331C&gt;T p.(Arg2111*) 84%</t>
  </si>
  <si>
    <t>II-TP53: c.469G&gt;T p.(Val157Phe) 89%</t>
  </si>
  <si>
    <t>C23-066</t>
  </si>
  <si>
    <t>S23-31231</t>
  </si>
  <si>
    <t>I-PTEN: c.955_958delACTT p.(Thr319*) 71%</t>
  </si>
  <si>
    <t>I-TERTp: c.-124C&gt;T p.(?) 57%</t>
  </si>
  <si>
    <t>II-CDK4 Amplification Copy number: 29.0</t>
  </si>
  <si>
    <t>II-TP53: c.742C&gt;T p.(Arg248Trp) 40%</t>
  </si>
  <si>
    <t>II-TP53: c.75-2A&gt;G p.(?) 40%</t>
  </si>
  <si>
    <t>C23-067</t>
  </si>
  <si>
    <t>S23-31478</t>
  </si>
  <si>
    <t>I-EGFR amplification Copy number gain: 22.8</t>
  </si>
  <si>
    <t>II-TP53: c.437G&gt;A p.(Trp146*) 85%</t>
  </si>
  <si>
    <t>C23-068</t>
  </si>
  <si>
    <t>S23-31737</t>
  </si>
  <si>
    <t>I-TERTp: c.-124C&gt;T p.(?) 26%</t>
  </si>
  <si>
    <t>II-Fusion: FGFR3 Exon 17 - TACC3 Exon 11</t>
  </si>
  <si>
    <t>II-NF1: c.1198C&gt;T p.(Gln400*) 19%</t>
  </si>
  <si>
    <t>II-PTEN: c.195C&gt;G p.(Tyr65*) 22%</t>
  </si>
  <si>
    <t>II-PTPN11: c.188A&gt;G p.(Tyr63Cys) 20%</t>
  </si>
  <si>
    <t>C23-083</t>
  </si>
  <si>
    <t>S23-37944</t>
  </si>
  <si>
    <t>II-MSH2: c.1511-1G&gt;A p.(?) 43%</t>
  </si>
  <si>
    <t>II-TP53: c.818G&gt;A p.(Arg273His) 87%</t>
  </si>
  <si>
    <t>III-MDM2: c.500G&gt;A p.(Arg167Lys) 33%</t>
  </si>
  <si>
    <t>III-NF1: c.757G&gt;A p.(Val253Met) 6%</t>
  </si>
  <si>
    <t>III-RB1: c.1934C&gt;T p.(Thr645Ile) 37%</t>
  </si>
  <si>
    <t>C23-004</t>
  </si>
  <si>
    <t>S23-2366 / S24-5802</t>
  </si>
  <si>
    <t>Oncomine update</t>
  </si>
  <si>
    <t>I-MLH1: c.551C&gt;G p.(Ser184*) 76%</t>
  </si>
  <si>
    <t>II-TP53: c.817C&gt;T p.(Arg273Cys) 89%</t>
  </si>
  <si>
    <t>III-PMS2: c.1769T&gt;C p.(Ile590Thr) 38%</t>
  </si>
  <si>
    <t>III-TERTp: c.899G&gt;A p.(Gly300Asp) 70%</t>
  </si>
  <si>
    <t xml:space="preserve">III-POLE: p.(Ser554Asn) </t>
  </si>
  <si>
    <t>C23-029</t>
  </si>
  <si>
    <t>S23-16969</t>
  </si>
  <si>
    <t>EGFR amp: nuc ish(EGFR amp,D7Z1x3~6)[60],(D10Z1,PTEN)x2[200]</t>
  </si>
  <si>
    <t>NORMAL</t>
  </si>
  <si>
    <t>I-ATRX: c.4284_4287dupTAAG p.(Val1430*) 46%</t>
  </si>
  <si>
    <t>I-CDKN2B Deletion Copy number: 0.2</t>
  </si>
  <si>
    <t>II-PIK3CA: c.1625A&gt;T p.(Glu542Val) 47%</t>
  </si>
  <si>
    <t>II-TP53: c.524G&gt;A p.(Arg175His) 92%</t>
  </si>
  <si>
    <t>C23-033</t>
  </si>
  <si>
    <t>S23-18270 / S23-63799</t>
  </si>
  <si>
    <t>I-CDKN2B Deletion Copy number: 0.4</t>
  </si>
  <si>
    <t>I-TERTp: c.-146C&gt;T p.(?) 34%</t>
  </si>
  <si>
    <t>II-EGFR: c.1793G&gt;T p.(Gly598Val) 31%</t>
  </si>
  <si>
    <t>II-EGFR: c.866C&gt;T p.(Ala289Val) 30%</t>
  </si>
  <si>
    <t>II-MDM4 Amplification Copy number: 37.4</t>
  </si>
  <si>
    <t>C23-035</t>
  </si>
  <si>
    <t>S23-19384</t>
  </si>
  <si>
    <t>DELETION: nuc ish(EGFR,D7Z1)x2[60],(D10Z1,PTEN)x1[146/200]</t>
  </si>
  <si>
    <t>I- Fusion FGFR1 Exon 17 -  TACC1 Exon 10</t>
  </si>
  <si>
    <t>C23-038</t>
  </si>
  <si>
    <t>S23-19815</t>
  </si>
  <si>
    <t>DELETION HOMO: nuc ish(CDKN2Ax0,D9Z1x1)[28/200]/(CDKN2Ax0,D9Z1x2)[23/200]/(CDKN2Ax0,D9Z1x3)[5/200]</t>
  </si>
  <si>
    <t>II-FGFR1: c.2059A&gt;G p.(Lys687Glu) 31%</t>
  </si>
  <si>
    <t>C23-039</t>
  </si>
  <si>
    <t>S23-20181</t>
  </si>
  <si>
    <t>I-TERTp: c.-124C&gt;T p.(?) 31%</t>
  </si>
  <si>
    <t>II- CDK4 Amplification Copy number: 19.1</t>
  </si>
  <si>
    <t>C23-040</t>
  </si>
  <si>
    <t>S23-20523</t>
  </si>
  <si>
    <t>I-PTEN: c.209+1G&gt;C p.(?)</t>
  </si>
  <si>
    <t xml:space="preserve">I-TERTp: c.-124C&gt;T </t>
  </si>
  <si>
    <t>II-CDK4 Amplification Copy number: 61.5</t>
  </si>
  <si>
    <t>II-MDM2 Amplification Copy number: 102.6</t>
  </si>
  <si>
    <t>III-MET: p.(Arg988Cys)</t>
  </si>
  <si>
    <t>C23-041</t>
  </si>
  <si>
    <t>S23-20741</t>
  </si>
  <si>
    <t>I-CDKN2A Copy number loss: 0.2</t>
  </si>
  <si>
    <t>I-CDKN2B Copy number loss: 0.2</t>
  </si>
  <si>
    <t>I-EGFR Amplification Copy number: 92.0</t>
  </si>
  <si>
    <t>II-CDK6 Amplification Copy number: 5.0</t>
  </si>
  <si>
    <t>II-MDM4 Amplification Copy number: 25.6</t>
  </si>
  <si>
    <t>C23-042</t>
  </si>
  <si>
    <t>S23-21118</t>
  </si>
  <si>
    <t>II-PTEN: p.(Tyr65Ter)</t>
  </si>
  <si>
    <t xml:space="preserve">II-FGFR3: p.(Gly380Arg) </t>
  </si>
  <si>
    <t>C23-049</t>
  </si>
  <si>
    <t>S23-24047</t>
  </si>
  <si>
    <t>I-PTEN: p.(Gly36Arg)</t>
  </si>
  <si>
    <t>C23-053</t>
  </si>
  <si>
    <t>S23-24383</t>
  </si>
  <si>
    <t>I-EGFR Amplification Copy number: 257.7</t>
  </si>
  <si>
    <t>II-NF1: p.(Glu1458Lysfs*11)</t>
  </si>
  <si>
    <t>C23-064</t>
  </si>
  <si>
    <t>S23-29891</t>
  </si>
  <si>
    <t>I-H3F3A: p.(Lys28Met)</t>
  </si>
  <si>
    <t>C23-065</t>
  </si>
  <si>
    <t>S23-30233</t>
  </si>
  <si>
    <t>I-EGFR Amplification Copy number: 40.8</t>
  </si>
  <si>
    <t>II-CDK4 Amplification Copy number: 76.7</t>
  </si>
  <si>
    <t>II-MDM2 Amplification Copy number: 86.0</t>
  </si>
  <si>
    <t>II-PTEN: p.(Met134Ile)</t>
  </si>
  <si>
    <t>II-PTPN11: p.(Gly60Val)</t>
  </si>
  <si>
    <t>C23-072</t>
  </si>
  <si>
    <t>S23-35364</t>
  </si>
  <si>
    <t>C23-073</t>
  </si>
  <si>
    <t>S23-35398</t>
  </si>
  <si>
    <t>II-TP53:  p.(Arg282Trp)</t>
  </si>
  <si>
    <t>III-MSH6: p.(Leu147Arg)</t>
  </si>
  <si>
    <t>C23-074</t>
  </si>
  <si>
    <t>S23-35840</t>
  </si>
  <si>
    <t>II-CDK4 Amplification Copy number: 63.6</t>
  </si>
  <si>
    <t>II-MDM2 Amplification Copy number: 64.6</t>
  </si>
  <si>
    <t>II-PDGFRA Amplification Copy number: 65.8</t>
  </si>
  <si>
    <t>III-MSH6: p.(Phe1103Ile)</t>
  </si>
  <si>
    <t>C23-079</t>
  </si>
  <si>
    <t>S23-37269</t>
  </si>
  <si>
    <t>I-ATRX: c.371-1G&gt;A p.(?)</t>
  </si>
  <si>
    <t>I-PTEN:  c.253+1G&gt;A p.(?)</t>
  </si>
  <si>
    <t>II-MSH6: p.(Thr1219Ile)</t>
  </si>
  <si>
    <t>II-PDGFRA: p.(Pro577Ser)</t>
  </si>
  <si>
    <t>II-TP53: c.375G&gt;A p.(?)</t>
  </si>
  <si>
    <t>III-MDM2: p.(Glu346Lys)</t>
  </si>
  <si>
    <t>III-MSH6: p.(Pro389Ser)</t>
  </si>
  <si>
    <t xml:space="preserve">III-NTRK1: p.(Gly219Arg) </t>
  </si>
  <si>
    <t>III-NTRK3: p.(Gly504Ser)</t>
  </si>
  <si>
    <t>III-POLE: p.(Gln1243*)</t>
  </si>
  <si>
    <t>C23-082</t>
  </si>
  <si>
    <t>S23-37561</t>
  </si>
  <si>
    <t>I-EGFR Amplification Copy number: 43.8</t>
  </si>
  <si>
    <t>C23-084</t>
  </si>
  <si>
    <t>S23-38023</t>
  </si>
  <si>
    <t>RGNT</t>
  </si>
  <si>
    <t>ABNORMAL, MONOSOMY 9: nuc ish(CDKN2A,D9Z1)x1[70/200]</t>
  </si>
  <si>
    <t>II-PIK3CA: p.(Arg88Gln)</t>
  </si>
  <si>
    <t>II-FGFR1: p.(Asn577Lys)</t>
  </si>
  <si>
    <t>C23-088</t>
  </si>
  <si>
    <t>S23-40968</t>
  </si>
  <si>
    <t>II-MET: p.(Asp1246His)</t>
  </si>
  <si>
    <t>II-PIK3CA: p.(His1047Leu)</t>
  </si>
  <si>
    <t>III-HIFN1A: p.(Arg114His)</t>
  </si>
  <si>
    <t>C23-093</t>
  </si>
  <si>
    <t>S23-42873</t>
  </si>
  <si>
    <t>ABNORMAL, MONOSOMY 9: nuc ish(CDKN2A,D9Z1)x1[77/200]</t>
  </si>
  <si>
    <t>I-BRAF: p.(Val600Glu)</t>
  </si>
  <si>
    <t>C23-098</t>
  </si>
  <si>
    <t>S23-44193</t>
  </si>
  <si>
    <t>I-IDH1:p.Arg132His</t>
  </si>
  <si>
    <t>II-TP53:  p.(Arg248Gln)</t>
  </si>
  <si>
    <t>C23-099</t>
  </si>
  <si>
    <t>S23-44475</t>
  </si>
  <si>
    <t>I-CDKN2B Deletion Copy number: 0.3</t>
  </si>
  <si>
    <t>II-EGFR:  p.(Leu861Arg)</t>
  </si>
  <si>
    <t>III-NF1: p.(Cys1016Phe)</t>
  </si>
  <si>
    <t>C23-114</t>
  </si>
  <si>
    <t>S23-48429</t>
  </si>
  <si>
    <t>CO-DELETION, WITH ABNORMAL PATTERNS: nuc ish(TP73x1,ABL2x2)[51/200]/(TP73x1,ABL2x3~4)[37/200]/(TP73x2,ABL2x3~4[68/200],(ZNF443x2,GLTSCR1x1)[45/200]/(ZNF443x3,GLTSCR1x1)[19/200]/(ZNF443x3~4,GLTSCR1x2)[77/200]</t>
  </si>
  <si>
    <t>I-IDH2: p.(Arg172Lys)</t>
  </si>
  <si>
    <t>C23-121</t>
  </si>
  <si>
    <t>S23-50394</t>
  </si>
  <si>
    <t>III-EGFR: p.(Gly598Val)</t>
  </si>
  <si>
    <t>C23-122</t>
  </si>
  <si>
    <t>S23-50606</t>
  </si>
  <si>
    <t>I-EGFR Amplification Copy number: 4.9</t>
  </si>
  <si>
    <t>C23-127</t>
  </si>
  <si>
    <t>S23-51685</t>
  </si>
  <si>
    <t>10 (cl)</t>
  </si>
  <si>
    <t>II-NF1: p.(Phe1031Trpfs*7)</t>
  </si>
  <si>
    <t>C23-128</t>
  </si>
  <si>
    <t>S23-51941</t>
  </si>
  <si>
    <t>II-FGFR3: p.(Lys687Asp)</t>
  </si>
  <si>
    <t>III-PMS2: p.(Gly528Ser)</t>
  </si>
  <si>
    <t>C23-129</t>
  </si>
  <si>
    <t>S23-51968</t>
  </si>
  <si>
    <t>II-CDK4 Amplification Copy number: 21.4</t>
  </si>
  <si>
    <t>II-PDGFRA Amplification Copy number: 26.3</t>
  </si>
  <si>
    <t>II-TP53: p.(Met237Val)</t>
  </si>
  <si>
    <t>C23-131</t>
  </si>
  <si>
    <t>S23-52744</t>
  </si>
  <si>
    <t>I-CDKN2A Copy number loss: 0.1</t>
  </si>
  <si>
    <t>I-CDKN2B Copy number loss: 0.1</t>
  </si>
  <si>
    <t>I-EGFR Amplification Copy number: 43.6</t>
  </si>
  <si>
    <t>II-EGFR:  p.(Gly719Asp)</t>
  </si>
  <si>
    <t>II-EGFR: p.(Ala289Val)</t>
  </si>
  <si>
    <t>II-PTEN: p.(Ala34Gly)</t>
  </si>
  <si>
    <t>C23-140</t>
  </si>
  <si>
    <t>S23-56661</t>
  </si>
  <si>
    <t>II-PDGFRA Amplification Copy number: 5.6</t>
  </si>
  <si>
    <t>II-TP53: p.(Gln317*)</t>
  </si>
  <si>
    <t>II-TP53: p.(Val157Gly)</t>
  </si>
  <si>
    <t>C23-147</t>
  </si>
  <si>
    <t>S23-58062</t>
  </si>
  <si>
    <t>ABNORMAL NO EGFR AMP: nuc ish(EGFR,D7Z1)x3[26/120],(D10Z1,PTEN)x1[89/200]</t>
  </si>
  <si>
    <t>PTEN DEL</t>
  </si>
  <si>
    <t>II-PDGFRA Amplification Copy number: 9.9</t>
  </si>
  <si>
    <t>II-PTEN:  p.(Lys237*)</t>
  </si>
  <si>
    <t>C23-155</t>
  </si>
  <si>
    <t>S23-60779</t>
  </si>
  <si>
    <t>II-FGFR1: p.(Asn577Ser)</t>
  </si>
  <si>
    <t>II-FGFR1: p.(Lys687Glu)</t>
  </si>
  <si>
    <t>C23-159</t>
  </si>
  <si>
    <t>S23-61565</t>
  </si>
  <si>
    <t>EVN</t>
  </si>
  <si>
    <t>I- Fusion FGFR1 Exon 17 -  TACC1 Exon 7</t>
  </si>
  <si>
    <t>C23-169</t>
  </si>
  <si>
    <t>S23-63574</t>
  </si>
  <si>
    <t>EGFR amp: nuc ish(EGFRx15~20,D7Z1x2~3)[60],(D10Z1,PTEN)x1[149/200]</t>
  </si>
  <si>
    <t>III-PIK3CA: p.(Arg4*)</t>
  </si>
  <si>
    <t>C23-171</t>
  </si>
  <si>
    <t>S23-63881</t>
  </si>
  <si>
    <t>II-TP53:p.(Thr155Ile)</t>
  </si>
  <si>
    <t>III-ATRX: p.(Arg2178Gln)</t>
  </si>
  <si>
    <t>III-KRAS: p.(Glu63del)</t>
  </si>
  <si>
    <t>C24-001</t>
  </si>
  <si>
    <t>S24-477</t>
  </si>
  <si>
    <t>ABNORMAL, MONOSOMY 9:nuc ish(CDKN2A,D9Z1)x1[85/200]</t>
  </si>
  <si>
    <t>I-ATRX: p.(Lys1166Glufs*8)</t>
  </si>
  <si>
    <t>C24-002</t>
  </si>
  <si>
    <t>S24-519</t>
  </si>
  <si>
    <t>I-ATRX: p.(Gln1224*)</t>
  </si>
  <si>
    <t>II-NF1: p.(Gln2263*)</t>
  </si>
  <si>
    <t>II-TP53: c.920-1G&gt;A p.(?)</t>
  </si>
  <si>
    <t>III-ATRX x1, BRAFx1,  MLH1x1, MSH6x1, NF1x3, NTRK2x1, POLEx1, PIK3CA1x1, PTPN11x1, RB1x1, SMARCB1x3, TP53x1</t>
  </si>
  <si>
    <t>C24-007</t>
  </si>
  <si>
    <t>S24-3119</t>
  </si>
  <si>
    <t>DELETION HOMO: nuc ish(CDKN2Ax0,D9Z1x1)[104/200]/(CDKN2Ax0,D9Z1x2)[15/200]</t>
  </si>
  <si>
    <t>I-BRAF: c.1799T&gt;A p.(Val600Glu)</t>
  </si>
  <si>
    <t>C24-008</t>
  </si>
  <si>
    <t>S24-4186</t>
  </si>
  <si>
    <t>C24-010</t>
  </si>
  <si>
    <t>S24-4471</t>
  </si>
  <si>
    <t>I-EGFR Amplification Copy number: 9.6</t>
  </si>
  <si>
    <t>II-CDK6 Amplification Copy number: 6.8</t>
  </si>
  <si>
    <t>II-TP53: p.(Arg110Leu)</t>
  </si>
  <si>
    <t>II-TP53: c.559+4A&gt;T p.(?)</t>
  </si>
  <si>
    <t>C24-021</t>
  </si>
  <si>
    <t>S24-7272</t>
  </si>
  <si>
    <t xml:space="preserve">CO-DELETION WITH ABNORMAL PATTERNS: nuc ish(TP73x1,ABL2x2)[86/200]/(TP73,ABL2)x1[67/200],(ZNF443x2,GLTSCR1x1)[110/200]/(ZNF443,GLTSCR1)x1[67/200]    </t>
  </si>
  <si>
    <t>II-KRAS: p.(Gly12Ala)</t>
  </si>
  <si>
    <t>C24-022</t>
  </si>
  <si>
    <t>S24-7624</t>
  </si>
  <si>
    <t>I-MLH1: p.(Ala681Thr)</t>
  </si>
  <si>
    <t>C24-023</t>
  </si>
  <si>
    <t>S24-7939 / S24-24215</t>
  </si>
  <si>
    <t>II-PIK3CA: p.(His1047Arg)</t>
  </si>
  <si>
    <t>C24-024</t>
  </si>
  <si>
    <t>S24-8059</t>
  </si>
  <si>
    <t>C24-026</t>
  </si>
  <si>
    <t>S24-9086/S24-9203</t>
  </si>
  <si>
    <t>II-TP53: p.(Arg248Gln)</t>
  </si>
  <si>
    <t>II-TP53: p.(Leu257Val)</t>
  </si>
  <si>
    <t>C24-028</t>
  </si>
  <si>
    <t>S24-9139</t>
  </si>
  <si>
    <t>I-Fusion KIAA1549 Exon 9 -BRAF Exon 9</t>
  </si>
  <si>
    <t>C24-035</t>
  </si>
  <si>
    <t>S24-11743</t>
  </si>
  <si>
    <t>I-EGFR Amplification Copy number: 54.6</t>
  </si>
  <si>
    <t>II-CDK4 Amplification Copy number: 27.7</t>
  </si>
  <si>
    <t>II-MDM2 Amplification Copy number: 57.5</t>
  </si>
  <si>
    <t>C24-037</t>
  </si>
  <si>
    <t>S24-13382</t>
  </si>
  <si>
    <t>II-NF1: p.(Gln963Ter)</t>
  </si>
  <si>
    <t>III-NF1: p.(Leu529Arg)</t>
  </si>
  <si>
    <t>C24-045</t>
  </si>
  <si>
    <t>S24-15802</t>
  </si>
  <si>
    <t>I- Fusion EGFR Exon 1 :: EGFR Exon 8</t>
  </si>
  <si>
    <t xml:space="preserve">I-TERTp: c.-146C&gt;T </t>
  </si>
  <si>
    <t>II-BRAF: p.(Gly464Glu)</t>
  </si>
  <si>
    <t>II-EGFR Amplification Copy number: 12.5</t>
  </si>
  <si>
    <t>II-KRAS: p.(Thr50Ile)</t>
  </si>
  <si>
    <t>II-MDM4 Amplification Copy number: 14.9</t>
  </si>
  <si>
    <t>II-MSH6:c.3172+1G&gt;A p.(?)</t>
  </si>
  <si>
    <t>III-MSH6:  p.(Gly1069Glu)</t>
  </si>
  <si>
    <t>C24-047</t>
  </si>
  <si>
    <t>S24-16252</t>
  </si>
  <si>
    <t>I-EGFR Amplification Copy number: 6.4</t>
  </si>
  <si>
    <t xml:space="preserve">II-EGFR: p.(Ala289Val) </t>
  </si>
  <si>
    <t>II-PIK3CA: p.(Glu542Lys)</t>
  </si>
  <si>
    <t>II-TP53:  p.(His179Tyr)</t>
  </si>
  <si>
    <t>II-TP53:p.(Ser241Phe)</t>
  </si>
  <si>
    <t>III-ATRX: p.(Asn2140Ser)</t>
  </si>
  <si>
    <t>C24-049</t>
  </si>
  <si>
    <t>S24-16984</t>
  </si>
  <si>
    <t>C24-054</t>
  </si>
  <si>
    <t>S24-18485</t>
  </si>
  <si>
    <t>LOW DELETION HOMO: nuc ish(CDKN2Ax0,D9Z1x1)[12/200]/(CDKN2Ax0,D9Z1x2)[12/200]/(CDKN2A,D9Z1)x3~4[68/200]</t>
  </si>
  <si>
    <t>I-ATRX: p.(Leu413Lysfs*20)</t>
  </si>
  <si>
    <t>I-IDH1: p.(Arg132Ser)</t>
  </si>
  <si>
    <t>II-TP53: p.(Arg273Cys)</t>
  </si>
  <si>
    <t>C24-055</t>
  </si>
  <si>
    <t>S24-18543</t>
  </si>
  <si>
    <t>CBM</t>
  </si>
  <si>
    <t>DELETION HOMO: nuc ish(CDKN2Ax0,D9Z1x1)[77/200]/(CDKN2Ax0,D9Z1x2)[87/200]/(CDKN2Ax0,D9Z1x3)[15/200]</t>
  </si>
  <si>
    <t>C24-057</t>
  </si>
  <si>
    <t>S24-18856</t>
  </si>
  <si>
    <t>I-PTEN: p.(Thr319*)</t>
  </si>
  <si>
    <t>II-MSH2: p.(Leu270Pro)</t>
  </si>
  <si>
    <t>NF1: p.(Arg1968*)</t>
  </si>
  <si>
    <t>II-TP53: p.(Arg248Trp)</t>
  </si>
  <si>
    <t>II-TP53: p.(Arg273His)</t>
  </si>
  <si>
    <t>III-ATRX: p.(Arg2079Gln)</t>
  </si>
  <si>
    <t>C24-059</t>
  </si>
  <si>
    <t>S24-21333</t>
  </si>
  <si>
    <t>C24-060</t>
  </si>
  <si>
    <t>S24-21529</t>
  </si>
  <si>
    <t>C24-070</t>
  </si>
  <si>
    <t>S24-22558</t>
  </si>
  <si>
    <t>C24-076</t>
  </si>
  <si>
    <t>S24-23494</t>
  </si>
  <si>
    <t>C24-086</t>
  </si>
  <si>
    <t>S24-26012</t>
  </si>
  <si>
    <t>C24-094</t>
  </si>
  <si>
    <t>S24-27768</t>
  </si>
  <si>
    <t>C24-097</t>
  </si>
  <si>
    <t>S24-28297</t>
  </si>
  <si>
    <t>C24-098</t>
  </si>
  <si>
    <t>S24-28301</t>
  </si>
  <si>
    <t>C24-107</t>
  </si>
  <si>
    <t>S24-30517</t>
  </si>
  <si>
    <t>Done</t>
  </si>
  <si>
    <t>II-CDK4 Amplification Copy number: 74.0</t>
  </si>
  <si>
    <t>II-MDM2 Amplification Copy number: 84.5</t>
  </si>
  <si>
    <t>II-PDGFRA Amplification Copy number: 7.7</t>
  </si>
  <si>
    <t>II-PIK3CA: c.241G&gt;A p.(Glu81Lys) 27%</t>
  </si>
  <si>
    <t>C24-108</t>
  </si>
  <si>
    <t>S24-31096</t>
  </si>
  <si>
    <t>I-ATRX: c.3701delT p.(Val1234Glyfs*44) 51%</t>
  </si>
  <si>
    <t>C24-109</t>
  </si>
  <si>
    <t>S24-31452</t>
  </si>
  <si>
    <t>Cerebellar/brainstem</t>
  </si>
  <si>
    <t>I-IDH1: c.394C&gt;G p.(Arg132Gly) 19%</t>
  </si>
  <si>
    <t>II-TP53: c.329G&gt;T p.(Arg110Leu) 15%</t>
  </si>
  <si>
    <t>II-TP53: c.416_450dup p.(Pro151Argfs*31) 10%</t>
  </si>
  <si>
    <t>C24-110</t>
  </si>
  <si>
    <t>S24-31738</t>
  </si>
  <si>
    <t>C24-111</t>
  </si>
  <si>
    <t>S24-31971 / S24-32053</t>
  </si>
  <si>
    <t>I-CDKN2A Deletion Copy number: 0.4</t>
  </si>
  <si>
    <t>II-PIK3CA: c.317G&gt;T p.(Gly106Val) 48%</t>
  </si>
  <si>
    <t>II-PTEN: c.368A&gt;G p.(His123Arg) 64%</t>
  </si>
  <si>
    <t>II-TP53: c.817C&gt;T p.(Arg273Cys) 40%</t>
  </si>
  <si>
    <t>III_TP53: c.641A&gt;C p.(His214Pro) 37%</t>
  </si>
  <si>
    <t>C24-112</t>
  </si>
  <si>
    <t>S24-31981</t>
  </si>
  <si>
    <t>?dissemination</t>
  </si>
  <si>
    <t>II-NF1: c.7909C&gt;T p.(Arg2637*) 23%</t>
  </si>
  <si>
    <t>III-NF1: c.4556G&gt;A p.(Gly1519Glu) 32%</t>
  </si>
  <si>
    <t>C24-113</t>
  </si>
  <si>
    <t>S24-32477</t>
  </si>
  <si>
    <t>II-PTPN11: c.1508G&gt;T p.(Gly503Val) 30%</t>
  </si>
  <si>
    <t>C24-116</t>
  </si>
  <si>
    <t>S24-33454</t>
  </si>
  <si>
    <t>I-IDH1: c.395G&gt;A p.(Arg132His) 16%</t>
  </si>
  <si>
    <t>I-TP53: c.743G&gt;A p.(Arg248Gln) 7%</t>
  </si>
  <si>
    <t>C24-117</t>
  </si>
  <si>
    <t>S24-34515</t>
  </si>
  <si>
    <t>previous DNET SMH</t>
  </si>
  <si>
    <t>I-IDH1: c.395G&gt;A p.(Arg132His) 38%</t>
  </si>
  <si>
    <t>II-TP53: c.830G&gt;T p.(Cys277Phe) 79%</t>
  </si>
  <si>
    <t>C24-118</t>
  </si>
  <si>
    <t>S24-35279</t>
  </si>
  <si>
    <t>disseminated</t>
  </si>
  <si>
    <t>I-TERTp:  c.-124C&gt;T p.(?) 25%</t>
  </si>
  <si>
    <t>II-NF1: c.4600C&gt;T p.(Arg1534*) 17%</t>
  </si>
  <si>
    <t>II-NF1: c.574C&gt;T p.(Arg192*) 21%</t>
  </si>
  <si>
    <t>C24-119</t>
  </si>
  <si>
    <t>S24-36319</t>
  </si>
  <si>
    <t>GNC</t>
  </si>
  <si>
    <t>ganglioneurocytoma</t>
  </si>
  <si>
    <t>I-Fusion: KANK1 Exon 2 - NTRK2 Exon 16</t>
  </si>
  <si>
    <t>C24-120</t>
  </si>
  <si>
    <t>S24-36390</t>
  </si>
  <si>
    <t>C24-121</t>
  </si>
  <si>
    <t>S24-37212</t>
  </si>
  <si>
    <t>non-dx biopsy, cellularity too low</t>
  </si>
  <si>
    <t>Normal</t>
  </si>
  <si>
    <t>C24-122</t>
  </si>
  <si>
    <t>S24-37577</t>
  </si>
  <si>
    <t>Thalamic component</t>
  </si>
  <si>
    <t>I-EGFR Amplification Copy number: 27.0</t>
  </si>
  <si>
    <t>I-TERTp: c.-124C&gt;T p.(?) 25%</t>
  </si>
  <si>
    <t>II-PTEN: c.955_958delACTT p.(Thr319*) 46%</t>
  </si>
  <si>
    <t>C24-123</t>
  </si>
  <si>
    <t>S24-37829</t>
  </si>
  <si>
    <t>I-Fusion: EML4 Exon 2 - NTRK2 Exon 16</t>
  </si>
  <si>
    <t>II-PIK3CA: c.3103G&gt;A p.(Ala1035Thr) 28%</t>
  </si>
  <si>
    <t>II-PIK3CA: c.1A&gt;G p.(Met1?) 59%</t>
  </si>
  <si>
    <t>C24-124</t>
  </si>
  <si>
    <t>S24-38688</t>
  </si>
  <si>
    <t>I-ATRX: c.1185_1189del p.(Lys396Cysfs*4) 57%</t>
  </si>
  <si>
    <t>I-IDH2: c.515G&gt;A p.(Arg172Lys) 28%</t>
  </si>
  <si>
    <t>II-TP53: c.742C&gt;T p.(Arg248Trp) 59%</t>
  </si>
  <si>
    <t>C24-125</t>
  </si>
  <si>
    <t>S24-38712</t>
  </si>
  <si>
    <t>I-ATRX: c.6338_6341del p.(Phe2113Serfs*9) 88%</t>
  </si>
  <si>
    <t>I-IDH1: c.394C&gt;T p.(Arg132Cys) 43%</t>
  </si>
  <si>
    <t>II-CDKN2A:  c.233_234delTC p.(Leu78Hisfs*41) 99%</t>
  </si>
  <si>
    <t>II-TP53: c.817C&gt;T p.(Arg273Cys) 85%</t>
  </si>
  <si>
    <t>C24-126</t>
  </si>
  <si>
    <t>S24-38859</t>
  </si>
  <si>
    <t>II-NF1: c.5045_5046delGT p.(Cys1682*) 22%</t>
  </si>
  <si>
    <t>III-NF1: c.7159_7164delAACTTT p.(Asn2387_Phe2388del) 24%</t>
  </si>
  <si>
    <t>C24-127</t>
  </si>
  <si>
    <t>S24-39856</t>
  </si>
  <si>
    <t>I-EGFR Amplification Copy number: 57.5</t>
  </si>
  <si>
    <t>II-PIK3CA: c.1618C&gt;G p.(Leu540Val) 42%</t>
  </si>
  <si>
    <t>C24-128</t>
  </si>
  <si>
    <t>S24-40258</t>
  </si>
  <si>
    <t>C24-129</t>
  </si>
  <si>
    <t>S24-40347</t>
  </si>
  <si>
    <t>EPE/3</t>
  </si>
  <si>
    <t>I-Fusion: ZFTA Exon 3 - RELA Exon 2</t>
  </si>
  <si>
    <t>C24-130</t>
  </si>
  <si>
    <t>S24-41262</t>
  </si>
  <si>
    <t>C24-131</t>
  </si>
  <si>
    <t>S24-41506</t>
  </si>
  <si>
    <t>CO-DELETION (42.5 - 38%): nuc ish(TP73x1,ABL2x2)[85/200]/(TP73x2,ABL2x3~4)[20/200],(ZNF443x2,GLTSCR1x1)[76/200]/(ZNF443x4,GLTSCR1x2)[64/200]</t>
  </si>
  <si>
    <t>C24-132</t>
  </si>
  <si>
    <t>S24-41653</t>
  </si>
  <si>
    <t>II-PTEN: c.389G&gt;A p.(Arg130Gln) 56%</t>
  </si>
  <si>
    <t>II-RB1: c.1649delT p.(Leu550*) 54%</t>
  </si>
  <si>
    <t>II-TP53: c.782+1G&gt;A p.(?) 63%</t>
  </si>
  <si>
    <t>C24-133</t>
  </si>
  <si>
    <t>S24-42539</t>
  </si>
  <si>
    <t>I-Fusion: FGFR3 Exon 17 - TACC3 Exon 10</t>
  </si>
  <si>
    <t>II-PTEN: c.955_958delACTT p.(Thr319*) 71%</t>
  </si>
  <si>
    <t>C24-134</t>
  </si>
  <si>
    <t>S24-42981</t>
  </si>
  <si>
    <t>II-MDM4 Amplification Copy number: 5.0</t>
  </si>
  <si>
    <t>II-PTEN: c.649G&gt;T p.(Val217Phe) 66%</t>
  </si>
  <si>
    <t>II-RB1: c.1901C&gt;G p.(Ser634*) 74%</t>
  </si>
  <si>
    <t>II-TP53: c.454C&gt;T p.(Pro152Ser) 69%</t>
  </si>
  <si>
    <t>C24-135</t>
  </si>
  <si>
    <t>S24-44071</t>
  </si>
  <si>
    <t>prior IDHA; ?radiation induced sarcoma</t>
  </si>
  <si>
    <t>II-TP53: c.770_774dup p.(Asp259Trpfs*88) 93%</t>
  </si>
  <si>
    <t>C24-136</t>
  </si>
  <si>
    <t>S24-44387</t>
  </si>
  <si>
    <t>Negative; Abnormal - EXTRA SIGNALS (30.5 - 46.5%): nuc ish(TP73,ABL2)x3~4[61/200],(CDKN2A,D9Z1)x3~4[56/200],(ZNF443,GLTSCR1)x3~4[93/200]</t>
  </si>
  <si>
    <t>Negative; Abnormal - EXTRA SIGNALS (28%): nuc ish(TP73,ABL2)x3~4[61/200],(CDKN2A,D9Z1)x3~4[56/200],(ZNF443,GLTSCR1)x3~4[93/200]</t>
  </si>
  <si>
    <t>C24-137</t>
  </si>
  <si>
    <t>S24-44525</t>
  </si>
  <si>
    <t>II-MSH6: c.4002-2A&gt;G p.(?) 8%</t>
  </si>
  <si>
    <t>II-PIK3CA: c.263G&gt;A p.(Arg88Gln) 7%</t>
  </si>
  <si>
    <t>II-RB1: c.1072C&gt;T p.(Arg358*) 33%</t>
  </si>
  <si>
    <t>III-NF1: c.4312G&gt;A p.(Gly1438Ser) 21%</t>
  </si>
  <si>
    <t>C24-138</t>
  </si>
  <si>
    <t>S24-44650</t>
  </si>
  <si>
    <t>4V/Brainstem</t>
  </si>
  <si>
    <t>I-H3F3A, H3F3AP4: c.83A&gt;T p.(Lys28Met) 40%</t>
  </si>
  <si>
    <t>II-PIK3CA: c.1633G&gt;A p.(Glu545Lys) 25%</t>
  </si>
  <si>
    <t>II-TP53: c.733G&gt;A p.(Gly245Ser) 61%</t>
  </si>
  <si>
    <t>C24-139</t>
  </si>
  <si>
    <t>S24-45537</t>
  </si>
  <si>
    <t>II-MSH2: c.1204C&gt;T p.(Gln402*) 90%</t>
  </si>
  <si>
    <t>II-NF1: c.5323C&gt;T p.(Gln1775*) 39%</t>
  </si>
  <si>
    <t>II-PIK3CA: c.263G&gt;A p.(Arg88Gln) 40%</t>
  </si>
  <si>
    <t>II-TP53: c.473G&gt;A p.(Arg158His) 70%</t>
  </si>
  <si>
    <t>III-PTEN: c.737C&gt;T p.(Pro246Leu) 5%</t>
  </si>
  <si>
    <t>C24-140</t>
  </si>
  <si>
    <t>S24-45678</t>
  </si>
  <si>
    <t>CO-DELETION (56 - 63.5%): nuc ish(TP73x1,ABL2x2)[112/200],(CDKN2A,D9Z1)x2[200],(ZNF443x2,GLTSCR1x1)[127/200]</t>
  </si>
  <si>
    <t>C24-141</t>
  </si>
  <si>
    <t>S24-45845</t>
  </si>
  <si>
    <t>41 (cl)</t>
  </si>
  <si>
    <t>CO-DELETION (65.0 - 64.0%): nuc ish(TP73x1,ABL2x2)[130/200],(CDKN2A,D9Z1)x2[200],(ZNF443x2,GLTSCR1x1)[128//200]</t>
  </si>
  <si>
    <t>C24-142</t>
  </si>
  <si>
    <t>S24-45896</t>
  </si>
  <si>
    <t>ABNORMAL, MONOSOMY 10 (39%): nuc ish(EGFR,D7Z1)x2[60],(D10Z1,PTEN)x1[78/200]</t>
  </si>
  <si>
    <t>II-CDK4 Amplification Copy number: 6.4</t>
  </si>
  <si>
    <t>II-MDM2 Amplification Copy number: 8.3</t>
  </si>
  <si>
    <t>II-PDGFRA Amplification Copy number: 11.4</t>
  </si>
  <si>
    <t>C24-143</t>
  </si>
  <si>
    <t>S24-47021</t>
  </si>
  <si>
    <t>_0405944</t>
  </si>
  <si>
    <t>56 (cl)</t>
  </si>
  <si>
    <t>CO-DELETION (55-64%): nuc ish(TP73x1,ABL2x2)[110/200]/(TP73,ABL2)x1[79/200],(ZNF443x2,GLTSCR1x1)[128/200]</t>
  </si>
  <si>
    <t>C24-144</t>
  </si>
  <si>
    <t>S24-48053</t>
  </si>
  <si>
    <t>?"FCD" Sick Kids</t>
  </si>
  <si>
    <t>Abnormal, EXTRA SIGNAL (18%): nuc ish(EGFR,D7Z1)x3[22/120],(D10Z1,PTEN)x2[200]</t>
  </si>
  <si>
    <t>II-PIK3CA: c.1635G&gt;T p.(Glu545Asp) 36%</t>
  </si>
  <si>
    <t>II-PIK3CA: c.3140A&gt;G p.(His1047Arg) 39%</t>
  </si>
  <si>
    <t>C24-145</t>
  </si>
  <si>
    <t>S24-48597</t>
  </si>
  <si>
    <t>HPAP</t>
  </si>
  <si>
    <t>II-PTEN Deletion Copy number: 0.5</t>
  </si>
  <si>
    <t>II-TP53: c.1024C&gt;T p.(Arg342*) 87%</t>
  </si>
  <si>
    <t>C24-146</t>
  </si>
  <si>
    <t>S24-48934</t>
  </si>
  <si>
    <t>I-ATRX: c.6337_6340delTTTA p.(Phe2113SerfsTer9) 40%</t>
  </si>
  <si>
    <t>I-IDH1: c.394C&gt;T p.(Arg132Cys) 44%</t>
  </si>
  <si>
    <t>I-TP53: c.839G&gt;C p.(Arg280Thr) 89%</t>
  </si>
  <si>
    <t>C24-147</t>
  </si>
  <si>
    <t>S24-52906</t>
  </si>
  <si>
    <t>I-EGFR Amplification Copy number: 41.3</t>
  </si>
  <si>
    <t>I-TERTp: c.-124C&gt;T p.(?) 48%</t>
  </si>
  <si>
    <t>II-MLH1: c.911A&gt;C p.(Asp304Ala) 52%</t>
  </si>
  <si>
    <t>II-MET: c.3550C&gt;T p.(Arg1184*) 21%</t>
  </si>
  <si>
    <t>C24-148</t>
  </si>
  <si>
    <t>S24-54615</t>
  </si>
  <si>
    <t>CO-DELETION (30 -31%): nuc ish(TP73x1,ABL2x2)[60/200]/(TP73x1~2,ABL2x3)[44/200]/(TP73x2,ABL2x4)[33/200]
(ZNF443x2,GLTSCR1x1)[62/200]/(ZNF443x3~4,GLTSCR1x1)[17/200]/(ZNF443x3~4,GLTSCR1x2)[64/200]</t>
  </si>
  <si>
    <t>C24-149</t>
  </si>
  <si>
    <t>S24-54695</t>
  </si>
  <si>
    <t>I-TERTp: c.-124C&gt;T p.? 53%</t>
  </si>
  <si>
    <t>II-PTPN11: c.215C&gt;A p.(Ala72Asp) 24%</t>
  </si>
  <si>
    <t>C24-150</t>
  </si>
  <si>
    <t>S24-55143</t>
  </si>
  <si>
    <t>BRAF V600E IHC false positive</t>
  </si>
  <si>
    <t>C24-151</t>
  </si>
  <si>
    <t>S24-55451</t>
  </si>
  <si>
    <t>II-FGFR1: c.2056_2059delinsGAAG p.(Lys686_Lys687delinsGluGlu) 25%</t>
  </si>
  <si>
    <t>II-PTEN: c.686C&gt;G p.(Ser229*) 53%</t>
  </si>
  <si>
    <t>C24-152</t>
  </si>
  <si>
    <t>S24-55458</t>
  </si>
  <si>
    <t>I-TERTp: c.-146C&gt;T p.(?) 46%</t>
  </si>
  <si>
    <t xml:space="preserve">II- CDKN2A Deletion Copy number: 0.4 </t>
  </si>
  <si>
    <t>II-CDKN2B Deletion Copy number: 0.3</t>
  </si>
  <si>
    <t>II-EGFR: c.1793G&gt;T p.(Gly598Val) 52%</t>
  </si>
  <si>
    <t>II-EGFR: c.323G&gt;A p.(Arg108Lys) 37%</t>
  </si>
  <si>
    <t>II-PDGFRA Amplification Copy number: 4.5</t>
  </si>
  <si>
    <t>C25-001</t>
  </si>
  <si>
    <t>S25-739</t>
  </si>
  <si>
    <t>DELETION-HOMO: nuc ish(CDKN2Ax0,D9Z1x1)[33/200]/(CDKN2Ax0,D9Z1x2)[14/200]/(CDKN2Ax1,D9Z1x2)[37/200]</t>
  </si>
  <si>
    <t>I-ATRX: c.3026del p.(Tyr1009Leufs*24) 35%</t>
  </si>
  <si>
    <t>II-TP53: c.743G&gt;A p.(Arg248Gln) 73%</t>
  </si>
  <si>
    <t>C25-002</t>
  </si>
  <si>
    <t>S25-760</t>
  </si>
  <si>
    <t>I-EGFR Amplification Copy number: 37.6</t>
  </si>
  <si>
    <t>II-PTEN: c.253+1G&gt;A p.? 51%</t>
  </si>
  <si>
    <t>C25-003</t>
  </si>
  <si>
    <t>S25-982</t>
  </si>
  <si>
    <t xml:space="preserve">Amplification: nuc ish(EGFR amp,D7Z1x1~3)[60],(D10Z1,PTEN)x1[132/200] </t>
  </si>
  <si>
    <t>Deletion (66%): nuc ish(EGFR amp,D7Z1x1~3)[60],(D10Z1,PTEN)x1[132/200]</t>
  </si>
  <si>
    <t>C25-004</t>
  </si>
  <si>
    <t>S25-1904</t>
  </si>
  <si>
    <t>I-BRAF: c.1799T&gt;A p.(Val600Glu) 5%</t>
  </si>
  <si>
    <t>C25-005</t>
  </si>
  <si>
    <t>S25-2100</t>
  </si>
  <si>
    <t xml:space="preserve">CO-DELETION (48 - 52%): nuc ish(TP73x1,ABL2x2)[96/200]/(TP73x2,ABL2x3)[15/200]/(TP73x2,ABL2x4)[11/200],(ZNF443x2,GLTSCR1x1)[104/200]/
(ZNF443x3,GLTSCR1x2)[13/200]/(ZNF443x4,GLTSCR1x2)[11/200]
</t>
  </si>
  <si>
    <t>I-IDH1: c.394C&gt;A p.(Arg132Ser) 45%</t>
  </si>
  <si>
    <t>I-TERTp: c.-124C&gt;T p.? 49%</t>
  </si>
  <si>
    <t>C25-006</t>
  </si>
  <si>
    <t>S25-4127</t>
  </si>
  <si>
    <t>Abnormal, MONOSOMY 10 (72%): nuc ish(EGFR,D7Z1)x2[60],(D10Z1,PTEN)x1[144/200]</t>
  </si>
  <si>
    <t>II-EGFR: c.865G&gt;A p.(Ala289Thr) 41%</t>
  </si>
  <si>
    <t>II-PTEN: c.724delG p.(Glu242SerfsTer14) 31%</t>
  </si>
  <si>
    <t>II-PTPN11: c.1504T&gt;G p.(Ser502Ala) 4%</t>
  </si>
  <si>
    <t>II-RB1: c.718A&gt;T p.? 52%</t>
  </si>
  <si>
    <t>II-CDK4 Amplification Copy number: 10.2</t>
  </si>
  <si>
    <t>II-MDM4 Amplification Copy number: 36.0</t>
  </si>
  <si>
    <t>C25-007</t>
  </si>
  <si>
    <t>S25-4822</t>
  </si>
  <si>
    <t>Intermediate</t>
  </si>
  <si>
    <t>I-ATRX: c.3078_3079delTC p.(Cys1026*) 61%</t>
  </si>
  <si>
    <t>II-PIK3CA: c.3140A&gt;G p.(His1047Arg) 31%</t>
  </si>
  <si>
    <t>II-TP53: c.743G&gt;A p.(Arg248Gln) 74%</t>
  </si>
  <si>
    <t>III-ATRX: c.5227A&gt;G p.(Arg1743Gly) 6%</t>
  </si>
  <si>
    <t>C25-008</t>
  </si>
  <si>
    <t>S25-6139</t>
  </si>
  <si>
    <t>C25-009</t>
  </si>
  <si>
    <t>S25-6943</t>
  </si>
  <si>
    <t>C25-010</t>
  </si>
  <si>
    <t>S25-8904</t>
  </si>
  <si>
    <t>NF1</t>
  </si>
  <si>
    <t>Abnormal, EXTRA SIGNAL (35%): nuc ish(EGFR,D7Z1)x3[21/60],(D10Z1,PTEN)x2[200]</t>
  </si>
  <si>
    <t>I-ATRX: c.1700C&gt;G p.(Ser567*) 19%</t>
  </si>
  <si>
    <t>II-NF1: c.8160+1G&gt;A p.? 13%</t>
  </si>
  <si>
    <t>II-NF1: c.1466A&gt;G p.(Tyr489Cys) 34%</t>
  </si>
  <si>
    <t>C25-011</t>
  </si>
  <si>
    <t>S25-9271</t>
  </si>
  <si>
    <t>CO-DELETION (56.5 - 60.5%): nuc ish(TP73x1,ABL2x2)[113/200],(ZNF443x2,GLTSCR1x1)[121/200]</t>
  </si>
  <si>
    <t>C25-012</t>
  </si>
  <si>
    <t>S25-9395</t>
  </si>
  <si>
    <t>CO-DELETION (37 - 37%): nuc ish(TP73x2,ABL2x3)[74/200],(ZNF443x3,GLTSCR1x2)[74/200]</t>
  </si>
  <si>
    <t>I-IDH1: c.395G&gt;A p.(Arg132His) 62%</t>
  </si>
  <si>
    <t>I-TERTp: c.-124C&gt;T p.? 51%</t>
  </si>
  <si>
    <t>C25-013</t>
  </si>
  <si>
    <t>S25-10614</t>
  </si>
  <si>
    <t>giant cell</t>
  </si>
  <si>
    <t>DELETION-HOMO (25.5%): nuc ish(CDKN2Ax0,D9Z1x1)[29/200]/(CDKN2Ax0,D9Z1x2)[22/200]</t>
  </si>
  <si>
    <t>I-ATRX: c.2976_2979delAAAG p.(Lys993Asnfs*9) 25%</t>
  </si>
  <si>
    <t>I-BRAF: c.1799T&gt;A p.(Val600Glu) 25%</t>
  </si>
  <si>
    <t>I-TP53: c.701A&gt;G p.(Tyr234Cys) 35%</t>
  </si>
  <si>
    <t>C25-014</t>
  </si>
  <si>
    <t>S25-10899</t>
  </si>
  <si>
    <t>I-ATRX: c.3894_3895delinsC p.(Glu1298Aspfs*48) 26%</t>
  </si>
  <si>
    <t>II-PDGFRA: c.1977C&gt;A p.(Asn659Lys) 44%</t>
  </si>
  <si>
    <t>II-TP53: c.536A&gt;G p.(His179Arg) 87%</t>
  </si>
  <si>
    <t>III-ATRX: c.3894_3897delinsCGGA p.(Glu1298Asp) 18%</t>
  </si>
  <si>
    <t>C25-015</t>
  </si>
  <si>
    <t>S25-12349</t>
  </si>
  <si>
    <t>Deletion (36.5%): nuc ish(EGFR,D7Z1)x3[15/60],(D10Z1x2,PTENx1)[73/200]</t>
  </si>
  <si>
    <t>I-Fusion FGFR3 Exon 17 - TACC3 Exon 11</t>
  </si>
  <si>
    <t>I-TERTp: c.-124C&gt;T p.? 40%</t>
  </si>
  <si>
    <t>C25-016</t>
  </si>
  <si>
    <t>ANP25-14</t>
  </si>
  <si>
    <t>III-EGFR: c.1450_1464delTCCGGTCAGAAAACC p.(Ser484_Thr488del) 17%</t>
  </si>
  <si>
    <t xml:space="preserve">III-POLE: c.6136G&gt;A p.? 43% 
</t>
  </si>
  <si>
    <t>C25-017</t>
  </si>
  <si>
    <t>S25-12918</t>
  </si>
  <si>
    <t>I-BRAF: c.1799T&gt;A p.(Val600Glu) 38%</t>
  </si>
  <si>
    <t>I-TERTp: c.-124C&gt;T p.? 37%</t>
  </si>
  <si>
    <t>C25-018</t>
  </si>
  <si>
    <t>S25-13474</t>
  </si>
  <si>
    <t>post TMZ</t>
  </si>
  <si>
    <t>LOW LEVEL DELETION-HOMO (9.5%): nuc ish(CDKN2Ax0,D9Z1x1)[19/200]/(CDKN2Ax1,D9Z1x2~3)[64/200]/(CDKN2Ax2,D9Z1x3~4)[33/200]</t>
  </si>
  <si>
    <t>C25-019</t>
  </si>
  <si>
    <t>S25-14406</t>
  </si>
  <si>
    <t>C25-020</t>
  </si>
  <si>
    <t>S25-14834</t>
  </si>
  <si>
    <t>Amplification, +7 (57%)</t>
  </si>
  <si>
    <t>I-EGFR Amplification Copy number: 5.8</t>
  </si>
  <si>
    <t>I-TERTp: c.-124C&gt;T p.? 44%</t>
  </si>
  <si>
    <t>II-MDM2 Amplification Copy number: 57.0</t>
  </si>
  <si>
    <t>C25-021</t>
  </si>
  <si>
    <t>S25-19393</t>
  </si>
  <si>
    <t>Study #</t>
  </si>
  <si>
    <t>Date of Birth (DD-MM-YYYY)</t>
  </si>
  <si>
    <t>Date of Presentation (DD-MM-YYYY)</t>
  </si>
  <si>
    <t>Age at Presentation</t>
  </si>
  <si>
    <t>Race</t>
  </si>
  <si>
    <t>Smoking History</t>
  </si>
  <si>
    <t>Height known?</t>
  </si>
  <si>
    <t>Height (in metres)</t>
  </si>
  <si>
    <t>Weight known?</t>
  </si>
  <si>
    <t>Weight (in kilograms)</t>
  </si>
  <si>
    <t>BMI (body mass index)</t>
  </si>
  <si>
    <t xml:space="preserve">Myocardial Infarction (1) </t>
  </si>
  <si>
    <t xml:space="preserve">Congestive Heart Failure (1) </t>
  </si>
  <si>
    <t>Peripheral Vascular Disease (1)</t>
  </si>
  <si>
    <t>Cerebrovascular Disease (1)</t>
  </si>
  <si>
    <t>Dementia (1)</t>
  </si>
  <si>
    <t xml:space="preserve">COPD (1) </t>
  </si>
  <si>
    <t xml:space="preserve">Connective Tissue Disease (1) </t>
  </si>
  <si>
    <t>PUD (1)</t>
  </si>
  <si>
    <t xml:space="preserve">DM: Uncomplicated (1) </t>
  </si>
  <si>
    <t>DM: End-organ damage (2)</t>
  </si>
  <si>
    <t>Moderate -severe CKD (2)</t>
  </si>
  <si>
    <t>Hemiplegia (2)</t>
  </si>
  <si>
    <t>Leukemia (2)</t>
  </si>
  <si>
    <t>Malignant Lymphoma (2)</t>
  </si>
  <si>
    <t>Solid tumour: early stage (2)</t>
  </si>
  <si>
    <t>Solid tumour: metastatic (6)</t>
  </si>
  <si>
    <t>Liver disease: mild (1)</t>
  </si>
  <si>
    <t xml:space="preserve">Liver disease: moderate-severe (3) </t>
  </si>
  <si>
    <t>AIDS (6)</t>
  </si>
  <si>
    <t>Date of Diagnosis (DD-MM-YYYY)</t>
  </si>
  <si>
    <t>Age at diagnosis</t>
  </si>
  <si>
    <t>ECOG Performance Status</t>
  </si>
  <si>
    <t>Type of CNS (choice=brain tumour)</t>
  </si>
  <si>
    <t>Leptomeningeal Involvement?</t>
  </si>
  <si>
    <t>Initial Symptoms: Seizures</t>
  </si>
  <si>
    <t>Initial Symptoms: Confusion</t>
  </si>
  <si>
    <t>Initial Symptoms: Headache</t>
  </si>
  <si>
    <t>Initial Symptoms: Weakness</t>
  </si>
  <si>
    <t>Initial Symptoms: Vision changes</t>
  </si>
  <si>
    <t>Initial Symptoms: Balance</t>
  </si>
  <si>
    <t>Initial Symptoms: Speech</t>
  </si>
  <si>
    <t>Initial Symptoms: Other</t>
  </si>
  <si>
    <t>Initial Symptoms Notes</t>
  </si>
  <si>
    <t xml:space="preserve">Histology </t>
  </si>
  <si>
    <t>Subtype</t>
  </si>
  <si>
    <t>Histopath</t>
  </si>
  <si>
    <t>HGG</t>
  </si>
  <si>
    <t>LGG</t>
  </si>
  <si>
    <t>Grade</t>
  </si>
  <si>
    <t>WHO classification</t>
  </si>
  <si>
    <t>IDH status</t>
  </si>
  <si>
    <t>Codeletion status</t>
  </si>
  <si>
    <t xml:space="preserve">IDH and co deletion subtype </t>
  </si>
  <si>
    <t>MGMT methylation</t>
  </si>
  <si>
    <t>MGMT methylation method</t>
  </si>
  <si>
    <t>MSI-H</t>
  </si>
  <si>
    <t>BRAF status</t>
  </si>
  <si>
    <t>ATRX status</t>
  </si>
  <si>
    <t>CDKN2A deletion</t>
  </si>
  <si>
    <t>Complete?</t>
  </si>
  <si>
    <t xml:space="preserve">Surgery date </t>
  </si>
  <si>
    <t>Specimen ID</t>
  </si>
  <si>
    <t>Is patient on MOHCNN?</t>
  </si>
  <si>
    <t xml:space="preserve">Type of surgery </t>
  </si>
  <si>
    <t>Surgery indication</t>
  </si>
  <si>
    <t>Extent of surgical resection</t>
  </si>
  <si>
    <t>Surgical laterality of tumour</t>
  </si>
  <si>
    <t>Surgical location</t>
  </si>
  <si>
    <t xml:space="preserve">Was adjuvant steroids given? </t>
  </si>
  <si>
    <t>Was Temozolomide treatment given?</t>
  </si>
  <si>
    <t>Temozolomide start date</t>
  </si>
  <si>
    <t>Number of adjuvant temozolomide cycles</t>
  </si>
  <si>
    <t xml:space="preserve">Please describe temozolomide treatment </t>
  </si>
  <si>
    <t>Was temozolomide given concurrent to radiotherapy?</t>
  </si>
  <si>
    <t>Was radiotherapy given?</t>
  </si>
  <si>
    <t>Radiation start date</t>
  </si>
  <si>
    <t>Radiation Dose (Gy)</t>
  </si>
  <si>
    <t>Radiation fractions</t>
  </si>
  <si>
    <t>Additional information on radiotherapy treatment</t>
  </si>
  <si>
    <t>Please describe any other treatment given</t>
  </si>
  <si>
    <t>Please describe any treatments using alkylating agents</t>
  </si>
  <si>
    <t>Additional treatment comments</t>
  </si>
  <si>
    <t>Did patient recur/progress?</t>
  </si>
  <si>
    <t>Date of recurrence/progression</t>
  </si>
  <si>
    <t xml:space="preserve">Did patient have additional surgical resection? </t>
  </si>
  <si>
    <t>Recurrence Surgery Date</t>
  </si>
  <si>
    <t>Surgical interval months</t>
  </si>
  <si>
    <t>Type of surgery</t>
  </si>
  <si>
    <t>Co-deletion status</t>
  </si>
  <si>
    <t>IDH and Co-deletion subtype</t>
  </si>
  <si>
    <t>Was patient treated with 2nd line chemotherapy?</t>
  </si>
  <si>
    <t>Please describe 2nd line regimen</t>
  </si>
  <si>
    <t>Start date of 2nd line treatment</t>
  </si>
  <si>
    <t>Why was 2nd line treatment stopped?</t>
  </si>
  <si>
    <t xml:space="preserve">If other, please explain. </t>
  </si>
  <si>
    <t xml:space="preserve">Was patient treated with radiotherapy? </t>
  </si>
  <si>
    <t>Please describe radiotherapy given (dose, fractions)</t>
  </si>
  <si>
    <t>Were other lines of chemotherapy given after 2nd?</t>
  </si>
  <si>
    <t xml:space="preserve">Please describe the chemotherapy regimen and include start/end dates.   </t>
  </si>
  <si>
    <t>Last Follow Up (DD-MM-YYYY)</t>
  </si>
  <si>
    <t>Survival Status</t>
  </si>
  <si>
    <t>Survival (Months)</t>
  </si>
  <si>
    <t>Any additional comments?</t>
  </si>
  <si>
    <t>Comments</t>
  </si>
  <si>
    <t>Most Recent Update (DD-MM-YYYY)</t>
  </si>
  <si>
    <t>Abstractor</t>
  </si>
  <si>
    <t>Male</t>
  </si>
  <si>
    <t>Non-Asian</t>
  </si>
  <si>
    <t>Unknown</t>
  </si>
  <si>
    <t>1: Symptomatic, completely ambulatory</t>
  </si>
  <si>
    <t>Checked</t>
  </si>
  <si>
    <t>Glioblastoma</t>
  </si>
  <si>
    <t>CNS WHO Grade 4</t>
  </si>
  <si>
    <t>IDHwt</t>
  </si>
  <si>
    <t>non codel</t>
  </si>
  <si>
    <t>IDHwt and non codel</t>
  </si>
  <si>
    <t>Unmethylated (U)</t>
  </si>
  <si>
    <t>Qiagen MGMT Pyro Kit</t>
  </si>
  <si>
    <t>Retain</t>
  </si>
  <si>
    <t>Unverified</t>
  </si>
  <si>
    <t>Craniotomy</t>
  </si>
  <si>
    <t>Therapeutic</t>
  </si>
  <si>
    <t>Subtotal</t>
  </si>
  <si>
    <t>Left</t>
  </si>
  <si>
    <t>Dexamethasone</t>
  </si>
  <si>
    <t>Did not receive</t>
  </si>
  <si>
    <t>Dead</t>
  </si>
  <si>
    <t>Steven Cook</t>
  </si>
  <si>
    <t>Past smoker</t>
  </si>
  <si>
    <t>Glioma</t>
  </si>
  <si>
    <t>Diffuse high-grade glioma</t>
  </si>
  <si>
    <t>Qiagen</t>
  </si>
  <si>
    <t>Complete</t>
  </si>
  <si>
    <t>M21-22981</t>
  </si>
  <si>
    <t>Diagnostic</t>
  </si>
  <si>
    <t>Right</t>
  </si>
  <si>
    <t>Had SSI, deferred adjuvant TMZ</t>
  </si>
  <si>
    <t>TMZ x 3 cycles</t>
  </si>
  <si>
    <t>Progression 26-05-2023  Advised possible Bev  Treatment done in Sudbury</t>
  </si>
  <si>
    <t>LTF</t>
  </si>
  <si>
    <t>Kevin Wang</t>
  </si>
  <si>
    <t>0: Asymptomatic</t>
  </si>
  <si>
    <t>unknown</t>
  </si>
  <si>
    <t>Astrocytoma</t>
  </si>
  <si>
    <t>NA</t>
  </si>
  <si>
    <t xml:space="preserve"> -</t>
  </si>
  <si>
    <t>Received</t>
  </si>
  <si>
    <t xml:space="preserve">unknown </t>
  </si>
  <si>
    <t>Dates are estimates (unknown which exact month from 2014-2015)</t>
  </si>
  <si>
    <t>Progression</t>
  </si>
  <si>
    <t>IDHmut</t>
  </si>
  <si>
    <t xml:space="preserve">Given TMZ rechallenge 8-2021 before repeat resection  </t>
  </si>
  <si>
    <t>Disease progression</t>
  </si>
  <si>
    <t>22-12-2021 to 12-10-2022  SOLID trial</t>
  </si>
  <si>
    <t>25-11-2022 to 06-01-2023  54 Gy in 30 fractions</t>
  </si>
  <si>
    <t xml:space="preserve">08-02-2023  Started CCNU post re-RT x 2 cycles    29-03-2023  Repeat resection  </t>
  </si>
  <si>
    <t xml:space="preserve">Re-admitted for cytopenia, VTE, pseudomeningocele </t>
  </si>
  <si>
    <t>Never smoker</t>
  </si>
  <si>
    <t>435 mg oral daily. Stopped in October 2021 due to progression</t>
  </si>
  <si>
    <t>finished 18-12-20</t>
  </si>
  <si>
    <t xml:space="preserve">Enrolled in the Lomustine arm of AGILE clinical trial in October 2021 </t>
  </si>
  <si>
    <t>Asian</t>
  </si>
  <si>
    <t>S22-671 (as of the 2022 surgery)</t>
  </si>
  <si>
    <t>right</t>
  </si>
  <si>
    <t>frontal</t>
  </si>
  <si>
    <t xml:space="preserve">Patient received 8 cycles of Lomustine from December 2020-October 2021  </t>
  </si>
  <si>
    <t>Other</t>
  </si>
  <si>
    <t>Patient completed 8 cycles of Lomustine</t>
  </si>
  <si>
    <t>In January 2022, patient had another progression, underwent repeat surgery last January 7, 2022. Pathology showed recurrent Glioblastoma, PMS2 loss</t>
  </si>
  <si>
    <t>Patient had 2 more cycles of Lomustine post op but repeat MRI showed further progression.</t>
  </si>
  <si>
    <t>Female</t>
  </si>
  <si>
    <t>S22-1164  (Jan 2020 redo resection for progressive disease)</t>
  </si>
  <si>
    <t>left</t>
  </si>
  <si>
    <t>frontoparietal</t>
  </si>
  <si>
    <t>Patient completed 12 cycles of adjuvant TMZ</t>
  </si>
  <si>
    <t>parietal</t>
  </si>
  <si>
    <t>Patient completed another 12 cycles of Temozolomide rechallenge</t>
  </si>
  <si>
    <t>Patient completed 12 cycles</t>
  </si>
  <si>
    <t>54Gy in 30 fractions from Feb 8-March 22, 2022</t>
  </si>
  <si>
    <t>In February 12, 2025, patient presented with another radiographic progression. Started on Lomustine for 2 cycles then presented with further progression in April 2025</t>
  </si>
  <si>
    <t>35 Gy in 10 fractions, ongoing</t>
  </si>
  <si>
    <t>Alive</t>
  </si>
  <si>
    <t>Loss</t>
  </si>
  <si>
    <t>frontotemporoparietal</t>
  </si>
  <si>
    <t>Oligodendroglioma</t>
  </si>
  <si>
    <t>codel</t>
  </si>
  <si>
    <t>Methylated (M)</t>
  </si>
  <si>
    <t>B220316,M22-02013 M22-02014</t>
  </si>
  <si>
    <t>Biopsy</t>
  </si>
  <si>
    <t>Bilateral</t>
  </si>
  <si>
    <t>TMZ x 2cycles</t>
  </si>
  <si>
    <t>unknown; seizure?</t>
  </si>
  <si>
    <t xml:space="preserve">Stopped due to myelosuppression </t>
  </si>
  <si>
    <t>TMZ  23-02-2022 to 15-02-2023</t>
  </si>
  <si>
    <t>13-12-2023  Progression  TMZ rechallenge x 4 cycles    26-06-2024  Repeat resection     08-2024 to 20-09-2024  Repeat RT  54 Gy in 30 fractions    05-12-2024  Progression  Bev</t>
  </si>
  <si>
    <t>Admitted for COVID</t>
  </si>
  <si>
    <t>2: Symptomatic, &lt; 50% in bed</t>
  </si>
  <si>
    <t>High-grade glioma</t>
  </si>
  <si>
    <t>M22-03243 M22-03244</t>
  </si>
  <si>
    <t>Midbrain</t>
  </si>
  <si>
    <t>Complications from concurrent, profound neutropenia, for palliative care</t>
  </si>
  <si>
    <t>Unchecked</t>
  </si>
  <si>
    <t>incidental finding</t>
  </si>
  <si>
    <t xml:space="preserve"> Rosette-forming glioneuronal neoplasm</t>
  </si>
  <si>
    <t>Glioneuronal tumor</t>
  </si>
  <si>
    <t>M22-03348 M22-03349</t>
  </si>
  <si>
    <t>Midline</t>
  </si>
  <si>
    <t xml:space="preserve">Cerebellum </t>
  </si>
  <si>
    <t>3: Symptomatic, &gt; 50% in bed</t>
  </si>
  <si>
    <t>M22-03316 M22-03317</t>
  </si>
  <si>
    <t>Temporal, parietal</t>
  </si>
  <si>
    <t>Palliative</t>
  </si>
  <si>
    <t>M22-05229 M22-05230</t>
  </si>
  <si>
    <t>CCNU</t>
  </si>
  <si>
    <t>Adverse events</t>
  </si>
  <si>
    <t>Went to China</t>
  </si>
  <si>
    <t>S22-9661</t>
  </si>
  <si>
    <t>Frontal, temporal</t>
  </si>
  <si>
    <t>05-07-2022 to 03-11-2022  Roche trial</t>
  </si>
  <si>
    <t xml:space="preserve">21-12-2022 to 15-02-2023  TMZ x 3 cycles    </t>
  </si>
  <si>
    <t>15-03-2023 to 11-05-2023   CCNU x 2 cycles</t>
  </si>
  <si>
    <t xml:space="preserve">05-07-2023  Repeat resection  Path showed recurrent Glioblastoma    08-08-2023  RT 35 Gy in 10 fractions    01-2024 to 02-2024  RT 20 Gy in 4 fractions  </t>
  </si>
  <si>
    <t>aphasia</t>
  </si>
  <si>
    <t>temporal</t>
  </si>
  <si>
    <t>parietotemporal</t>
  </si>
  <si>
    <t>Patient transferred care to Royal Victoria Hospital post chemoradiation</t>
  </si>
  <si>
    <t>Patient apparently had clinical deterioration after concurrent chemoradiation and was not given adjuvant Temozolomide anymore over at RVH</t>
  </si>
  <si>
    <t>M22-06136 M22-06137</t>
  </si>
  <si>
    <t>09/02/2023 - 02/03/2023 40 in 15</t>
  </si>
  <si>
    <t>Diffuse, pediatric type, with BRAF v600E mutation</t>
  </si>
  <si>
    <t>Total</t>
  </si>
  <si>
    <t xml:space="preserve">Patient was on surveillance post surgery. No other treatments given. </t>
  </si>
  <si>
    <t>M22-06678 M22-06679</t>
  </si>
  <si>
    <t>Diffuse HGG</t>
  </si>
  <si>
    <t>B221608 ,M22-07077 M22-07078</t>
  </si>
  <si>
    <t>2-2023  Trametinib</t>
  </si>
  <si>
    <t>24-05-2023 to 30-05-2023  25Gy in 5 fractions</t>
  </si>
  <si>
    <t>26-07-2023  CCNU</t>
  </si>
  <si>
    <t xml:space="preserve"> Diffuse midline glioma, H3K27M-mutant, WHO grade 4 </t>
  </si>
  <si>
    <t>Diffuse midline glioma</t>
  </si>
  <si>
    <t>M22-06813 M22-06814</t>
  </si>
  <si>
    <t>Thalamus</t>
  </si>
  <si>
    <t>13/02/2023 - 27/03/2023 54 in 30  5/9/2023 - 17/10/2023 60 in 33</t>
  </si>
  <si>
    <t>TMZ</t>
  </si>
  <si>
    <t>59.4 in 33 fr concurrent with TMZ</t>
  </si>
  <si>
    <t>M22-07353 M22-07354</t>
  </si>
  <si>
    <t>6,000 cGy</t>
  </si>
  <si>
    <t>May 2024; 30Gy in 10 fractions</t>
  </si>
  <si>
    <t xml:space="preserve">In-field re-irradiation - 30 Gy in 10 fractions    </t>
  </si>
  <si>
    <t>Given concurrent RT and TMZ in 2022; 2022- enrolled in  BP42573  2023- progression, given TMZ x 4 cycles  Nov 2023-repeat resection  Dec 2023-AGILE (CCNU arm)  Feb 2024-Bev  May 2024-re-RT</t>
  </si>
  <si>
    <t>Pilocytic Astrocytoma</t>
  </si>
  <si>
    <t>Pilocytic astrocytoma</t>
  </si>
  <si>
    <t>M22-08385 M22-08386</t>
  </si>
  <si>
    <t>occipital</t>
  </si>
  <si>
    <t xml:space="preserve">B221773 M22-08630 M22-08631 </t>
  </si>
  <si>
    <t xml:space="preserve">54 Gy </t>
  </si>
  <si>
    <t>change in personality</t>
  </si>
  <si>
    <t xml:space="preserve">B221921 M22-09608 M22-09609 </t>
  </si>
  <si>
    <t>Admitted locally for fever. Work up showed DVT and PE</t>
  </si>
  <si>
    <t>M08-1405</t>
  </si>
  <si>
    <t>Frontal, parietal</t>
  </si>
  <si>
    <t>08-2008  Etoposide, 4 cycles    17-08-2022  TMZ, 1 cycle</t>
  </si>
  <si>
    <t xml:space="preserve">07-06-2002  14/30 fractions, planned 54 Gy        </t>
  </si>
  <si>
    <t>04-05-2022  Repeat resection</t>
  </si>
  <si>
    <t>In hospice, offered 2nd opinion in Sunnybrook</t>
  </si>
  <si>
    <t>06-09-2006 to 04-01-2007  CCNU</t>
  </si>
  <si>
    <t>26-09-2024  TMZ</t>
  </si>
  <si>
    <t xml:space="preserve">Repeat resection 10/05/2022  Oligodendroglioma Grade 3  - Positive for IDH1 p.R132H (Oncomine NGS)        - Positive for TERT c.-124C&gt;T (Oncomine NGS)        - Positive for FGFR1 p.T149R (Oncomine NGS)        - Positive for 1p/19q-codeletion (FISH)       - BRAF V600E negative       - MGMT hypermethylated  </t>
  </si>
  <si>
    <t>on-going TMZ</t>
  </si>
  <si>
    <t>Current smoker</t>
  </si>
  <si>
    <t>M22-09573 M22-09574</t>
  </si>
  <si>
    <t xml:space="preserve">Joined AGILE trial AGILE trial - VAL-083 arm at diagnosis </t>
  </si>
  <si>
    <t>Completed treatment, 12 cycles</t>
  </si>
  <si>
    <t>M22-11578 M22-11579 M22-10161 M22-10162</t>
  </si>
  <si>
    <t>Cerebellum</t>
  </si>
  <si>
    <t>54 Gy in 30 fractions to LS Spine (mets)</t>
  </si>
  <si>
    <t>Palliative care involved</t>
  </si>
  <si>
    <t>B222006</t>
  </si>
  <si>
    <t>B222020,M22-11044</t>
  </si>
  <si>
    <t>TMZ, 2013</t>
  </si>
  <si>
    <t>2013 in Turkey, unknown details</t>
  </si>
  <si>
    <t>24-0702019 TMZ rechallenge x 12 cycles    18-11-2020 CCNU x 8 cycles    17-05-2022 Surgery    14-07-2022 Etoposide + Bev</t>
  </si>
  <si>
    <t>54 Gy in 30 fractions  07-02-2023</t>
  </si>
  <si>
    <t xml:space="preserve"> S22-19552</t>
  </si>
  <si>
    <t>Palliative care</t>
  </si>
  <si>
    <t xml:space="preserve">B160217  ,M16-525 </t>
  </si>
  <si>
    <t>TMZ x 6 cycles   08-12-2021 to 27-04-2022</t>
  </si>
  <si>
    <t>18-05-2022  Repeat resection  Astrocytoma, IDH-mutant, WHO grade 4, recurrent  Positive for IDH1 p.R132H (IHC)  - ATRX loss of nuclear expression (IHC)  - Loss of expression of PMS2 (IHC)    15-06-2022  SOLID trial</t>
  </si>
  <si>
    <t>Admitted for PJP</t>
  </si>
  <si>
    <t>Ganglioglioma</t>
  </si>
  <si>
    <t xml:space="preserve"> S22-20122</t>
  </si>
  <si>
    <t xml:space="preserve">Surgery done for intractable seizure  2022 initial path showed gliosis    On re-review for a research study in June 2024-- ganglioglioma  </t>
  </si>
  <si>
    <t>M22-10977 M22-10978</t>
  </si>
  <si>
    <t xml:space="preserve">Sent to RVH for treatment </t>
  </si>
  <si>
    <t>Unknown status, referred to RVH</t>
  </si>
  <si>
    <t>back pain</t>
  </si>
  <si>
    <t>Ependymoma</t>
  </si>
  <si>
    <t xml:space="preserve"> S22-22258</t>
  </si>
  <si>
    <t>Spinal</t>
  </si>
  <si>
    <t xml:space="preserve">B222366 M22-11778 M22-11779 </t>
  </si>
  <si>
    <t>interrupted due to increasing fatigue</t>
  </si>
  <si>
    <t>TMZ x3 cycles</t>
  </si>
  <si>
    <t>Refused surgery, offered CCNU</t>
  </si>
  <si>
    <t>M22-12412 M22-12413</t>
  </si>
  <si>
    <t>Nivo + Bev   Given because patient had TMZ allergy post 2 cycles</t>
  </si>
  <si>
    <t xml:space="preserve">03-10-2024  Nivo + ipili </t>
  </si>
  <si>
    <t xml:space="preserve">5-6-2024  Biopsy: Diffuse high-grade glioma, MMR-deficient, recurrent/residual, CNS WHO grade 4     </t>
  </si>
  <si>
    <t>M22-12801 M22-12802 M22-14740</t>
  </si>
  <si>
    <t>Parietal, temporal</t>
  </si>
  <si>
    <t>08-05-2024  CCNU + Bev</t>
  </si>
  <si>
    <t xml:space="preserve">B222911  ,M22-13683 M22-13684 </t>
  </si>
  <si>
    <t>Recommended CCNU, went back to RVH</t>
  </si>
  <si>
    <t xml:space="preserve"> diffuse leptomeningeal glioneuronal tumor</t>
  </si>
  <si>
    <t>DLGT</t>
  </si>
  <si>
    <t>B222822,M22-14525 M22-14526 M22-14034 M22-14035</t>
  </si>
  <si>
    <t>T1-2</t>
  </si>
  <si>
    <t>Recommended BRAF inhibitor, treated in Kingston</t>
  </si>
  <si>
    <t>M22-13987 M22-13988</t>
  </si>
  <si>
    <t>Treatment done in Windsor</t>
  </si>
  <si>
    <t>Parietal, occipital</t>
  </si>
  <si>
    <t>19-07-2022  Had resection in TWH as only initial biopsy was done    B222885  ,M22-14312 M22-14313    1,2. Brain, left, resection: â€¨Â - Astrocytoma, IDH-mutant, recurrent â€¨Â  Â  Â - WHO CNS grade: 4 â€¨Â  Â  Â - Molecular pathology: positive for IDH1 p.R132H, ATRX D470Vfs*43, TP53 p.R175H, CDK4 amplification, and PTPRZ1::MET fusion (Oncomine NGS). Negative for CDKN2A homozygous deletion (FISH)     Advised standard of care after to be received in Hamilton</t>
  </si>
  <si>
    <t xml:space="preserve">B223168  ,M22-15585 M22-15586 </t>
  </si>
  <si>
    <t>M22-14737 M22-14738</t>
  </si>
  <si>
    <t>Both</t>
  </si>
  <si>
    <t>Multifocal, bilobar</t>
  </si>
  <si>
    <t>M22-15096 M22-15097</t>
  </si>
  <si>
    <t>TMZ x 6 cycles</t>
  </si>
  <si>
    <t xml:space="preserve">2020 - 30/04/2021 TMZ rechallenge  22/09/2021 - 4/2022 PCV x 3 cycles  12/10/2022 - 7/12/2022 Etoposide </t>
  </si>
  <si>
    <t>05/11/2013 - 17/12/2013  60 in 30 fractions    2/2023 - 13/04/2023  54 in 30 fractions</t>
  </si>
  <si>
    <t>19/09/2013 Surgery  27/07/2022 Surgery      8/2023 Bevacizumab</t>
  </si>
  <si>
    <t>Unknown, done in Korea</t>
  </si>
  <si>
    <t>TMZ x 12 cycles</t>
  </si>
  <si>
    <t>diffuse glioma, high-grade</t>
  </si>
  <si>
    <t>B223329 M22-16216 M22-16217</t>
  </si>
  <si>
    <t xml:space="preserve">B223480  ,M22-16872 M22-16873 </t>
  </si>
  <si>
    <t>Ff up in Ottawa</t>
  </si>
  <si>
    <t xml:space="preserve">B223560  ,M22-17267 M22-17268 </t>
  </si>
  <si>
    <t xml:space="preserve">VINCRISTINE and CARBOPLATIN in 2003, completing December 2003. </t>
  </si>
  <si>
    <t xml:space="preserve">VINBLASTINE therapy until   March 2011, completed in August of 2012  </t>
  </si>
  <si>
    <t>Trametinib (June to Sept 2021)</t>
  </si>
  <si>
    <t>Binimetinib (2021-2022)</t>
  </si>
  <si>
    <t xml:space="preserve">Qiagen </t>
  </si>
  <si>
    <t>B223594 M22-17600 M22-17601</t>
  </si>
  <si>
    <t>intraventricular</t>
  </si>
  <si>
    <t xml:space="preserve">15-06-203  WBRT 25Gy in 10 fractions  </t>
  </si>
  <si>
    <t>11-2023  Repeat surgery</t>
  </si>
  <si>
    <t>B223636, M22-19301 M22-19302</t>
  </si>
  <si>
    <t>Vorasidenib</t>
  </si>
  <si>
    <t>M22-17614 M22-17615</t>
  </si>
  <si>
    <t>B223610,M22-17704</t>
  </si>
  <si>
    <t>Admitted locally for medical issues</t>
  </si>
  <si>
    <t>Dysembryoplastic neuroepithelial tumour</t>
  </si>
  <si>
    <t>M22-17604 M22-17605</t>
  </si>
  <si>
    <t xml:space="preserve">B223796  ,M22-18366 M22-18367 </t>
  </si>
  <si>
    <t>CCNU and Procarbazine (PCV without VCR)</t>
  </si>
  <si>
    <t xml:space="preserve">Medical issues </t>
  </si>
  <si>
    <t xml:space="preserve">B223877,  M22-18820 M22-18821 </t>
  </si>
  <si>
    <t>B223781,M22-18370 M22-18371</t>
  </si>
  <si>
    <t>M22-18473 M22-18474</t>
  </si>
  <si>
    <t>Treated initially by Dr Perry??</t>
  </si>
  <si>
    <t xml:space="preserve">Referred back to Dr Perry </t>
  </si>
  <si>
    <t>nausea and vomiting</t>
  </si>
  <si>
    <t>M24-05362 05363</t>
  </si>
  <si>
    <t>posterior fossa, intraventricular</t>
  </si>
  <si>
    <t>54 Gy</t>
  </si>
  <si>
    <t>First line: VBL 01 to 04-2008</t>
  </si>
  <si>
    <t xml:space="preserve">VCR and Carboplatin </t>
  </si>
  <si>
    <t xml:space="preserve">TCPV 6 cycle 14-10 to 28-08-2009   Trametinib 20-10-2009 to 21-04-2010  discontinued &gt; rash  Surgery:  Cyst fenestration 2015  Right occipital VPS          </t>
  </si>
  <si>
    <t>Radiation:  02- 2022- 54 Gy - 30 fractions delivered to cervico- medullary area (decided definitive treatment)</t>
  </si>
  <si>
    <t xml:space="preserve">Surgery:  Posterior fossa craniectomy and cyst decompression 22-09-2022  Debulking surgery 16-10-2023   </t>
  </si>
  <si>
    <t>Diffuse hemispheric glioma, H3 G34-mutant</t>
  </si>
  <si>
    <t>M22-20344 M22-20345</t>
  </si>
  <si>
    <t xml:space="preserve">01-08-2023  unknown fraction   given with Bev </t>
  </si>
  <si>
    <t>S22-39488</t>
  </si>
  <si>
    <t xml:space="preserve">Given 3 cycles of Temozolomide but presented with a new focus of enhancement, hence planned to re-irradiate </t>
  </si>
  <si>
    <t>Patient and family refused further treatment and patient was moved to hospice</t>
  </si>
  <si>
    <t>Received treatment in Barrie</t>
  </si>
  <si>
    <t>Offered AGILE</t>
  </si>
  <si>
    <t xml:space="preserve">Pt started on TMZ 330mg but progressed after 3 cycles. </t>
  </si>
  <si>
    <t>Relapse</t>
  </si>
  <si>
    <t>Pt started on Lomustine 240mg but stopped before the end of her first cycle due to disease progression</t>
  </si>
  <si>
    <t>M22-21056 M22-21057</t>
  </si>
  <si>
    <t>Lorlatinib</t>
  </si>
  <si>
    <t xml:space="preserve">B224436,  ,M22-21104 M22-21105 </t>
  </si>
  <si>
    <t>Referred back to RVH</t>
  </si>
  <si>
    <t>transient paresthesia</t>
  </si>
  <si>
    <t>insula</t>
  </si>
  <si>
    <t>Patient given TMZ for 12 cycles</t>
  </si>
  <si>
    <t>M22-22121 M22-22122</t>
  </si>
  <si>
    <t>CCNU x 4 cycles</t>
  </si>
  <si>
    <t>Bevacizuab given</t>
  </si>
  <si>
    <t>S22-43453</t>
  </si>
  <si>
    <t>stopped after 8 months due to myelosuppression</t>
  </si>
  <si>
    <t>Patient was included in the SOLID trial with Olaparib+Durvalumab for 4 cycles before progression</t>
  </si>
  <si>
    <t>Temozolomide at 150mg/m2</t>
  </si>
  <si>
    <t>35Gy in 10 fractions in subsequent progression in May 2024</t>
  </si>
  <si>
    <t>Patient was given 8th cycle of TMZ in Nov 2023, presented with radiographoic progression. Started on Optune.Shifted to Lomustine+Bevacizumab, started on 2nd cycle but unable to tolerate due to myelosuppression. Had radiographic progression again in May 2024, referred for re-irradiation. Presented again with progression in October 2024, underwent RT to optic chiasma lesion</t>
  </si>
  <si>
    <t>CNS WHO Grade 1</t>
  </si>
  <si>
    <t>12 cycles of TMZ given and completed</t>
  </si>
  <si>
    <t>None</t>
  </si>
  <si>
    <t>TMZ 330mg nightly, completed 12/12 cycles</t>
  </si>
  <si>
    <t xml:space="preserve">Patient was restarted on TMZ 330mg for 12 cycles. </t>
  </si>
  <si>
    <t>M22-24054 M22-24055 B224873</t>
  </si>
  <si>
    <t>numbness in left leg and left 5th finger</t>
  </si>
  <si>
    <t>CNS WHO Grade 2</t>
  </si>
  <si>
    <t>IDHmut and non codel</t>
  </si>
  <si>
    <t>TMZ 250mg nightly, completed 9/12 cycles as of 01-03-23</t>
  </si>
  <si>
    <t>Completed on 2-2-23</t>
  </si>
  <si>
    <t>Chemoradiation was complicated by seizures. Was being considered for BP42573 clinical trial but deteriorated and was not enrolled.</t>
  </si>
  <si>
    <t>TMZ x 10 cycles</t>
  </si>
  <si>
    <t xml:space="preserve">03/04/2012 - 16/05/2012  6000 cGy over 30 fractions  Concurrent with temozolomide    </t>
  </si>
  <si>
    <t xml:space="preserve">19/09/2012 - 26/07/2013   CCNU x 8 cycles    14/07/2017 - 25/05/2018  TMZ x 12 cycles    21/09/2018 - 23/11/2018  PCV x 2 cycles    07/01/2021 - 10/05/2021  PCV x 3 cycles  </t>
  </si>
  <si>
    <t xml:space="preserve">26/06/2023 - 08/08/2023  54 Gy in 30    </t>
  </si>
  <si>
    <t xml:space="preserve">05/12/2022  Surgery	  Redo left frontal craniotomy and resection of tumor    06-08-2024  Bev infusion  </t>
  </si>
  <si>
    <t xml:space="preserve"> Pleomorphic xanthoastrocytoma</t>
  </si>
  <si>
    <t>Pleomorphic xanthoastrocytoma</t>
  </si>
  <si>
    <t xml:space="preserve">No path from SickKids </t>
  </si>
  <si>
    <t>stopped at cycle 11 due to extreme fatigue</t>
  </si>
  <si>
    <t xml:space="preserve">Pt started Vorasidenib 40mg on 25-10-24. </t>
  </si>
  <si>
    <t>M23-00096 M23-00097 B230013</t>
  </si>
  <si>
    <t>On palliative care</t>
  </si>
  <si>
    <t>Pilocytic</t>
  </si>
  <si>
    <t>Patient on surveillance post-resection</t>
  </si>
  <si>
    <t xml:space="preserve">Starting on 7-2-24, recieved lomustine 180mg for 6 cycles. Bevacizumab was added </t>
  </si>
  <si>
    <t>Starting on 27-2-23, received 54 Gy in 30 fractions. Completed 10-4-23.</t>
  </si>
  <si>
    <t>On 11-3-25, started Vorsasidenib 40mg daily</t>
  </si>
  <si>
    <t xml:space="preserve">left </t>
  </si>
  <si>
    <t>Patient had only 1 cycle of adjuvant Temozolomide as she had deteriorated clinically after the first cycle</t>
  </si>
  <si>
    <t>After 1st cycle of chemotherapy with TMZ, patient has deteriorated and decision was made to stop all treatments and proceed with palliative care</t>
  </si>
  <si>
    <t>cerebellum</t>
  </si>
  <si>
    <t xml:space="preserve">Vinblastine for 70 weeks after surgery </t>
  </si>
  <si>
    <t>Patient given Trametinib from Dec 2020-September 2021 -- stopped due to cardiac toxicity</t>
  </si>
  <si>
    <t>Patient had another recurrence in 2023, post re-do posterior fossa craniotomy in Jan 18, 2023 and has been on surveillance since</t>
  </si>
  <si>
    <t>Patient was not referred anymore to med onc/rad onc due to clinical deterioration during hospital stay</t>
  </si>
  <si>
    <t>Patient not seen by med onc/rad onc due to poor performance status post-op due to complications</t>
  </si>
  <si>
    <t>numbness</t>
  </si>
  <si>
    <t>Stereotactic</t>
  </si>
  <si>
    <t>brainstem</t>
  </si>
  <si>
    <t>Temozolomide not given due to poor performance status of patient</t>
  </si>
  <si>
    <t>Patient lost to follow-up after palliative RT</t>
  </si>
  <si>
    <t>incidental finding after MRI due to pleomorphic parotid adenoma</t>
  </si>
  <si>
    <t>S23-6528</t>
  </si>
  <si>
    <t>Patient died shortly after cycle 5</t>
  </si>
  <si>
    <t>Adjuvant Temozolomide not given due to complications post concurrent chemoradiation</t>
  </si>
  <si>
    <t>Vorasidenib 40mg daily since Feb 4, 2025</t>
  </si>
  <si>
    <t>Patient transferred care post surgery</t>
  </si>
  <si>
    <t>Patient transferred care post surgery/initial consult</t>
  </si>
  <si>
    <t>Adjuvant Temozolomide not given due to poor performance status</t>
  </si>
  <si>
    <t>thalamus</t>
  </si>
  <si>
    <t>Stopped after cycle 11 due to borderline counts</t>
  </si>
  <si>
    <t>Patient was included in the Trident trial, on TTF for 7 months but stopped due to discomfort/scalp radh</t>
  </si>
  <si>
    <t>Patient was shifted to Lomustine+Bevacizumab but had significant thrombocytopenias/infection</t>
  </si>
  <si>
    <t>Lomustine discontinued after disease progression post 3 cycles of Lomustine</t>
  </si>
  <si>
    <t>Patient was diagnosed in 2007, post surgery only. No RT/chemo given at this time</t>
  </si>
  <si>
    <t>Patient completed 12 cycles of chemotherapy with Temozolomide</t>
  </si>
  <si>
    <t>Patient completed treatment</t>
  </si>
  <si>
    <t xml:space="preserve">Patient given another round of TMZ for 3 cycles until progression in Feb 2023, underwent resection in March 3, 2023. Completed RT 54 Gy in 30 fractions and 6 cycles of TMZ. Stopped per request due to significant fatigue. Lost to follow-up, came back Feb 2024 with progression, had another RT 54/30 in the cerebellum but had significant thombocytopenia so TMZ not completed. </t>
  </si>
  <si>
    <t xml:space="preserve">Completed RT 54 Gy in 30 fractions </t>
  </si>
  <si>
    <t>Patient lost to follow-up after cycle 4</t>
  </si>
  <si>
    <t>Patient lost to follow-up after cycle 4 of adjuvant Temozolomide</t>
  </si>
  <si>
    <t>There were some delays due to cytopenias and patioent had spine surgery for compressioon</t>
  </si>
  <si>
    <t>patient completed 12 cycles adjuvant TMZ</t>
  </si>
  <si>
    <t>Patient supposed to be shifted to Lomustine+Bevacizumab but had poor performance status post repeat resection</t>
  </si>
  <si>
    <t>Memory loss, auditory hallucination</t>
  </si>
  <si>
    <t>Pt was referred to Windsor Regional Cancer Centre</t>
  </si>
  <si>
    <t>Patient lost to follow-up after 3 cycles</t>
  </si>
  <si>
    <t>Patient lost to follow-up after 3 cycles of adjuvant Temozolomide</t>
  </si>
  <si>
    <t>Whole body left sided paresthesia, vomiting</t>
  </si>
  <si>
    <t>330mg TMZ oral, nightly. Stopped after 4 cycles due to progression.</t>
  </si>
  <si>
    <t>completed on 10/07/23</t>
  </si>
  <si>
    <t>Lomustine 260mg oral. Completed 4/4 cycles</t>
  </si>
  <si>
    <t>No further treatments after surgery</t>
  </si>
  <si>
    <t>Diffuse low grade glioma</t>
  </si>
  <si>
    <t>225 mg TMZ oral, nightly. Dose changed to 150mg after cycle 2 due to toxicity</t>
  </si>
  <si>
    <t>Lomustine 170mg. Completed 1 of 6 cycles as of 21-03-25.</t>
  </si>
  <si>
    <t>Starting on March 13th 2025, re-treated with 35 Gy in 10 fractions. Completed March 26th, 2025.</t>
  </si>
  <si>
    <t>amnesia</t>
  </si>
  <si>
    <t>270mg oral TMZ, nightly.</t>
  </si>
  <si>
    <t>completed on 5-7-23</t>
  </si>
  <si>
    <t>Somnolence, nausea/vomiting</t>
  </si>
  <si>
    <t>Information regarding adjuvant TMZ unavailable on EPIC - Pt continued care in Hamilton</t>
  </si>
  <si>
    <t>300mg oral, nightly, completed 11 cycles</t>
  </si>
  <si>
    <t>TMZ, 330mg oral nightly, completed 3/12 cycles as of 9-04-25.</t>
  </si>
  <si>
    <t>TMZ 240mg nightly</t>
  </si>
  <si>
    <t>Lomustine 40mg and Bevacizumab. Recieved 2 cycles starting on 11-10-24.</t>
  </si>
  <si>
    <t>mood changes</t>
  </si>
  <si>
    <t>250mg oral nightly. Dose modified to 150mg after cycle 2.</t>
  </si>
  <si>
    <t>End date 17-7-23</t>
  </si>
  <si>
    <t>treated with lomustine after recurrence</t>
  </si>
  <si>
    <t>Started 180mg Lomustine on 16-8-24. Recieved 2 cycles</t>
  </si>
  <si>
    <t>Patient had radiographic progression after cycle 7</t>
  </si>
  <si>
    <t>Patient had a recurrence at the cerebellum (out of field from the original RT). Patient given 40Gy in 15 fractions</t>
  </si>
  <si>
    <t>Patient given 1 cycle of Lomustine March 14, 2024</t>
  </si>
  <si>
    <t xml:space="preserve">Personality changes, </t>
  </si>
  <si>
    <t>305 mg nightly, dose modified to 150mg after cycle 4</t>
  </si>
  <si>
    <t>TMZ treatment seems to have stopped after cycle 4 due to toxicity and did not restart.</t>
  </si>
  <si>
    <t>Patient diagnosed initially in 2000, treated with surgery only.</t>
  </si>
  <si>
    <t>Patient given upfront Temozolomide for 12 cycles</t>
  </si>
  <si>
    <t>Patient had another recurrence in 2022. Had a repeat resection in May 16, 2023. Completed RT 60 Gy in 30 fractions and adjuvanyt Temozolomide for 12 cycles completed July 10, 2024</t>
  </si>
  <si>
    <t>60Gy in 30 fractions</t>
  </si>
  <si>
    <t>TMZ 265mg daily</t>
  </si>
  <si>
    <t>Finished 31/7/23</t>
  </si>
  <si>
    <t>diffuse, low grade, pediatric type</t>
  </si>
  <si>
    <t>Patient on surveillance after surgery</t>
  </si>
  <si>
    <t>frontotemporal</t>
  </si>
  <si>
    <t>stopped after cycle 8 due to significant nausea and vomiting</t>
  </si>
  <si>
    <t>Patient given 3 cycles of Temozolomide</t>
  </si>
  <si>
    <t>Patient received 1 cycle of Lomustine after surgery.</t>
  </si>
  <si>
    <t xml:space="preserve">54Gy in 30 fractions </t>
  </si>
  <si>
    <t>Patient had resection upon 4th progression (May 23, 2023). Path confirmed Grade 4 astrocytoma. Specimen ID S23-25231</t>
  </si>
  <si>
    <t>Astroblastoma</t>
  </si>
  <si>
    <t>MN1-altered</t>
  </si>
  <si>
    <t>not applicable</t>
  </si>
  <si>
    <t>Given RT due to high mitotic rate</t>
  </si>
  <si>
    <t>Patient went back to Montreal where she originally resides post surgery for further treatment</t>
  </si>
  <si>
    <t>Patient went back to Montreal after surgery for further treatment</t>
  </si>
  <si>
    <t>incidental finding on MRI, working as MRI tech as imaging done on himself as control</t>
  </si>
  <si>
    <t>frontal, parietal</t>
  </si>
  <si>
    <t>Had 3 surgeries: 2005, 2013, 2023 (M23-17585 biopsy ID), path Grade 2 to Grade 3 oligodendroglioma     TMZ and Rt to be done locally</t>
  </si>
  <si>
    <t xml:space="preserve">Recieved concurrent chemoradiation with TMZ at sunnybrook, details not otherwise available in EPIC </t>
  </si>
  <si>
    <t>Finished 2/8/23</t>
  </si>
  <si>
    <t>Recieved concurrent chemoradiation with TMZ, but did not recieve adjuvant TMZ due to performance status</t>
  </si>
  <si>
    <t>Patient flew to Germany after 2nd cycle</t>
  </si>
  <si>
    <t>Patient given Temozolomide for 2 cycles</t>
  </si>
  <si>
    <t>Patient had recurrent lung infections</t>
  </si>
  <si>
    <t>Patient progressed after 3 cycles</t>
  </si>
  <si>
    <t>Patient with significant progression with poor performance status. Discharged to PCU.</t>
  </si>
  <si>
    <t>310mg, modified to 150mg after cycle 3. Was planning for 12 cycles, but stopped after 5 due to toxicity and complications.</t>
  </si>
  <si>
    <t>Finished 8/9/23</t>
  </si>
  <si>
    <t>Personality changes</t>
  </si>
  <si>
    <t>290mg daily, completed 8/12 cycles as of 22/8/24</t>
  </si>
  <si>
    <t>Completed on 19/9/23</t>
  </si>
  <si>
    <t>Numbness in face and metallic taste in mouth</t>
  </si>
  <si>
    <t>320mg nightly, finished on 4-9-24</t>
  </si>
  <si>
    <t>Finished on 4-10-23</t>
  </si>
  <si>
    <t>fronto-temporal</t>
  </si>
  <si>
    <t>concurrent chemoRT and adjuvant TMZ were delayed due to subdural empyema post-op</t>
  </si>
  <si>
    <t>S18-13794</t>
  </si>
  <si>
    <t>400mg TMZ daily, end date = 15-7-2019</t>
  </si>
  <si>
    <t xml:space="preserve">14-9-2022 to 19-6-23 Received TMZ 325mg for 10 cycles </t>
  </si>
  <si>
    <t>start date 10-8-23; Lomustine 230 mg. Completed 3 cycles before stopping due to toxicity</t>
  </si>
  <si>
    <t>Starting on 21-9-23, Pt recieved 30 Gy in 10 fractions</t>
  </si>
  <si>
    <t>LTF after 31-08-23 but online obituary has date of death as 22-2-24</t>
  </si>
  <si>
    <t>Recieved 7 cycles of TMZ in 2006, then underwent a second course in 2013 with 11 cycles. In 2016, started TMZ again concurrent with radiation therapy.</t>
  </si>
  <si>
    <t>TMZ 330 mg nightly, completed 5 of 12 cycles as of 8-8-24</t>
  </si>
  <si>
    <t>Left frontal rads for tumour progression, 54 Gy in 30 fractions.</t>
  </si>
  <si>
    <t xml:space="preserve">2005 - June 2006: 7 cycles of upfront TEMOZOLOMIDE  2012 - June 2013: 11 cycles of metronomic TEMOZOLOMIDE  January 2016: Concurrent chemoradiotherapy with TEMOZOLOMIDE  </t>
  </si>
  <si>
    <t>Copath from 2023 surgery: S23-37944</t>
  </si>
  <si>
    <t>photophobia</t>
  </si>
  <si>
    <t>Circumscribed glioma/ glioneuronal tumour</t>
  </si>
  <si>
    <t>S23-380028</t>
  </si>
  <si>
    <t>Patient had upfront TMZ for 12 cycles post first surgery in 2011</t>
  </si>
  <si>
    <t xml:space="preserve">Upon progression in 2015, patient had concurrent chemoRT and subsequent adjuvant TMZ without surgery. </t>
  </si>
  <si>
    <t>2nd line did was completed</t>
  </si>
  <si>
    <t>54Gy in 30 fractions started March 4, 2015</t>
  </si>
  <si>
    <t>May 8, 2019-April 9, 2020 completed TMZ rechallenge for progression</t>
  </si>
  <si>
    <t>Patient had another recurrence in June 2024, had 8 cycles of TMZ rechallenge, presented again with progression in February 2025,  had repeat surgery in March 3, 2025</t>
  </si>
  <si>
    <t>Patient is for consideration of PCV chemotherapy in May 2025</t>
  </si>
  <si>
    <t>TMZ 305mg nightly. Initially planned for 12 cycles, but stopped after 7 due to progression.</t>
  </si>
  <si>
    <t>Lomustine 230mg. Planned for 6 cycles</t>
  </si>
  <si>
    <t>IDHwt and NA</t>
  </si>
  <si>
    <t>CNS WHO Grade 3</t>
  </si>
  <si>
    <t>170 mg daily, switched to 100mg after 1st cycle</t>
  </si>
  <si>
    <t>75 mg daily, 1 cycle</t>
  </si>
  <si>
    <t>Pt only had 1 cycle of TMZ. I believe we said this isn't really considered adjuvant TMZ</t>
  </si>
  <si>
    <t>Spinal Ependymoma</t>
  </si>
  <si>
    <t>spinal cord</t>
  </si>
  <si>
    <t>C5-7</t>
  </si>
  <si>
    <t>Patient was on surveillance after initial surgery in 2006 for spinal ependymoma</t>
  </si>
  <si>
    <t>Given 54Gy in 30 fractions</t>
  </si>
  <si>
    <t>Patient had another surgical resection in September 2023 for recurrence</t>
  </si>
  <si>
    <t>Patient was started on Vorasidenib December 6, 2024</t>
  </si>
  <si>
    <t>Anaplastic Oligodendroglioma</t>
  </si>
  <si>
    <t>IDHmut and codel</t>
  </si>
  <si>
    <t>Recieved radiation in Dubai during early 2014</t>
  </si>
  <si>
    <t>Received PCV alongside radiation in 2014</t>
  </si>
  <si>
    <t>Pt's first resection was performed in Dubai, no copath available and dates unclear.</t>
  </si>
  <si>
    <t>54 Gy in 30 fractions, started on 1/11/23</t>
  </si>
  <si>
    <t>Specimen ID: S23-48429</t>
  </si>
  <si>
    <t>Patient did not have TMZ in the concurrent/adjuvant phase due to his elevated liver enzymes secondary to cholangitis vs drug-induced (anti-seizur medications)  transaminitis</t>
  </si>
  <si>
    <t>Patient started on Vorasidenib 40mg daily in September 2024</t>
  </si>
  <si>
    <t>Glioblastoma multiforme</t>
  </si>
  <si>
    <t>Pt was on a trial receiving Temozolomide and Marizomib</t>
  </si>
  <si>
    <t>Radiation therapy part of the clinical trial</t>
  </si>
  <si>
    <t>Marizomib</t>
  </si>
  <si>
    <t>Pt was enrolled in clinical trial, received concurrent chemoradiation with TMZ and Marizomib</t>
  </si>
  <si>
    <t>Cognitive decline</t>
  </si>
  <si>
    <t>parieto-occipital</t>
  </si>
  <si>
    <t>stopped at cycle 11 due to significant nausea and vomiting</t>
  </si>
  <si>
    <t xml:space="preserve">Brainstem </t>
  </si>
  <si>
    <t>Brainstem and cerebellar</t>
  </si>
  <si>
    <t>Trametinib 2mg for 8 cycles</t>
  </si>
  <si>
    <t>295mg nightly</t>
  </si>
  <si>
    <t>Seems like there was a plan to do radiation but then no follow up</t>
  </si>
  <si>
    <t>Headaches, hallucinations, lack of responsiveness, complex partial seizures</t>
  </si>
  <si>
    <t xml:space="preserve">Pt had initial resection in Trinidad before returning to Toronto and having 2nd resection.  </t>
  </si>
  <si>
    <t>Adjuvant tmz 315mg nightly for 12 cycles starting 8/3/24.</t>
  </si>
  <si>
    <t xml:space="preserve">Concurrent chemorads starting on 14/12/23, recieved 54 Gy in 30 fractions. </t>
  </si>
  <si>
    <t>Noted smell and vision changes are consistent with complex partial seizures</t>
  </si>
  <si>
    <t>TMZ 330mg nightly. Initially planned for 12 cycles but stopped after 4 due to deteriorating condition.</t>
  </si>
  <si>
    <t>Redo left craniotomy due to progression</t>
  </si>
  <si>
    <t>patient completed 12 cycles of adjuvant TMZ</t>
  </si>
  <si>
    <t>Patient given 9 cycles of TMZ starting December 2023 but again had evidence of progression in August 2024</t>
  </si>
  <si>
    <t>Patient had a third resection in September 13, 2024 and opted for MAID a few months after</t>
  </si>
  <si>
    <t>Patient was subsequently treated locally at Royal Victoria Hospital as per notes</t>
  </si>
  <si>
    <t>Patient loss to follow-up after initial consult</t>
  </si>
  <si>
    <t>Patient given 12 cycles of TMZ from October 2018-September 2019</t>
  </si>
  <si>
    <t xml:space="preserve">Patient responsive to treatment and was able to complete </t>
  </si>
  <si>
    <t>Patient was given 59.4Gy in 33 fractions starting July 2018</t>
  </si>
  <si>
    <t>Patient had another progeression in 2022,completed 12 cycles of Temozolomide.    Had another progression in August 2023, had repeat resection in Nov 30, 3023 and completed 6 cycles of PCV thereafter</t>
  </si>
  <si>
    <t>Cancer progressed on March 6th, 2013 and subsequently had 12 cycles of TMZ, finishing on Feb 12th, 2014.  Progression again in Oct 2018. Pt was treated with concurrent chemoradiation therapy (TMZ, and 54Gy over 30 fractions).</t>
  </si>
  <si>
    <t>Rosette forming glioneuronal neoplasm</t>
  </si>
  <si>
    <t>Pemigatinib</t>
  </si>
  <si>
    <t xml:space="preserve">Pt was initially diagnosed and treated in 2014. There was not much information from the initial diagnosis and the dates/info I entered are regarding the recurrence. </t>
  </si>
  <si>
    <t>Extraventricular Neurocytoma</t>
  </si>
  <si>
    <t>Treatment stopped due to bone marrow suppression</t>
  </si>
  <si>
    <t>Received 2 infusions of Avastin and Lomustine in May 2024 - stopped due to progression</t>
  </si>
  <si>
    <t>Starting on 5-2-24, recieved 54 Gy in 30 fractions</t>
  </si>
  <si>
    <t>Finished on 16-2-24</t>
  </si>
  <si>
    <t>lethargy, decreased cognition and memory</t>
  </si>
  <si>
    <t>Diffuse midline glioma, H3 K27 mutant</t>
  </si>
  <si>
    <t>On 16-4-24, Pt started in the Onc201 trial. The treatment arm/cohort is blinded</t>
  </si>
  <si>
    <t xml:space="preserve">Left </t>
  </si>
  <si>
    <t>TMZ 330mg nightly. Completed 11/12 cycles as of 14-03-25</t>
  </si>
  <si>
    <t>Finished on 19/3/24</t>
  </si>
  <si>
    <t>Pleomorphic Xanthoastrocytoma</t>
  </si>
  <si>
    <t>Finished 11/3/24</t>
  </si>
  <si>
    <t>On 12/4/24, started daBRAFenib + Trametinib. Completed 9/11 cycles as of 02-05-25</t>
  </si>
  <si>
    <t>Completed adjuvant TMZ at Sunnybrook - details unavailable on EPIC</t>
  </si>
  <si>
    <t>Completed 18/3/24</t>
  </si>
  <si>
    <t>S24-2420</t>
  </si>
  <si>
    <t>Started Pemigatinib (13.5mg daily) on 1-6-24. Recieved 5 cycles and stopped in Aug 24 due to transaminitis</t>
  </si>
  <si>
    <t>TMZ 330mg oral, nightly. Completed 10/12 cycles as of 30-4-25</t>
  </si>
  <si>
    <t xml:space="preserve">No information available after March 2024. </t>
  </si>
  <si>
    <t xml:space="preserve">Temolozomide and Radiation were given outside of UHN - details are unclear. </t>
  </si>
  <si>
    <t>Treatment took place outside of UHN</t>
  </si>
  <si>
    <t>Information about treatment minimally available.</t>
  </si>
  <si>
    <t xml:space="preserve">Cancer progressed in 2021 and patient recieved 11 cycles of TMZ monotherapy from 18-03-21 to 20-01-22. </t>
  </si>
  <si>
    <t>TMZ 330mg oral, nightly. Completed 8/12 cycles as of 1-05-25</t>
  </si>
  <si>
    <t>Concurrent chemorads starting on 6-3-24. Pt received 59.4 Gy in 33 fractions and TMZ 165mg oral, daily.</t>
  </si>
  <si>
    <t>Right sided facial droop</t>
  </si>
  <si>
    <t xml:space="preserve">TMZ 275mg nightly. Completed 12th cycle May 2025. </t>
  </si>
  <si>
    <t>Pain to right temple, jaw pain</t>
  </si>
  <si>
    <t>TMZ 155mg daily for 7 cycles as per AGILE trial</t>
  </si>
  <si>
    <t>Patient will start Pembrolizumab on 9-6-25</t>
  </si>
  <si>
    <t>Starting 22-5-25, received 20Gy in 5 fractions</t>
  </si>
  <si>
    <t>nystagmus, nausea</t>
  </si>
  <si>
    <t>cerebellopontine angle</t>
  </si>
  <si>
    <t>Repeat surgery due to rapid cystic progression</t>
  </si>
  <si>
    <t xml:space="preserve">Low grade glioneuronal tumour </t>
  </si>
  <si>
    <t>nausea, vomiting</t>
  </si>
  <si>
    <t>Diffuse midline glioma, H3 K27M mutant</t>
  </si>
  <si>
    <t>End date 1-05-24</t>
  </si>
  <si>
    <t>Did not receive TMZ due to progression - Started on ONC 201-108 clinical trial.</t>
  </si>
  <si>
    <t>Clinical trial "CT ONC201-108-Blinded (23-5193)"</t>
  </si>
  <si>
    <t>TMZ 295mg oral, nightly. Completed 11 cycles as of 23-5-25</t>
  </si>
  <si>
    <t>Chronic right arm and hand numbness</t>
  </si>
  <si>
    <t>TMZ 300mg oral. Completed 12th cycle May 2025</t>
  </si>
  <si>
    <t>finished radiation on 17-05-24</t>
  </si>
  <si>
    <t>back pain, neck pain</t>
  </si>
  <si>
    <t>Diffuse midline glioma, H3K27M-altered</t>
  </si>
  <si>
    <t>Minimal notes available, but does not appear as if she received treatment. There was some mention of clinical trial in the USA but no follow up.</t>
  </si>
  <si>
    <t xml:space="preserve">Pt has been on Vorasidenib 40mg daily since September 2024 </t>
  </si>
  <si>
    <t>Memory/forgetfulness</t>
  </si>
  <si>
    <t>TMZ 310mg oral, nightly. Completed May 25, 2025</t>
  </si>
  <si>
    <t>Frontotemporal</t>
  </si>
  <si>
    <t>TMZ 245mg oral, nightly. Completed 10/12 cycles as of 26-5-25</t>
  </si>
  <si>
    <t xml:space="preserve">TMZ dose not available on EPIC for 2020 adjuvant regimen </t>
  </si>
  <si>
    <t>Patient had additional resection in June 2023 for tumour recurrence and was treated with adjuvant TMZ. Information regarding the resection in the progression forum refers to 2024 bc we have tissue sample/ngs data.</t>
  </si>
  <si>
    <t>The patients had recurred twice. I used information pertaining to the 2nd recurrence to match the  S# in the NGS file.</t>
  </si>
  <si>
    <t>TMZ 170mg oral, nightly. Completed 9/12 cycles as of 9-5-25</t>
  </si>
  <si>
    <t>IDHwt and non-codel</t>
  </si>
  <si>
    <t>Did not recieve chemo or radiation</t>
  </si>
  <si>
    <t>Started adjuvant Vorasidenib but progressed after few months</t>
  </si>
  <si>
    <t>TMZ 295mg oral, nightly. Completed 1/12 cycles as of 7-3-25</t>
  </si>
  <si>
    <t>Concurrent chemorads with TMZ. Pt received 54 Gy in 30 fractions; started on 11-11-24 and finished on 20-12-24.</t>
  </si>
  <si>
    <t>Anaplastic oligodendroglioma</t>
  </si>
  <si>
    <t>completed on 22-07-2009</t>
  </si>
  <si>
    <t>Patient recurred in Feb 2015 and received concurrent chemoradiation with TMZ, followed by 12 cycles of adjuvant TMZ.   Pt was subsequently treated with TMZ for 12 cycles in 2020, and again in 2022.</t>
  </si>
  <si>
    <t>Pt started on Lomustine 110mg but discontinued due to toxicity.</t>
  </si>
  <si>
    <t>54 Gy in 30 fractions re-irradiation, started on 23-05-24 and finished 5-7-24.</t>
  </si>
  <si>
    <t>Specimen ID for 2025 surgery is S24-17833.</t>
  </si>
  <si>
    <t>Anaplastic astrocytoma</t>
  </si>
  <si>
    <t>IDHmut and non-codel</t>
  </si>
  <si>
    <t>TMZ 240mg nightly. Completed 9/12 cycles as of 30-05-25</t>
  </si>
  <si>
    <t xml:space="preserve">NA, done in India </t>
  </si>
  <si>
    <t>DNA methylation array</t>
  </si>
  <si>
    <t>Temozolamide 265mg nightly. Modified to 200mg nightly after cycle 2. Completed 12/12 cycles</t>
  </si>
  <si>
    <t>completed 4-07-24</t>
  </si>
  <si>
    <t>Started Nivolumab q4w on 08-08-24. Completed 11 cycles as fo 20-05-25</t>
  </si>
  <si>
    <t>Treated in Dubai; no information available</t>
  </si>
  <si>
    <t>Pt started adjuvant TMZ in April 2024 and completed 12th cycle in May 2025</t>
  </si>
  <si>
    <t>TMZ 280mg nightly. Initially planned for 12 cycles but stopped at 7 due to leukopenia</t>
  </si>
  <si>
    <t>Initially planned for 59.4 Gy in 33 fractions. Stopped after 19 fractions due to migraines.</t>
  </si>
  <si>
    <t>Pilocytotic astrocytoma</t>
  </si>
  <si>
    <t xml:space="preserve">Pt recieved concurrent chemoradiotherapy as part of the United 3 clinical trial on the MR-LINAC at sunnybrook  </t>
  </si>
  <si>
    <t>Pt recieved concurrent chemoradiotherapy as part of the United 3 clinical trial on the MR-LINAC at sunnybrook    Radiation dose/fractions and Chemo regimen unclear.</t>
  </si>
  <si>
    <t>IDHwt and codel</t>
  </si>
  <si>
    <t>End date = 12-06-24</t>
  </si>
  <si>
    <t>Temozolomide treatment was stopped on 19-06-24 due to liver dysfunction.</t>
  </si>
  <si>
    <t>Nausea, vomiting</t>
  </si>
  <si>
    <t>EpiTect Bisulfite Kit (Qiagen)</t>
  </si>
  <si>
    <t>Dexamathasone</t>
  </si>
  <si>
    <t>Recieved WBRT and L occ simultaneous boost</t>
  </si>
  <si>
    <t>Recurrence here is reffering to leptomeningeal spread of disease</t>
  </si>
  <si>
    <t>Nausea, unable to look Dr. in the eye</t>
  </si>
  <si>
    <t xml:space="preserve">Started Vorasidenib 40mg daily on 09-08-24 but treatment has been on hold since 24-04-25 due to transaminitis. </t>
  </si>
  <si>
    <t>Received 7 cycles of adjuvant TMZ in 2008 in Buffalo as part of the CCGT CE.5 clinical trial. Additional details not available.</t>
  </si>
  <si>
    <t xml:space="preserve">Received concurrent chemorads in Buffalo in 2008 as part of the CCGT CE.5 clinical trial. Additional details unclear. </t>
  </si>
  <si>
    <t>Pt recurred in March 2015 and was treated with radiation therapy consisting of 54 Gy in 30 fractions.  Recurrence again in September 2021 and completed 12 Cycles of TMZ 140mg daily.</t>
  </si>
  <si>
    <t>TMZ 300mg daily, completed 11/12 cycles as of 23-4-25.</t>
  </si>
  <si>
    <t>On 25-10-24, started Lomustine 180mg nightly. Completed 4/6 cycles as of 23-5-25</t>
  </si>
  <si>
    <t xml:space="preserve">Pt started Vorasidenib 40mg daily on 01-08-24. </t>
  </si>
  <si>
    <t>TMZ 265mg nightly, completed 8/12 cycles as of 14-05-25</t>
  </si>
  <si>
    <t>Completed on 28-8-24</t>
  </si>
  <si>
    <t>memory issues, vomiting</t>
  </si>
  <si>
    <t>TMZ 260mg nightly. Completed 8/12 cycles as of 07-05-25</t>
  </si>
  <si>
    <t>end date 26-07-24</t>
  </si>
  <si>
    <t>MS-MLPA</t>
  </si>
  <si>
    <t>TMZ 285mg nightly. Completed January 2020</t>
  </si>
  <si>
    <t xml:space="preserve">Pt relapsed and had additional resection in 2023 followed by 9 cycles of adjuvant TMZ.   The   </t>
  </si>
  <si>
    <t>Bevacizumab and Lomustine (210mg)</t>
  </si>
  <si>
    <t xml:space="preserve">TMZ 285mg nightly. Planned for 12 cycles but deteriorated after 1. </t>
  </si>
  <si>
    <t>completed 17-07-24</t>
  </si>
  <si>
    <t>WHO Grade IV</t>
  </si>
  <si>
    <t>TMZ 320mg nightly. Stopped after 4 cycles due to toxicity</t>
  </si>
  <si>
    <t>Completed on 28-08-24</t>
  </si>
  <si>
    <t>nausea, dizzy</t>
  </si>
  <si>
    <t>TMZ 330mg nightly. Initially planned for 12 cycles but stopped after 3 due to hematologic toxicity</t>
  </si>
  <si>
    <t xml:space="preserve">Bevacizumab + Lomustine planned for 6 cycles. </t>
  </si>
  <si>
    <t xml:space="preserve">TMZ 240mg nightly. Completed 7/12 cycles as of 13-02-25 </t>
  </si>
  <si>
    <t>TMZ 265mg nightly. Initially planned for 12 cycles, but stopped after 6 due to hematotoxicity</t>
  </si>
  <si>
    <t xml:space="preserve">Patient was initially diagnosed in 2021 but did not have surgery until 2024. Previous treatment included concurrent chemoradiation with TMZ, followed by adjuvant TMZ therapy. </t>
  </si>
  <si>
    <t>Bevacizumab + Lomustine, planned for 6 cycles</t>
  </si>
  <si>
    <t>Started on 20-05-25, receiving 30 Gy in 10 fractions</t>
  </si>
  <si>
    <t xml:space="preserve">TMZ 305mg nightly. Initially planned for 12 cycles but stopped after 4 due to progression </t>
  </si>
  <si>
    <t>Lomustine 230mg, planned for 2 cycles but stopped due to progression</t>
  </si>
  <si>
    <t>Started Bevacizumab on 26-5-25</t>
  </si>
  <si>
    <t>High grade glioma</t>
  </si>
  <si>
    <t>TMZ 315mg nightly. Completed 8 cycles as of 21-5-25</t>
  </si>
  <si>
    <t>Vorasidenib 40mg daily. Started on 17-01-25</t>
  </si>
  <si>
    <t>Adjuvant TMZ, 330mg nightly. Completed 5/12 cycles as of 15-5-24</t>
  </si>
  <si>
    <t>59.4 Gy in 33 fractions concurrent to TMZ. Started on 5-9-24 and finished on 22-10-24</t>
  </si>
  <si>
    <t>expressive aphasia</t>
  </si>
  <si>
    <t>Initially planned for 25 Gy in 10 fractions. Stopped on 5-09-24</t>
  </si>
  <si>
    <t>Pt progressed in 2017 and was treated with concurrent chemoradiation with TMZ followed by 12 cycles of adjuvant TMZ</t>
  </si>
  <si>
    <t>TMZ 305mg nightly. Completed 3 cycles but stopped on 4-7-24 due to progression</t>
  </si>
  <si>
    <t xml:space="preserve">Started Lomustine 220mg and Procarbazine 50mg on 22-8-24. Completed 5/6 cycles as of 9-5-25.   Also received one cycle of Vincristine on 21-9-24 </t>
  </si>
  <si>
    <t>Decreased memory</t>
  </si>
  <si>
    <t>Did not receive adjuvant TMZ due to adverse effects</t>
  </si>
  <si>
    <t>delivered at RVH</t>
  </si>
  <si>
    <t>Pt was treated at Royal Victoria Hospital in Muskoka. No update on EPIC since 10-10-24</t>
  </si>
  <si>
    <t>Vorasidenib 40mg daily. Started 4-3-25</t>
  </si>
  <si>
    <t>TMZ 330mg nightly. Completed 6/12 cycles as of 28-05-25</t>
  </si>
  <si>
    <t>After biopsy, Pt went back to Moncton to receive treatment.</t>
  </si>
  <si>
    <t>Syncope and vomiting</t>
  </si>
  <si>
    <t>TMZ 310mg nightly. Planned for 12 cycles but stopped after 4 due to disease progression</t>
  </si>
  <si>
    <t>Planned to start Lomustine 40mg daily after progression on TMZ</t>
  </si>
  <si>
    <t>Received in india - details unavailable on EPIC</t>
  </si>
  <si>
    <t>Pt was initially diagnosed and treated in India, details unavailable on EPIC</t>
  </si>
  <si>
    <t>TMZ 270mg nightly. Compleed 11/12 cycles</t>
  </si>
  <si>
    <t>Lomustine 210mg daily. Started on 11-10-24</t>
  </si>
  <si>
    <t>Anaplastic ependymoma</t>
  </si>
  <si>
    <t>Facial swelling</t>
  </si>
  <si>
    <t>Upfront TMZ 260mg for 12 cycles</t>
  </si>
  <si>
    <t>Pt progressed in May of 2020 and recieved concurrent chemoradiation with TMZ, followed by 12 cycles of adjuvant TMZ.</t>
  </si>
  <si>
    <t>Lomustine, Procarbazine, and Vincristine (PCV). Planned for 6 cycles</t>
  </si>
  <si>
    <t>tremors</t>
  </si>
  <si>
    <t>Pt received treatment in Windsor, details unavailable on EPIC.</t>
  </si>
  <si>
    <t xml:space="preserve">TMZ 330mg nightly. Completed 3/12 cycles as of 11-06-25 </t>
  </si>
  <si>
    <t>Pt had first resection and treatment in Egypt - details unavailable on EPIC</t>
  </si>
  <si>
    <t>deBRAFenib 150mg twice daily. Completed 5/8 cycles as of 15-4-25</t>
  </si>
  <si>
    <t>Treated first in Egypt - lots of details missing regarding primary treatment</t>
  </si>
  <si>
    <t>Pt was treated with Adjuvant TMZ for only 3 days before stopping due to myelosuppression</t>
  </si>
  <si>
    <t>Malignant undifferentiated neoplasm</t>
  </si>
  <si>
    <t>Facial twitching</t>
  </si>
  <si>
    <t>Treated at RVH, details unavailable on EPIC</t>
  </si>
  <si>
    <t>Treated at RVH, start date unavailable</t>
  </si>
  <si>
    <t>Diffuse midline glioma, H3K27M mutant</t>
  </si>
  <si>
    <t>diffuse midline glioma</t>
  </si>
  <si>
    <t xml:space="preserve">Patient moved to Vancouver after completing radiation therapy. Must have progressed shortly after 13-12-24 </t>
  </si>
  <si>
    <t>Right leg and hand numbness, swallowing issues</t>
  </si>
  <si>
    <t>Diffuse high grade glioma</t>
  </si>
  <si>
    <t>Retrieving data. Wait a few seconds and try to cut or copy again.</t>
  </si>
  <si>
    <t>Received at RVH, details unavailable</t>
  </si>
  <si>
    <t>Vorasidenib 40mg daily. Started 22-1-25</t>
  </si>
  <si>
    <t>Started Vorasidenib in December 2024, but stopped shortly after due to hepatotoxicity</t>
  </si>
  <si>
    <t>Initially planned for 54 Gy in 30 fractions but stopped due to progression</t>
  </si>
  <si>
    <t>TMZ 330mg nightly. Completed 3/12 cycles as of 6-6-25</t>
  </si>
  <si>
    <t>This is referring to the resection for recurrence. Pt had multiple resections prior to this, dating back to 2004.</t>
  </si>
  <si>
    <t xml:space="preserve">Pt has very long treatment history dating back to 2004. I used the treatment form for information relating to the resected sample we have stored. </t>
  </si>
  <si>
    <t xml:space="preserve">TMZ 290mg nightly. </t>
  </si>
  <si>
    <t>Unconscious episode of screaming, shaking, clenching fists.</t>
  </si>
  <si>
    <t>Vorasidenib 40mg daily. Started 4-2-25</t>
  </si>
  <si>
    <t>Patient was trsansferred to RVH after resection</t>
  </si>
  <si>
    <t>Trametinib 2mg daily. Started on 21-1-25, completed 5/8 cycles as of 10-6-25</t>
  </si>
  <si>
    <t>Using wheelchair and occasionally a walker</t>
  </si>
  <si>
    <t>Pulsatile tinnitus</t>
  </si>
  <si>
    <t>Vorasidenib 40mg daily. Started on 11-02-25</t>
  </si>
  <si>
    <t>Facial droop</t>
  </si>
  <si>
    <t>Pt resumed care at Southlake hospital</t>
  </si>
  <si>
    <t>TMZ 285mg nightly. Completed 2 cycles as of 30-05-25</t>
  </si>
  <si>
    <t>Pt was transferred and treated at the Royal Victoria Hospital where he received 30 rounds of radiation and 40 rounds of chemotherapy - specific details unavailable on EPIC</t>
  </si>
  <si>
    <t>parasthesia</t>
  </si>
  <si>
    <t>Concurrent chemorads received in Vancouver - Details unavailable on EPIC</t>
  </si>
  <si>
    <t>After resection, Pt went home to vancouver to receive treatment - most treatment details were unavailable on EPIC</t>
  </si>
  <si>
    <t>Started Vorasidenib 40mg on 12-03-25.</t>
  </si>
  <si>
    <t>Completed 12 cycles of adjuvant TMZ in November 2009</t>
  </si>
  <si>
    <t>TMZ rechallenge; completed 12 cycles between 15-03-21 to 15-02-22.</t>
  </si>
  <si>
    <t>Received TMZ again starting 27-04-23. Pt was given 330mg nightly and completed 11 cycles before disease progression in Feb 2025.</t>
  </si>
  <si>
    <t>vomiting</t>
  </si>
  <si>
    <t>High grade astrocytoma with piloid features</t>
  </si>
  <si>
    <t>Completed 13-5-25</t>
  </si>
  <si>
    <t xml:space="preserve">Has not started adjuvant TMZ as of </t>
  </si>
  <si>
    <t>Started Vorasidenib 40mg on 14-5-25</t>
  </si>
  <si>
    <t>Hearing noises, loss of consciousness</t>
  </si>
  <si>
    <t>Right sided numbness/parasthesia</t>
  </si>
  <si>
    <t>Following surgery, Pt went back to barrie to receive treatment. Planned to receive chemorads and adjuvant TMZ</t>
  </si>
  <si>
    <t>Receiving treatment in Barrie; postsurgical treatment details unavailable.</t>
  </si>
  <si>
    <t>Clumsiness in left hand</t>
  </si>
  <si>
    <t>Finished June 2023</t>
  </si>
  <si>
    <t>TMZ rechallenge in January 2025. Stopped during cycle 2 due to progression</t>
  </si>
  <si>
    <t>Completed 12th cycle in Feb 2020</t>
  </si>
  <si>
    <t xml:space="preserve">TMZ 330mg nightly. Completed 1/12 cycles as of 28-5-25 </t>
  </si>
  <si>
    <t>Fibrous meningioma</t>
  </si>
  <si>
    <t>Meningioma</t>
  </si>
  <si>
    <t>C25-022</t>
  </si>
  <si>
    <t>Not available</t>
  </si>
  <si>
    <t>S25-22649</t>
  </si>
  <si>
    <t xml:space="preserve">Pt had rapid progression after surgery and has not received treatment. </t>
  </si>
  <si>
    <t>Age dx</t>
  </si>
  <si>
    <t>Smoking</t>
  </si>
  <si>
    <t>Gene</t>
  </si>
  <si>
    <t>Tier</t>
  </si>
  <si>
    <t>Mutation Type</t>
  </si>
  <si>
    <t>Full Mutation Description</t>
  </si>
  <si>
    <t>Past smoker</t>
  </si>
  <si>
    <t>IDH1</t>
  </si>
  <si>
    <t>I</t>
  </si>
  <si>
    <t>SNV/Indel</t>
  </si>
  <si>
    <t>IDH1: c.394C&gt;T (p.Arg132Cys) 30% </t>
  </si>
  <si>
    <t>I-IDH1: c.395G&gt;T (p.Arg132Leu) 35%</t>
  </si>
  <si>
    <t>ATRX</t>
  </si>
  <si>
    <t>II</t>
  </si>
  <si>
    <t>II-ATRX: c.4434_4435delGA (p.Lys1479Asnfs*6) 48%</t>
  </si>
  <si>
    <t>TP53</t>
  </si>
  <si>
    <t>III</t>
  </si>
  <si>
    <t>III-TP53: c.473G&gt;A (p.Arg158His) 38%</t>
  </si>
  <si>
    <t>III-TP53: c.830G&gt;A (p.Cys277Tyr) 40%</t>
  </si>
  <si>
    <t>TERTp</t>
  </si>
  <si>
    <t>I-TERTp: c.-124C&gt;T (p.?) 52%</t>
  </si>
  <si>
    <t>I-IDH1: c.395G&gt;A (p.Arg132His) 30%</t>
  </si>
  <si>
    <t>CTNNB1</t>
  </si>
  <si>
    <t>III-CTNNB1: c.101G&gt;A (p.Gly34Glu) 6%</t>
  </si>
  <si>
    <t>PIK3CA</t>
  </si>
  <si>
    <t>III-PIK3CA: c.1619T&gt;C (p.Leu540Pro) 28%</t>
  </si>
  <si>
    <t>EGFR</t>
  </si>
  <si>
    <t>Fusion</t>
  </si>
  <si>
    <t>III-Fusion EGFR Exon 1 - EGFR Exon 8</t>
  </si>
  <si>
    <t>NTRK3</t>
  </si>
  <si>
    <t>III-NTRK3: c.940G&gt;A (p.Glu314Lys) 47%</t>
  </si>
  <si>
    <t>III-TP53: c.218T&gt;C (p.Val73Ala) 68%</t>
  </si>
  <si>
    <t>III-TP53: c.721T&gt;A (p.Ser241Thr) 48%</t>
  </si>
  <si>
    <t>Never smoker</t>
  </si>
  <si>
    <t>II-PIK3CA: c.1633G&gt;A (p.Glu545Lys) 34%</t>
  </si>
  <si>
    <t>FGFR1</t>
  </si>
  <si>
    <t>II-FGFR1: c.1731C&gt;A (p.Asn577Lys) 47%</t>
  </si>
  <si>
    <t>III- NF1: c.1646T&gt;C (p.Leu549Pro) 38</t>
  </si>
  <si>
    <t>Copy Number Variant</t>
  </si>
  <si>
    <t>I-EGFR Amplification Copy number: 26.</t>
  </si>
  <si>
    <t>PTEN</t>
  </si>
  <si>
    <t>I-PTEN: c.264T&gt;G (p.Tyr88*) 55%</t>
  </si>
  <si>
    <t>I-TERTp: c.-124C&gt;T (p.?) 34%</t>
  </si>
  <si>
    <t>BRAF</t>
  </si>
  <si>
    <t>II-BRAF: c.1799T&gt;A (p.Val600Glu) 7%</t>
  </si>
  <si>
    <t>II-EGFR: c.1793G&gt;T (p.Gly598Val) 51%</t>
  </si>
  <si>
    <t>I-EGFR Amplification Copy number: 93.2</t>
  </si>
  <si>
    <t>I-TERTp: c.-124C&gt;T p.(?) 18</t>
  </si>
  <si>
    <t>CDK4</t>
  </si>
  <si>
    <t>II-CDK4 Amplification Copy number: 39.1</t>
  </si>
  <si>
    <t>MDM4</t>
  </si>
  <si>
    <t>II-MDM4 Amplification Copy number: 35.0</t>
  </si>
  <si>
    <t>PDGFRA</t>
  </si>
  <si>
    <t>II-PDGFRA Amplification Copy number: 12.3</t>
  </si>
  <si>
    <t>I-Fusion:  EGFR Exon 1 - EGFR Exon 8</t>
  </si>
  <si>
    <t>CDKN2A</t>
  </si>
  <si>
    <t>I-CDKN2A Deletion Copy number: 0.3</t>
  </si>
  <si>
    <t>I-EGFR Amplification Copy number: 149.2</t>
  </si>
  <si>
    <t>I-TERTp: c.-124C&gt;T p.(?) 42</t>
  </si>
  <si>
    <t>II-PTEN: c.203A&gt;G p.(Tyr68Cys) 4%</t>
  </si>
  <si>
    <t>III-EGFR: c.2721G&gt;C p.(Leu907Phe) 27%</t>
  </si>
  <si>
    <t>I-ATRX: c.6502C&gt;T p.(Gln2168*) 88%</t>
  </si>
  <si>
    <t>IDH2</t>
  </si>
  <si>
    <t>I-IDH2: c.515G&gt;T p.(Arg172Met) 48%</t>
  </si>
  <si>
    <t>II-TP53: c.659A&gt;G p.(Tyr220Cys) 86%</t>
  </si>
  <si>
    <t>I-TERTp: c.-124C&gt;T p.(?) 46%</t>
  </si>
  <si>
    <t>II-EGFR: c.866C&gt;T p.(Ala289Val) 25%</t>
  </si>
  <si>
    <t>II-PTEN: c.143A&gt;C p.(Asn48Thr) 59%</t>
  </si>
  <si>
    <t>I-IDH1: c.395G&gt;A p.(Arg132His) 46%</t>
  </si>
  <si>
    <t>II-PDGFRA Amplification Copy number: 58.2</t>
  </si>
  <si>
    <t>II-TP53: c.493C&gt;T p.(Gln165*) 89%</t>
  </si>
  <si>
    <t>III-ATRX: c.6490A&gt;G p.(Arg2164Gly) 47%</t>
  </si>
  <si>
    <t>I-BRAF: c.1799T&gt;A p.(Val600Glu) 6%</t>
  </si>
  <si>
    <t>I-ATRX: c.1330C&gt;T p.(Arg444*) 68%</t>
  </si>
  <si>
    <t>I-IDH1: c.395G&gt;A p.(Arg132His) 30%</t>
  </si>
  <si>
    <t>III-TP53: c.715A&gt;G p.(Asn239Asp) 72%</t>
  </si>
  <si>
    <t>III-BRAF: c.1741A&gt;C p.(Asn581His) 20%</t>
  </si>
  <si>
    <t>II-PDGFRA Amplification Copy number: 14.7</t>
  </si>
  <si>
    <t>II-TP53: c.818G&gt;A p.(Arg273His) 53%</t>
  </si>
  <si>
    <t>I-Fusion: EGFR Exon 1 - EGFR Exon 8</t>
  </si>
  <si>
    <t>I-EGFR Amplification Copy number: 45.2</t>
  </si>
  <si>
    <t>I-TERTp: c.-124C&gt;T p.(?) 53%</t>
  </si>
  <si>
    <t>II-CDK4 Amplification Copy number: 61.2</t>
  </si>
  <si>
    <t>I-CDKN2A Deletion Copy number: 0.5</t>
  </si>
  <si>
    <t>I-TERTp: c.-124C&gt;T p.(?) 51%</t>
  </si>
  <si>
    <t>II-PTEN: c.1026+1G&gt;A p.(?) 83%</t>
  </si>
  <si>
    <t>II-TP53: c.235_236delGC p.(Ala79Serfs*69) 85%</t>
  </si>
  <si>
    <t>I-EGFR Amplification Copy number: 66.7</t>
  </si>
  <si>
    <t>II-CDK4 Amplification Copy number: 55.0</t>
  </si>
  <si>
    <t>II-PDGFRA Amplification Copy number: 31.9</t>
  </si>
  <si>
    <t>II-TP53: c.518T&gt;G p.(Val173Gly) 83%</t>
  </si>
  <si>
    <t>III-ATRX: c.5408G&gt;A p.(Arg1803His) 73%</t>
  </si>
  <si>
    <t>I-IDH1: c.395G&gt;A p.(Arg132His) 45%</t>
  </si>
  <si>
    <t>I-TERTp: c.-124C&gt;T p.(?) 54</t>
  </si>
  <si>
    <t>FGFR3</t>
  </si>
  <si>
    <t>III-FGFR3: c.521C&gt;G p.(Thr174Arg) 53%</t>
  </si>
  <si>
    <t>Current smoker</t>
  </si>
  <si>
    <t>FGFR3-TACC3</t>
  </si>
  <si>
    <t>II-Fusion FGFR3 Exon 17 - TACC3 Exon 11</t>
  </si>
  <si>
    <t>II-FGFR3 Amplification Copy number: 6.3</t>
  </si>
  <si>
    <t>II-TP53: c.831_835delTCCTG p.(Cys277Trpfs*27) 17%</t>
  </si>
  <si>
    <t>I-ATRX: c.5698-1G&gt;C p.(?) 65</t>
  </si>
  <si>
    <t>I-IDH1: c.394C&gt;T p.(Arg132Cys) 27%</t>
  </si>
  <si>
    <t>II-TP53: c.817C&gt;T p.(Arg273Cys) 58%</t>
  </si>
  <si>
    <t>I-ATRX: c.3971C&gt;G p.(Ser1324*) 49%</t>
  </si>
  <si>
    <t>I-IDH1: c.395G&gt;A p.(Arg132His) 42%</t>
  </si>
  <si>
    <t>II-PIK3CA: c.1633G&gt;A p.(Glu545Lys) 60%</t>
  </si>
  <si>
    <t>II-TP53: c.572_574delCTC p.(Pro191del) 87%</t>
  </si>
  <si>
    <t>II-TP53: c.991C&gt;T p.(Gln331*) 38%</t>
  </si>
  <si>
    <t>KIAA1549-BRAF</t>
  </si>
  <si>
    <t>I-Fusion: KIAA1549 Exon 9 - BRAF Exon 9</t>
  </si>
  <si>
    <t>II-PDGFRA Amplification Copy number: 40.4</t>
  </si>
  <si>
    <t>II-TP53: c.587G&gt;A p.(Arg196Gln) 50%</t>
  </si>
  <si>
    <t>III-EGFR: c.1762G&gt;A p.(Gly588Ser) 31%</t>
  </si>
  <si>
    <t>I-Fusion: FGFR3 Exon 17 - TACC3 Exon 8</t>
  </si>
  <si>
    <t>I-TERTp: c.-124C&gt;T p.(?) 40%</t>
  </si>
  <si>
    <t>II-CDK4 Amplification Copy number: 29.2</t>
  </si>
  <si>
    <t>II-NF1: c.5246_5247delAA p.(Lys1749Argfs*7) 26%</t>
  </si>
  <si>
    <t>II-NF1: c.5907_5910delAAGA p.(Arg1970Leufs*8) 21%</t>
  </si>
  <si>
    <t>II-PIK3CA: c.323G&gt;A p.(Arg108His) 26%</t>
  </si>
  <si>
    <t>II-TP53: c.524G&gt;A p.(Arg175His) 23%</t>
  </si>
  <si>
    <t>II-TP53: c.818G&gt;A p.(Arg273His) 28%</t>
  </si>
  <si>
    <t>I-TERTp: c.-124C&gt;T p.(?) 39</t>
  </si>
  <si>
    <t>II-TP53: c.993+1G&gt;A p.(?) 73%</t>
  </si>
  <si>
    <t>III-PIK3CA Amplification Copy number: 6.6</t>
  </si>
  <si>
    <t>I-Fusion: FGFR3 Exon 17 - TACC3 Exon 11</t>
  </si>
  <si>
    <t>I-TERTp: c.-146C&gt;T p.(?) 27%</t>
  </si>
  <si>
    <t>I-Fusion: KIAA1549 Exon 14 - BRAF Exon 9</t>
  </si>
  <si>
    <t>I-EGFR Amplification Copy number: 98.2</t>
  </si>
  <si>
    <t>I-TERTp: c.-124C&gt;T p.(?) 52%</t>
  </si>
  <si>
    <t>II-CDK4 Amplification Copy number: 75.1</t>
  </si>
  <si>
    <t>PTPRZ1-MET</t>
  </si>
  <si>
    <t>II-Fusion: PTPRZ1 Exon 1 - MET Exon 2</t>
  </si>
  <si>
    <t>II-ATRX: c.1409_1412delATAG p.(Asp470Valfs*43) 95%</t>
  </si>
  <si>
    <t>II-CDK4 Amplification Copy number: 83.5</t>
  </si>
  <si>
    <t>II-TP53: c.524G&gt;A p.(Arg175His) 60%</t>
  </si>
  <si>
    <t>I-IDH1: c.395G&gt;A p.(Arg132His) 18%</t>
  </si>
  <si>
    <t>II-TP53: c.578A&gt;G p.(His193Arg) 16%</t>
  </si>
  <si>
    <t>I-ATRX: c.2753delC p.(Thr918Metfs*52) 40%</t>
  </si>
  <si>
    <t>II-TP53: c.707A&gt;G p.(Tyr236Cys) 85%</t>
  </si>
  <si>
    <t>III-CDKN2A: c.248A&gt;G p.(His83Arg) 64%</t>
  </si>
  <si>
    <t>I-IDH1: c.394C&gt;T p.(Arg132Cys) 47%</t>
  </si>
  <si>
    <t>I-TERTp: c.-124C&gt;T p.(?) 59%</t>
  </si>
  <si>
    <t>I-IDH1: c.395G&gt;A p.(Arg132His) 40</t>
  </si>
  <si>
    <t>II-TP53: c.532_549delCACCATGAGCGCTGCTCA p.(His178_Ser183del) 88%</t>
  </si>
  <si>
    <t>MSH6</t>
  </si>
  <si>
    <t>II-MSH6: c.1483C&gt;T p.(Arg495*) 55%</t>
  </si>
  <si>
    <t>II-NF1: c.3574G&gt;T p.(Glu1192*) 38%</t>
  </si>
  <si>
    <t>II-NF1: c.7348C&gt;T p.(Arg2450*) 45%</t>
  </si>
  <si>
    <t>II-PIK3CA: c.3073A&gt;G p.(Thr1025Ala) 26%</t>
  </si>
  <si>
    <t>PMS2</t>
  </si>
  <si>
    <t>II-PMS2: c.1321G&gt;T p.(Glu441*) 45%</t>
  </si>
  <si>
    <t>POLE</t>
  </si>
  <si>
    <t>II-POLE: c.857C&gt;G p.(Pro286Arg) 41</t>
  </si>
  <si>
    <t>II-TP53: c.339C&gt;A p.(Phe113Leu) 36%</t>
  </si>
  <si>
    <t>ALK</t>
  </si>
  <si>
    <t>III-ALK: c.3752C&gt;A p.(Ala1251Asp) 34</t>
  </si>
  <si>
    <t>III-ALK: c.3968T&gt;G p.(Phe1323Cys) 32</t>
  </si>
  <si>
    <t>III-ATRX: c.941G&gt;A p.(Arg314Lys) 22</t>
  </si>
  <si>
    <t>III-ATRX: c.1715G&gt;A p.(Gly572Glu) 38</t>
  </si>
  <si>
    <t>III-ATRX: c.2342G&gt;A p.(Arg781Gln) 43%</t>
  </si>
  <si>
    <t>III-ATRX: c.4792C&gt;A p.(Leu1598Ile) 19%</t>
  </si>
  <si>
    <t>III-ATRX: c.6127T&gt;C p.(Ser2043Pro) 40%</t>
  </si>
  <si>
    <t>III-ATRX: c.6187G&gt;A p.(Glu2063Lys) 41%</t>
  </si>
  <si>
    <t>III-ATRX: c.7315C&gt;A p.(Pro2439Thr) 36%</t>
  </si>
  <si>
    <t>III-EGFR: c.359C&gt;A p.(Ala120Glu) 42%</t>
  </si>
  <si>
    <t>FGFR2</t>
  </si>
  <si>
    <t>III-FGFR2: c.2141A&gt;C p.(Lys714Thr) 39%</t>
  </si>
  <si>
    <t>III-MDM4: c.1091G&gt;T p.(Arg364Ile) 36%</t>
  </si>
  <si>
    <t>MET</t>
  </si>
  <si>
    <t>III-MET: c.898C&gt;T p.(Leu300Phe) 40%</t>
  </si>
  <si>
    <t>MLH1</t>
  </si>
  <si>
    <t>III-MLH1: c.1177C&gt;A p.(Leu393Ile) 26</t>
  </si>
  <si>
    <t>III-MLH1: c.1433A&gt;G p.(Asp478Gly) 29%</t>
  </si>
  <si>
    <t>III-MSH6: c.1796G&gt;A p.(Gly599Glu) 50%</t>
  </si>
  <si>
    <t>III-MSH6: c.280G&gt;T p.(Asp94Tyr) 35%</t>
  </si>
  <si>
    <t>III-NF1: c.1708T&gt;G p.(Phe570Val) 42%</t>
  </si>
  <si>
    <t>III-NF1: c.2052G&gt;T p.(Gln684His) 46%</t>
  </si>
  <si>
    <t>III-NF1: c.2527T&gt;G p.(Phe843Val) 22%</t>
  </si>
  <si>
    <t>III-NF1: c.4969G&gt;T p.(Asp1657Tyr) 24%</t>
  </si>
  <si>
    <t>III-NF1: c.6977A&gt;C p.(Asp2326Ala) 24%</t>
  </si>
  <si>
    <t>III-PDGFRA: c.1739T&gt;C p.(Leu580Pro) 32%</t>
  </si>
  <si>
    <t>III-POLE: c.1763T&gt;C p.(Val588Ala) 19%</t>
  </si>
  <si>
    <t>III-POLE: c.5554C&gt;A p.(Leu1852Ile) 21%</t>
  </si>
  <si>
    <t>RB1</t>
  </si>
  <si>
    <t>III-RB1: c.2123T&gt;C p.(Met708Thr) 28</t>
  </si>
  <si>
    <t>I-IDH1: c.395G&gt;A p.(Arg132His) 39%</t>
  </si>
  <si>
    <t>II-TP53: c.673-2_673-1delAG p.(?) 71%</t>
  </si>
  <si>
    <t>I-Fusion KIAA1549 Exon 15 -  BRAF Exon 9</t>
  </si>
  <si>
    <t>MYC</t>
  </si>
  <si>
    <t>III-MYC: c.517G&gt;A p.(Asp173Asn) 51%</t>
  </si>
  <si>
    <t>II-RB1: c.2520+3_2520+6delGAGT p.(?) 56%</t>
  </si>
  <si>
    <t>II-TP53: c.559+1G&gt;A p.(?) 58%</t>
  </si>
  <si>
    <t>III-ATRX: c.1159A&gt;G p.(Thr387Ala) 100%</t>
  </si>
  <si>
    <t>III-ATRX: c.6547_6549delCAG p.(Gln2183del) 72%</t>
  </si>
  <si>
    <t>NTRK1</t>
  </si>
  <si>
    <t>III-NTRK1: c.355C&gt;T p.(Arg119Cys) 83%</t>
  </si>
  <si>
    <t>I-TERTp: c.-146C&gt;T p.(?) 41%</t>
  </si>
  <si>
    <t>II-BRAF: c.1455G&gt;C p.(Leu485Phe) 32%</t>
  </si>
  <si>
    <t>FGFR1-TACC1</t>
  </si>
  <si>
    <t>II-Fusion: FGFR1 Exon 17 - TACC1 Exon 7</t>
  </si>
  <si>
    <t>II-PIK3CA: c.328_330delGAA p.(Glu110del) 17</t>
  </si>
  <si>
    <t>I-EGFR Amplification Copy number: 17.9</t>
  </si>
  <si>
    <t>II-EGFR: c.1793G&gt;T p.(Gly598Val) 88%</t>
  </si>
  <si>
    <t>I-BRAF: c.1799T&gt;A p.(Val600Glu) 39%</t>
  </si>
  <si>
    <t>I-TERTp: c.-124C&gt;T p.(?) 39%</t>
  </si>
  <si>
    <t>I-TERTp: c.-124C&gt;T p.(?) 43%</t>
  </si>
  <si>
    <t>II-NF1: c.1008G&gt;A p.(Trp336*) 22</t>
  </si>
  <si>
    <t>II-NF1: c.1278G&gt;A p.(Trp426*) 25%</t>
  </si>
  <si>
    <t>II-NF1: c.4677G&gt;A p.(Trp1559*) 5%</t>
  </si>
  <si>
    <t>II-PIK3CA: c.1625A&gt;T p.(Glu542Val) 30%</t>
  </si>
  <si>
    <t>HRAS</t>
  </si>
  <si>
    <t>III-HRAS: c.152G&gt;A p.(Cys51Tyr) 27%</t>
  </si>
  <si>
    <t>III-NF1: c.7321G&gt;A p.(Ala2441Thr) 5</t>
  </si>
  <si>
    <t>MYCN</t>
  </si>
  <si>
    <t>III-MYCN: c.866C&gt;G p.(Ser289Cys) 53%</t>
  </si>
  <si>
    <t>CDK6</t>
  </si>
  <si>
    <t>II-CDK6 Amplification Copy number: 15.4</t>
  </si>
  <si>
    <t>II-PDGFRA Amplification Copy number: 7.9</t>
  </si>
  <si>
    <t>II-TP53: c.1024C&gt;T p.(Arg342*) 94%</t>
  </si>
  <si>
    <t>I-TERTp: c.-124C&gt;T p.(?) 49%</t>
  </si>
  <si>
    <t>II-Fusion: MET Exon 13 - MET Exon 15</t>
  </si>
  <si>
    <t>II-CDK4 Amplification Copy number: 43.8</t>
  </si>
  <si>
    <t>II-MET Amplification Copy number: 4.6</t>
  </si>
  <si>
    <t>II-PDGFRA Amplification Copy number: 25.8</t>
  </si>
  <si>
    <t>II-PTEN: c.29G&gt;A p.(Ser10Asn) 74%</t>
  </si>
  <si>
    <t>II-TP53: c.527G&gt;T p.(Cys176Phe) 38%</t>
  </si>
  <si>
    <t>II-TP53: c.853G&gt;A p.(Glu285Lys) 42%</t>
  </si>
  <si>
    <t>III-Fusion: PTPRZ1 Exon 1 - MET Exon 2</t>
  </si>
  <si>
    <t>I-TERTp: c.-124C&gt;T p.(?) 44%</t>
  </si>
  <si>
    <t>II-NF1: c.888+1G&gt;A p.(?) 21%</t>
  </si>
  <si>
    <t>II-PIK3CA: c.1637A&gt;C p.(Gln546Pro) 31%</t>
  </si>
  <si>
    <t>I-TERTp: c.-124C&gt;T p.(?) 47%</t>
  </si>
  <si>
    <t>II-NF1: c.6852_6855delTTAC p.(Tyr2285Thrfs*5) 77%</t>
  </si>
  <si>
    <t>GOPC-ROS1</t>
  </si>
  <si>
    <t>II-Fusion: GOPC Exon 4 - ROS1 Exon 36</t>
  </si>
  <si>
    <t>I-TERTp: c.-124C&gt;T p.(?) 55%</t>
  </si>
  <si>
    <t>II-NF1: c.1466A&gt;G p.(Tyr489Cys) 30%</t>
  </si>
  <si>
    <t>II-Fusion PTPRZ1 Exon 1 - MET Exon 2</t>
  </si>
  <si>
    <t>I-EGFR Amplification Copy number: 136.8</t>
  </si>
  <si>
    <t>I-PTEN: c.638delC p.(Pro213Leufs*8) 65%</t>
  </si>
  <si>
    <t>II-TP53: c.472C&gt;G p.(Arg158Gly) 34%</t>
  </si>
  <si>
    <t>II-TP53: c.783-1G&gt;A p.(?) 38%</t>
  </si>
  <si>
    <t>I-IDH1: c.395G&gt;A p.(Arg132His) 9%</t>
  </si>
  <si>
    <t>II-TP53: c.773A&gt;G p.(Glu258Gly) 83%</t>
  </si>
  <si>
    <t>III-BRAF: c.1661T&gt;C p.(Ile554Thr) 51%</t>
  </si>
  <si>
    <t>II-PIK3CA: c.1633G&gt;A p.(Glu545Lys) 10%</t>
  </si>
  <si>
    <t>II-RB1: c.138-1G&gt;A p.(?) 5%</t>
  </si>
  <si>
    <t>II-TP53: c.53C&gt;T p.(Thr18Ile) 19%</t>
  </si>
  <si>
    <t>II-TP53: c.773A&gt;G p.(Glu258Gly) 93%</t>
  </si>
  <si>
    <t>III-BRAF: c.1661T&gt;C p.(Ile554Thr) 53%</t>
  </si>
  <si>
    <t>III-MET: c.3412G&gt;A p.(Glu1138Lys) 6%</t>
  </si>
  <si>
    <t>MSH2</t>
  </si>
  <si>
    <t>III-MSH2: c.371C&gt;T p.(Ser124Phe) 53%</t>
  </si>
  <si>
    <t>III-MSH6: c.1986G&gt;A p.(Met662Ile) 9%</t>
  </si>
  <si>
    <t>I-CDKN2A Deletion Copy number: 0.2</t>
  </si>
  <si>
    <t>II-PDGFRA Amplification Copy number: 5.1</t>
  </si>
  <si>
    <t>KRAS</t>
  </si>
  <si>
    <t>II-KRAS: c.180_181delTCinsAA p.(Gln61Lys) 19%</t>
  </si>
  <si>
    <t>I-EGFR: c.2156G&gt;C p.(Gly719Ala) 10%</t>
  </si>
  <si>
    <t>I-EGFR Amplification Copy number: 73.5</t>
  </si>
  <si>
    <t>I-PTEN: c.455T&gt;A p.(Leu152Gln) 52%</t>
  </si>
  <si>
    <t>I-TERTp: c.-124C&gt;T p.(?) 40</t>
  </si>
  <si>
    <t>II-TP53: c.523C&gt;T p.(Arg175Cys) 28%</t>
  </si>
  <si>
    <t>III-EGFR: c.2639G&gt;A p.(Trp880*) 12%</t>
  </si>
  <si>
    <t>II-PIK3CA: c.1636C&gt;A p.(Gln546Lys) 30%</t>
  </si>
  <si>
    <t>II-EGFR: c.2156G&gt;T p.(Gly719Val) 38%</t>
  </si>
  <si>
    <t>II-FGFR1: c.1731C&gt;A p.(Asn577Lys) 40%</t>
  </si>
  <si>
    <t>II-PIK3CA: c.3140A&gt;G p.(His1047Arg) 15%</t>
  </si>
  <si>
    <t>II-TP53: c.314G&gt;T p.(Gly105Val) 41%</t>
  </si>
  <si>
    <t>II-TP53: c.425C&gt;A p.(Pro142His) 45%</t>
  </si>
  <si>
    <t>III-ATRX: c.6386C&gt;T p.(Ala2129Val) 31%</t>
  </si>
  <si>
    <t>III-BRAF: c.1633G&gt;A p.(Glu545Lys) 41%</t>
  </si>
  <si>
    <t>III-CDK4: c.803G&gt;A p.(Gly268Glu) 16%</t>
  </si>
  <si>
    <t>III-EGFR: c.1855C&gt;A p.(Leu619Met) 40%</t>
  </si>
  <si>
    <t>III-FGFR2: c.1177G&gt;A p.(Val393Ile) 14%</t>
  </si>
  <si>
    <t>III-FGFR3: c.1168G&gt;A p.(Val390Met) 11%</t>
  </si>
  <si>
    <t>III-MYC: c.956C&gt;T p.(Thr319Ile) 12%</t>
  </si>
  <si>
    <t>III-NF1: c.4122C&gt;G p.(His1374Gln) 38%</t>
  </si>
  <si>
    <t>III-NTRK1: c.346C&gt;T p.(Arg116Trp) 18%</t>
  </si>
  <si>
    <t>NTRK2</t>
  </si>
  <si>
    <t>III-NTRK2: c.2084C&gt;T p.(Thr695Ile) 43%</t>
  </si>
  <si>
    <t>III-NTRK2: c.2135G&gt;T p.(Gly712Val) 43%</t>
  </si>
  <si>
    <t>III-NTRK3: c.2045C&gt;T p.(Thr682Ile) 45%</t>
  </si>
  <si>
    <t>III-PDGFRA: c.1780G&gt;A p.(Val594Met) 39%</t>
  </si>
  <si>
    <t>III-POLE: c.5322G&gt;T p.(Gln1774His) 45%</t>
  </si>
  <si>
    <t>III-POLE: c.6479G&gt;T p.(Ser2160Ile) 13%</t>
  </si>
  <si>
    <t>I-Fusion EGFR Exon 1 - EGFR Exon 8</t>
  </si>
  <si>
    <t>I-EGFR Amplification Copy number: 159.6</t>
  </si>
  <si>
    <t>I-PTEN: c.518G&gt;A p.(Arg173His) 73%</t>
  </si>
  <si>
    <t>II-TP53: c.722C&gt;A p.(Ser241Tyr) 69%</t>
  </si>
  <si>
    <t>II-FGFR1: c.2057_2059delinsTAG p.(Lys686_Lys687delinsIleGlu) 26%</t>
  </si>
  <si>
    <t>II-NF1: c.1396_1397delCT p.(Leu466Tyrfs*3) 8%</t>
  </si>
  <si>
    <t>I-BRAF: c.1799T&gt;A p.(Val600Glu) 33%</t>
  </si>
  <si>
    <t>I-ATRX: c.5540_5541delAT p.(Tyr1847Serfs*13) 62%</t>
  </si>
  <si>
    <t>I-IDH1: c.394C&gt;G p.(Arg132Gly) 30%</t>
  </si>
  <si>
    <t>II-TP53: c.817C&gt;T p.(Arg273Cys) 64%</t>
  </si>
  <si>
    <t>II-KRAS: c.183A&gt;C p.(Gln61His) 38%</t>
  </si>
  <si>
    <t>II-NF1: c.4921delA p.(Ile1641Leufs*2) 36%</t>
  </si>
  <si>
    <t>II-NF1: c.5610-1G&gt;A p.(?) 31%</t>
  </si>
  <si>
    <t>I-TERTp: c.-124C&gt;T p.(?) 74%</t>
  </si>
  <si>
    <t>II-CDKN2A Copy Number Loss (Copy number: 0.2)</t>
  </si>
  <si>
    <t>II-NF1: c.7226delC p.(Thr2409Lysfs*9) 89%</t>
  </si>
  <si>
    <t>I-IDH1: c.395G&gt;A p.(Arg132His) 44%</t>
  </si>
  <si>
    <t>I-MLH1: c.551C&gt;G p.(Ser184*) 76%</t>
  </si>
  <si>
    <t>II-TP53: c.817C&gt;T p.(Arg273Cys) 89%</t>
  </si>
  <si>
    <t>III-PMS2: c.1769T&gt;C p.(Ile590Thr) 38%</t>
  </si>
  <si>
    <t>III-TERTp: c.899G&gt;A p.(Gly300Asp) 70%</t>
  </si>
  <si>
    <t>III-POLE: p.(Ser554Asn) </t>
  </si>
  <si>
    <t>I-CDKN2A Copy number loss: 0.3</t>
  </si>
  <si>
    <t>CDKN2B</t>
  </si>
  <si>
    <t>I-CDKN2B Copy number loss: 0.3</t>
  </si>
  <si>
    <t>I-EGFR amplification Copy number gain: 35.3</t>
  </si>
  <si>
    <t>II-CDK6 Copy number gain: 14.2</t>
  </si>
  <si>
    <t>II-PIK3CA: c.1636C&gt;A p.(Gln546Lys) 43%</t>
  </si>
  <si>
    <t>III-EGFR: c.1772G&gt;A p.(Cys591Tyr) 31%</t>
  </si>
  <si>
    <t>I-Fusion: KIAA1549 Exon 16 - BRAF Exon 9</t>
  </si>
  <si>
    <t>II-CDK4 Amplification Copy number: 21.8</t>
  </si>
  <si>
    <t>II-FGFR1: c.2059A&gt;G p.(Lys687Glu) 56%</t>
  </si>
  <si>
    <t>MDM2</t>
  </si>
  <si>
    <t>II-MDM2 Amplification Copy number: 28.3</t>
  </si>
  <si>
    <t>II-CDK4 Amplification Copy number: 15.3</t>
  </si>
  <si>
    <t>II-PIK3CA: c.1624G&gt;A p.(Glu542Lys) 26%</t>
  </si>
  <si>
    <t>II-TP53: c.493_495delCAG p.(Gln165del) 94%</t>
  </si>
  <si>
    <t>I-TERTp: c.-146C&gt;T p.(?) 29%</t>
  </si>
  <si>
    <t>II-CDK4 Amplification Copy number: 9.8</t>
  </si>
  <si>
    <t>II-MDM2 Amplification Copy number: 38.5</t>
  </si>
  <si>
    <t>I-IDH1: c.395G&gt;A p.(Arg132His) 36</t>
  </si>
  <si>
    <t>II-TP53: c.166delG p.(Glu56Lysfs*67) 45%</t>
  </si>
  <si>
    <t>II-TP53: c.650T&gt;G p.(Val217Gly) 44%</t>
  </si>
  <si>
    <t>I-ATRX: c.3323C&gt;G p.(Ser1108*) 82%</t>
  </si>
  <si>
    <t>I-IDH1: c.395G&gt;A p.(Arg132His) 35%</t>
  </si>
  <si>
    <t>II-TP53: c.517G&gt;C p.(Val173Leu) 85%</t>
  </si>
  <si>
    <t>III-ATRX: c.3334A&gt;G p.(Thr1112Ala) 82%</t>
  </si>
  <si>
    <t>I-PTEN: c.386_387insT p.(Arg130Thrfs*50) 38%</t>
  </si>
  <si>
    <t>I-IDH1: c.395G&gt;A p.(Arg132His) 47%</t>
  </si>
  <si>
    <t>I-TERTp: c.-124C&gt;T p.(?) 51</t>
  </si>
  <si>
    <t>II-CDKN2A: c.247C&gt;T p.(His83Tyr) 19%</t>
  </si>
  <si>
    <t>II-TP53: c.796G&gt;A p.(Gly266Arg) 50%</t>
  </si>
  <si>
    <t>III-FGFR1: c.1103G&gt;A p.(Gly368Glu) 7%</t>
  </si>
  <si>
    <t>III-MSH6: c.1315G&gt;A p.(Asp439Asn) 43%</t>
  </si>
  <si>
    <t>III-MSH6: c.3412G&gt;A p.(Gly1138Arg) 42</t>
  </si>
  <si>
    <t>SMARCB1</t>
  </si>
  <si>
    <t>III-SMARCB1: c.1091_1093delAGA p.(Lys364del) 47%</t>
  </si>
  <si>
    <t>I-EGFR Amplification Copy number: 30.2</t>
  </si>
  <si>
    <t>I-TERTp: c.-124C&gt;T p.(?) 30%</t>
  </si>
  <si>
    <t>II-EGFR: c.865G&gt;A p.(Ala289Thr) 88%</t>
  </si>
  <si>
    <t>I-Fusion EGFR Exon 1 -  EGFR Exon 8</t>
  </si>
  <si>
    <t>I-EGFR Amplification Copy number: 68.5</t>
  </si>
  <si>
    <t>I-PTEN: c.209+1G&gt;A p.(?) 70%</t>
  </si>
  <si>
    <t>TERT</t>
  </si>
  <si>
    <t>II-TERT Amplification Copy number: 12.9</t>
  </si>
  <si>
    <t>II-TP53: c.520_530delinsGG p.(Arg174_Pro177delinsGly) 5%</t>
  </si>
  <si>
    <t>I-ATRX: c.4284_4287dupTAAG p.(Val1430*) 46%</t>
  </si>
  <si>
    <t>I-CDKN2B Deletion Copy number: 0.2</t>
  </si>
  <si>
    <t>II-PIK3CA: c.1625A&gt;T p.(Glu542Val) 47%</t>
  </si>
  <si>
    <t>II-TP53: c.524G&gt;A p.(Arg175His) 92%</t>
  </si>
  <si>
    <t>I-PTEN: p.(Cys136_Ala137del)</t>
  </si>
  <si>
    <t>II- CDKN2A: p.(Pro81Leu)</t>
  </si>
  <si>
    <t>II- TP53: c.782+1G&gt;A p.(?)</t>
  </si>
  <si>
    <t>I-CDKN2B Deletion Copy number: 0.4</t>
  </si>
  <si>
    <t>I-TERTp: c.-146C&gt;T p.(?) 34%</t>
  </si>
  <si>
    <t>II-EGFR: c.1793G&gt;T p.(Gly598Val) 31%</t>
  </si>
  <si>
    <t>II-EGFR: c.866C&gt;T p.(Ala289Val) 30%</t>
  </si>
  <si>
    <t>II-MDM4 Amplification Copy number: 37.4</t>
  </si>
  <si>
    <t>I- Fusion FGFR1 Exon 17 -  TACC1 Exon 10</t>
  </si>
  <si>
    <t>II-FGFR1: c.2059A&gt;G p.(Lys687Glu) 31%</t>
  </si>
  <si>
    <t>I-TERTp: c.-124C&gt;T p.(?) 31%</t>
  </si>
  <si>
    <t>II- CDK4 Amplification Copy number: 19.1</t>
  </si>
  <si>
    <t>I-PTEN: c.209+1G&gt;C p.(?)</t>
  </si>
  <si>
    <t>I-TERTp: c.-124C&gt;T </t>
  </si>
  <si>
    <t>II-CDK4 Amplification Copy number: 61.5</t>
  </si>
  <si>
    <t>II-MDM2 Amplification Copy number: 102.6</t>
  </si>
  <si>
    <t>III-MET: p.(Arg988Cys)</t>
  </si>
  <si>
    <t>I-CDKN2A Copy number loss: 0.2</t>
  </si>
  <si>
    <t>I-CDKN2B Copy number loss: 0.2</t>
  </si>
  <si>
    <t>I-EGFR Amplification Copy number: 92.0</t>
  </si>
  <si>
    <t>II-CDK6 Amplification Copy number: 5.0</t>
  </si>
  <si>
    <t>II-MDM4 Amplification Copy number: 25.6</t>
  </si>
  <si>
    <t>II-PTEN: p.(Tyr65Ter)</t>
  </si>
  <si>
    <t>II-FGFR3: p.(Gly380Arg) </t>
  </si>
  <si>
    <t>I-ATRX: c.1023C&gt;G p.(Tyr341*) 91%</t>
  </si>
  <si>
    <t>II-PDGFRA Amplification Copy number: 13.0</t>
  </si>
  <si>
    <t>II-TP53: c.482C&gt;A p.(Ala161Asp) 92%</t>
  </si>
  <si>
    <t>I-PTEN: p.(Gly36Arg)</t>
  </si>
  <si>
    <t>I-TERTp: c.-124C&gt;T p.(?) 58%</t>
  </si>
  <si>
    <t>II-MSH6: c.2975A&gt;G p.(Glu992Gly) 60%</t>
  </si>
  <si>
    <t>III-MET: c.715C&gt;T p.(Pro239Ser) 20%</t>
  </si>
  <si>
    <t>III-PMS2: c.1504G&gt;A p.(Asp502Asn) 16%</t>
  </si>
  <si>
    <t>I-EGFR Amplification Copy number: 257.7</t>
  </si>
  <si>
    <t>II-NF1: p.(Glu1458Lysfs*11)</t>
  </si>
  <si>
    <t>I-CDKN2A Deletion Copy number: 0.1</t>
  </si>
  <si>
    <t>I-CDKN2B Deletion Copy number: 0.1</t>
  </si>
  <si>
    <t>I-MSH6: c.4068_4071dup p.(Lys1358Aspfs*2) 49%</t>
  </si>
  <si>
    <t>I-PTEN: c.209+2T&gt;C p.(?) 49%</t>
  </si>
  <si>
    <t>II-FGFR3: c.1172C&gt;T p.(Ala391Val) 5%</t>
  </si>
  <si>
    <t>II-MLH1: c.676C&gt;T p.(?) 90%</t>
  </si>
  <si>
    <t>II-PDGFRA Amplification Copy number: 22.2</t>
  </si>
  <si>
    <t>II-PIK3CA: c.3140A&gt;G p.(His1047Arg) 53%</t>
  </si>
  <si>
    <t>II-TP53: c.817C&gt;T p.(Arg273Cys) 94%</t>
  </si>
  <si>
    <t>III-MET: c.3409G&gt;A p.(Gly1137Arg) 46%</t>
  </si>
  <si>
    <t>III-PTEN: c.376G&gt;A p.(Ala126Thr) 46%</t>
  </si>
  <si>
    <t>III-ATRX: c.5938T&gt;C p.(Ser1980Pro) 85%</t>
  </si>
  <si>
    <t>III-RB1: c.899T&gt;C p.(Met300Thr) 82%</t>
  </si>
  <si>
    <t>III-TERTp: c.875C&gt;T p.(Thr292Met) 19%</t>
  </si>
  <si>
    <t>I-ATRX: c.6331C&gt;T p.(Arg2111*) 84%</t>
  </si>
  <si>
    <t>II-TP53: c.469G&gt;T p.(Val157Phe) 89%</t>
  </si>
  <si>
    <t>H3F3A</t>
  </si>
  <si>
    <t>I-H3F3A: p.(Lys28Met)</t>
  </si>
  <si>
    <t>I-EGFR Amplification Copy number: 40.8</t>
  </si>
  <si>
    <t>II-CDK4 Amplification Copy number: 76.7</t>
  </si>
  <si>
    <t>II-MDM2 Amplification Copy number: 86.0</t>
  </si>
  <si>
    <t>II-PTEN: p.(Met134Ile)</t>
  </si>
  <si>
    <t>PTPN11</t>
  </si>
  <si>
    <t>II-PTPN11: p.(Gly60Val)</t>
  </si>
  <si>
    <t>I-PTEN: c.955_958delACTT p.(Thr319*) 71%</t>
  </si>
  <si>
    <t>I-TERTp: c.-124C&gt;T p.(?) 57%</t>
  </si>
  <si>
    <t>II-CDK4 Amplification Copy number: 29.0</t>
  </si>
  <si>
    <t>II-TP53: c.742C&gt;T p.(Arg248Trp) 40%</t>
  </si>
  <si>
    <t>II-TP53: c.75-2A&gt;G p.(?) 40%</t>
  </si>
  <si>
    <t>I-EGFR amplification Copy number gain: 22.8</t>
  </si>
  <si>
    <t>II-TP53: c.437G&gt;A p.(Trp146*) 85%</t>
  </si>
  <si>
    <t>I-TERTp: c.-124C&gt;T p.(?) 26%</t>
  </si>
  <si>
    <t>II-Fusion: FGFR3 Exon 17 - TACC3 Exon 11</t>
  </si>
  <si>
    <t>II-NF1: c.1198C&gt;T p.(Gln400*) 19%</t>
  </si>
  <si>
    <t>II-PTEN: c.195C&gt;G p.(Tyr65*) 22%</t>
  </si>
  <si>
    <t>II-PTPN11: c.188A&gt;G p.(Tyr63Cys) 20%</t>
  </si>
  <si>
    <t>II-TP53:  p.(Arg282Trp)</t>
  </si>
  <si>
    <t>III-MSH6: p.(Leu147Arg)</t>
  </si>
  <si>
    <t>II-CDK4 Amplification Copy number: 63.6</t>
  </si>
  <si>
    <t>II-MDM2 Amplification Copy number: 64.6</t>
  </si>
  <si>
    <t>II-PDGFRA Amplification Copy number: 65.8</t>
  </si>
  <si>
    <t>III-MSH6: p.(Phe1103Ile)</t>
  </si>
  <si>
    <t>I-ATRX: c.371-1G&gt;A p.(?)</t>
  </si>
  <si>
    <t>I-PTEN:  c.253+1G&gt;A p.(?)</t>
  </si>
  <si>
    <t>II-MSH6: p.(Thr1219Ile)</t>
  </si>
  <si>
    <t>II-PDGFRA: p.(Pro577Ser)</t>
  </si>
  <si>
    <t>II-TP53: c.375G&gt;A p.(?)</t>
  </si>
  <si>
    <t>III-MDM2: p.(Glu346Lys)</t>
  </si>
  <si>
    <t>III-MSH6: p.(Pro389Ser)</t>
  </si>
  <si>
    <t>III-NTRK1: p.(Gly219Arg) </t>
  </si>
  <si>
    <t>III-NTRK3: p.(Gly504Ser)</t>
  </si>
  <si>
    <t>III-POLE: p.(Gln1243*)</t>
  </si>
  <si>
    <t>I-EGFR Amplification Copy number: 43.8</t>
  </si>
  <si>
    <t>II-MSH2: c.1511-1G&gt;A p.(?) 43%</t>
  </si>
  <si>
    <t>II-TP53: c.818G&gt;A p.(Arg273His) 87%</t>
  </si>
  <si>
    <t>III-MDM2: c.500G&gt;A p.(Arg167Lys) 33%</t>
  </si>
  <si>
    <t>III-NF1: c.757G&gt;A p.(Val253Met) 6%</t>
  </si>
  <si>
    <t>III-RB1: c.1934C&gt;T p.(Thr645Ile) 37%</t>
  </si>
  <si>
    <t>II-PIK3CA: p.(Arg88Gln)</t>
  </si>
  <si>
    <t>II-FGFR1: p.(Asn577Lys)</t>
  </si>
  <si>
    <t>II-MET: p.(Asp1246His)</t>
  </si>
  <si>
    <t>II-PIK3CA: p.(His1047Leu)</t>
  </si>
  <si>
    <t>HIFN1A</t>
  </si>
  <si>
    <t>III-HIFN1A: p.(Arg114His)</t>
  </si>
  <si>
    <t>I-BRAF: p.(Val600Glu)</t>
  </si>
  <si>
    <t>Unclassified</t>
  </si>
  <si>
    <t>II-TP53:  p.(Arg248Gln)</t>
  </si>
  <si>
    <t>I-CDKN2B Deletion Copy number: 0.3</t>
  </si>
  <si>
    <t>II-EGFR:  p.(Leu861Arg)</t>
  </si>
  <si>
    <t>III-NF1: p.(Cys1016Phe)</t>
  </si>
  <si>
    <t>I-IDH2: p.(Arg172Lys)</t>
  </si>
  <si>
    <t>III-EGFR: p.(Gly598Val)</t>
  </si>
  <si>
    <t>I-EGFR Amplification Copy number: 4.9</t>
  </si>
  <si>
    <t>II-FGFR3: p.(Lys687Asp)</t>
  </si>
  <si>
    <t>III-PMS2: p.(Gly528Ser)</t>
  </si>
  <si>
    <t>II-CDK4 Amplification Copy number: 21.4</t>
  </si>
  <si>
    <t>II-PDGFRA Amplification Copy number: 26.3</t>
  </si>
  <si>
    <t>II-TP53: p.(Met237Val)</t>
  </si>
  <si>
    <t>I-CDKN2A Copy number loss: 0.1</t>
  </si>
  <si>
    <t>I-CDKN2B Copy number loss: 0.1</t>
  </si>
  <si>
    <t>I-EGFR Amplification Copy number: 43.6</t>
  </si>
  <si>
    <t>II-EGFR:  p.(Gly719Asp)</t>
  </si>
  <si>
    <t>II-EGFR: p.(Ala289Val)</t>
  </si>
  <si>
    <t>II-PTEN: p.(Ala34Gly)</t>
  </si>
  <si>
    <t>II-PDGFRA Amplification Copy number: 5.6</t>
  </si>
  <si>
    <t>II-TP53: p.(Gln317*)</t>
  </si>
  <si>
    <t>II-TP53: p.(Val157Gly)</t>
  </si>
  <si>
    <t>II-PDGFRA Amplification Copy number: 9.9</t>
  </si>
  <si>
    <t>II-PTEN:  p.(Lys237*)</t>
  </si>
  <si>
    <t>II-FGFR1: p.(Asn577Ser)</t>
  </si>
  <si>
    <t>II-FGFR1: p.(Lys687Glu)</t>
  </si>
  <si>
    <t>I- Fusion FGFR1 Exon 17 -  TACC1 Exon 7</t>
  </si>
  <si>
    <t>III-PIK3CA: p.(Arg4*)</t>
  </si>
  <si>
    <t>III-ATRX: p.(Arg2178Gln)</t>
  </si>
  <si>
    <t>III-KRAS: p.(Glu63del)</t>
  </si>
  <si>
    <t>I-ATRX: p.(Lys1166Glufs*8)</t>
  </si>
  <si>
    <t>I-ATRX: p.(Gln1224*)</t>
  </si>
  <si>
    <t>II-NF1: p.(Gln2263*)</t>
  </si>
  <si>
    <t>II-TP53: c.920-1G&gt;A p.(?)</t>
  </si>
  <si>
    <t>Multi-Gene</t>
  </si>
  <si>
    <t>III-ATRX x1, BRAFx1,  MLH1x1, MSH6x1, NF1x3, NTRK2x1, POLEx1, PIK3CA1x1, PTPN11x1, RB1x1, SMARCB1x3, TP53x1</t>
  </si>
  <si>
    <t>I-Fusion: FGFR3 Exon 17 -  TACC3 Exon 1</t>
  </si>
  <si>
    <t>I-TERTp: c.-124C&gt;T p.(?) 45%</t>
  </si>
  <si>
    <t>II-FGFR3 Amplification Copy number: 9.1</t>
  </si>
  <si>
    <t>III-PTPN11: c.206A&gt;T p.(Glu69Val) 29%</t>
  </si>
  <si>
    <t>I-BRAF: c.1799T&gt;A p.(Val600Glu)</t>
  </si>
  <si>
    <t>I-EGFR Amplification Copy number: 9.6</t>
  </si>
  <si>
    <t>II-CDK6 Amplification Copy number: 6.8</t>
  </si>
  <si>
    <t>II-TP53: p.(Arg110Leu)</t>
  </si>
  <si>
    <t>II-TP53: c.559+4A&gt;T p.(?)</t>
  </si>
  <si>
    <t>II-KRAS: p.(Gly12Ala)</t>
  </si>
  <si>
    <t>I-MLH1: p.(Ala681Thr)</t>
  </si>
  <si>
    <t>II-PIK3CA: p.(His1047Arg)</t>
  </si>
  <si>
    <t>II-TP53: p.(Arg248Gln)</t>
  </si>
  <si>
    <t>II-TP53: p.(Leu257Val)</t>
  </si>
  <si>
    <t>I-Fusion KIAA1549 Exon 9 -BRAF Exon 9</t>
  </si>
  <si>
    <t>I-ATRX: c.4121-2A&gt;C p.(?) 82%</t>
  </si>
  <si>
    <t>II-TP53: c.537_544delTGAGCGCT p.(His179Glnfs*4) 85%</t>
  </si>
  <si>
    <t>I-EGFR Amplification Copy number: 54.6</t>
  </si>
  <si>
    <t>II-CDK4 Amplification Copy number: 27.7</t>
  </si>
  <si>
    <t>II-MDM2 Amplification Copy number: 57.5</t>
  </si>
  <si>
    <t>II-NF1: p.(Gln963Ter)</t>
  </si>
  <si>
    <t>III-NF1: p.(Leu529Arg)</t>
  </si>
  <si>
    <t>I- Fusion EGFR Exon 1 :: EGFR Exon 8</t>
  </si>
  <si>
    <t>I-TERTp: c.-146C&gt;T </t>
  </si>
  <si>
    <t>II-BRAF: p.(Gly464Glu)</t>
  </si>
  <si>
    <t>II-EGFR Amplification Copy number: 12.5</t>
  </si>
  <si>
    <t>II-KRAS: p.(Thr50Ile)</t>
  </si>
  <si>
    <t>II-MDM4 Amplification Copy number: 14.9</t>
  </si>
  <si>
    <t>II-MSH6:c.3172+1G&gt;A p.(?)</t>
  </si>
  <si>
    <t>III-MSH6:  p.(Gly1069Glu)</t>
  </si>
  <si>
    <t>I-IDH1: c.395G&gt;A p.(Arg132His) 43%</t>
  </si>
  <si>
    <t>I-EGFR Amplification Copy number: 6.4</t>
  </si>
  <si>
    <t>II-EGFR: p.(Ala289Val) </t>
  </si>
  <si>
    <t>II-PIK3CA: p.(Glu542Lys)</t>
  </si>
  <si>
    <t>II-TP53:  p.(His179Tyr)</t>
  </si>
  <si>
    <t>III-ATRX: p.(Asn2140Ser)</t>
  </si>
  <si>
    <t>I-ATRX: p.(Leu413Lysfs*20)</t>
  </si>
  <si>
    <t>I-IDH1: p.(Arg132Ser)</t>
  </si>
  <si>
    <t>II-TP53: p.(Arg273Cys)</t>
  </si>
  <si>
    <t>I-PTEN: p.(Thr319*)</t>
  </si>
  <si>
    <t>II-MSH2: p.(Leu270Pro)</t>
  </si>
  <si>
    <t>II-NF1: p.(Arg1968*)</t>
  </si>
  <si>
    <t>II-TP53: p.(Arg248Trp)</t>
  </si>
  <si>
    <t>II-TP53: p.(Arg273His)</t>
  </si>
  <si>
    <t>III-ATRX: p.(Arg2079Gln)</t>
  </si>
  <si>
    <t>I-CDKN2A: Deletion Copy number: 0.5</t>
  </si>
  <si>
    <t>I-CDKN2B: Deletion Copy number: 0.4</t>
  </si>
  <si>
    <t>II-NF1: c.6211_6212insTA p.(Gln2071Leufs*12) 66%</t>
  </si>
  <si>
    <t>II-TP53: c.713G&gt;A p.(Cys238Tyr) 63%</t>
  </si>
  <si>
    <t>III-ATRX: c.5240C&gt;A p.(Thr1747Lys) 38%</t>
  </si>
  <si>
    <t>I-Fusion KIAA1549 Exon15 :: BRAF Exon 9</t>
  </si>
  <si>
    <t>I-EGFR: Amplification Copy number: 42.4</t>
  </si>
  <si>
    <t>II-CDK4: Amplification Copy number: 31.9</t>
  </si>
  <si>
    <t>II-MDM4: Amplification Copy number: 21.5</t>
  </si>
  <si>
    <t>II-MYCN: Amplification Copy number: 18.8</t>
  </si>
  <si>
    <t>II-TERTp: c.-124C&gt;T p.(?) 44%</t>
  </si>
  <si>
    <t>I-CDKN2B: Deletion Copy number: 0.3</t>
  </si>
  <si>
    <t>III-PTEN: c.98T&gt;C p.(Ile33Thr) 81%</t>
  </si>
  <si>
    <t>II-CDK4: Amplification Copy number: 19.0</t>
  </si>
  <si>
    <t>II-PDGFRA: Amplification Copy number: 11.2</t>
  </si>
  <si>
    <t>II-PTEN: c.77C&gt;T p.(Thr26Ile) 68%</t>
  </si>
  <si>
    <t>II-TP53: c.1024delC p.(Arg342Glufs*3) 41%</t>
  </si>
  <si>
    <t>II-TP53:  c.121delG p.(Asp41Metfs*3) 47%</t>
  </si>
  <si>
    <t>III-PIK3CA: Amplification Copy number: 4.8</t>
  </si>
  <si>
    <t>I-BRAF:  c.1799T&gt;A p.(Val600Glu) 6%</t>
  </si>
  <si>
    <t>I-TERTp:  c.-146C&gt;T p.(?) 38%</t>
  </si>
  <si>
    <t>II-CDK4: Amplification Copy number: 12.6</t>
  </si>
  <si>
    <t>II-MDM2: Amplification Copy number: 64.6</t>
  </si>
  <si>
    <t>I-TERTp: c.-124C&gt;T p.(?) 38%</t>
  </si>
  <si>
    <t>II-NF1: c.205-1G&gt;C p.(?) 55%</t>
  </si>
  <si>
    <t>II-CDK4 Amplification Copy number: 74.0</t>
  </si>
  <si>
    <t>II-MDM2 Amplification Copy number: 84.5</t>
  </si>
  <si>
    <t>II-PDGFRA Amplification Copy number: 7.7</t>
  </si>
  <si>
    <t>II-PIK3CA: c.241G&gt;A p.(Glu81Lys) 27%</t>
  </si>
  <si>
    <t>I-ATRX: c.3701delT p.(Val1234Glyfs*44) 51%</t>
  </si>
  <si>
    <t>I-IDH1: c.394C&gt;G p.(Arg132Gly) 19%</t>
  </si>
  <si>
    <t>II-TP53: c.329G&gt;T p.(Arg110Leu) 15%</t>
  </si>
  <si>
    <t>II-TP53: c.416_450dup p.(Pro151Argfs*31) 10%</t>
  </si>
  <si>
    <t>I-CDKN2A Deletion Copy number: 0.4</t>
  </si>
  <si>
    <t>II-PIK3CA: c.317G&gt;T p.(Gly106Val) 48%</t>
  </si>
  <si>
    <t>II-PTEN: c.368A&gt;G p.(His123Arg) 64%</t>
  </si>
  <si>
    <t>II-TP53: c.817C&gt;T p.(Arg273Cys) 40%</t>
  </si>
  <si>
    <t>III_TP53: c.641A&gt;C p.(His214Pro) 37%</t>
  </si>
  <si>
    <t>II-NF1: c.7909C&gt;T p.(Arg2637*) 23%</t>
  </si>
  <si>
    <t>III-NF1: c.4556G&gt;A p.(Gly1519Glu) 32%</t>
  </si>
  <si>
    <t>II-PTPN11: c.1508G&gt;T p.(Gly503Val) 30%</t>
  </si>
  <si>
    <t>I-IDH1: c.395G&gt;A p.(Arg132His) 16%</t>
  </si>
  <si>
    <t>I-TP53: c.743G&gt;A p.(Arg248Gln) 7%</t>
  </si>
  <si>
    <t>I-IDH1: c.395G&gt;A p.(Arg132His) 38%</t>
  </si>
  <si>
    <t>II-TP53: c.830G&gt;T p.(Cys277Phe) 79%</t>
  </si>
  <si>
    <t>I-TERTp:  c.-124C&gt;T p.(?) 25%</t>
  </si>
  <si>
    <t>II-NF1: c.4600C&gt;T p.(Arg1534*) 17%</t>
  </si>
  <si>
    <t>II-NF1: c.574C&gt;T p.(Arg192*) 21%</t>
  </si>
  <si>
    <t>KANK1</t>
  </si>
  <si>
    <t>I-Fusion: KANK1 Exon 2 - NTRK2 Exon 16</t>
  </si>
  <si>
    <t>I-EGFR Amplification Copy number: 27.0</t>
  </si>
  <si>
    <t>I-TERTp: c.-124C&gt;T p.(?) 25%</t>
  </si>
  <si>
    <t>II-PTEN: c.955_958delACTT p.(Thr319*) 46%</t>
  </si>
  <si>
    <t>EML4-NTRK2</t>
  </si>
  <si>
    <t>I-Fusion: EML4 Exon 2 - NTRK2 Exon 16</t>
  </si>
  <si>
    <t>II-PIK3CA: c.3103G&gt;A p.(Ala1035Thr) 28%</t>
  </si>
  <si>
    <t>II-PIK3CA: c.1A&gt;G p.(Met1?) 59%</t>
  </si>
  <si>
    <t>I-ATRX: c.1185_1189del p.(Lys396Cysfs*4) 57%</t>
  </si>
  <si>
    <t>I-IDH2: c.515G&gt;A p.(Arg172Lys) 28%</t>
  </si>
  <si>
    <t>II-TP53: c.742C&gt;T p.(Arg248Trp) 59%</t>
  </si>
  <si>
    <t>I-ATRX: c.6338_6341del p.(Phe2113Serfs*9) 88%</t>
  </si>
  <si>
    <t>I-IDH1: c.394C&gt;T p.(Arg132Cys) 43%</t>
  </si>
  <si>
    <t>II-CDKN2A:  c.233_234delTC p.(Leu78Hisfs*41) 99%</t>
  </si>
  <si>
    <t>II-TP53: c.817C&gt;T p.(Arg273Cys) 85%</t>
  </si>
  <si>
    <t>II-NF1: c.5045_5046delGT p.(Cys1682*) 22%</t>
  </si>
  <si>
    <t>III-NF1: c.7159_7164delAACTTT p.(Asn2387_Phe2388del) 24%</t>
  </si>
  <si>
    <t>I-EGFR Amplification Copy number: 57.5</t>
  </si>
  <si>
    <t>II-PIK3CA: c.1618C&gt;G p.(Leu540Val) 42%</t>
  </si>
  <si>
    <t>ZFTA-RELA</t>
  </si>
  <si>
    <t>I-Fusion: ZFTA Exon 3 - RELA Exon 2</t>
  </si>
  <si>
    <t>II-PTEN: c.389G&gt;A p.(Arg130Gln) 56%</t>
  </si>
  <si>
    <t>II-RB1: c.1649delT p.(Leu550*) 54%</t>
  </si>
  <si>
    <t>II-TP53: c.782+1G&gt;A p.(?) 63%</t>
  </si>
  <si>
    <t>I-Fusion: FGFR3 Exon 17 - TACC3 Exon 10</t>
  </si>
  <si>
    <t>II-PTEN: c.955_958delACTT p.(Thr319*) 71%</t>
  </si>
  <si>
    <t>II-MDM4 Amplification Copy number: 5.0</t>
  </si>
  <si>
    <t>II-PTEN: c.649G&gt;T p.(Val217Phe) 66%</t>
  </si>
  <si>
    <t>II-RB1: c.1901C&gt;G p.(Ser634*) 74%</t>
  </si>
  <si>
    <t>II-TP53: c.454C&gt;T p.(Pro152Ser) 69%</t>
  </si>
  <si>
    <t>II-TP53: c.770_774dup p.(Asp259Trpfs*88) 93%</t>
  </si>
  <si>
    <t>II-MSH6: c.4002-2A&gt;G p.(?) 8%</t>
  </si>
  <si>
    <t>II-PIK3CA: c.263G&gt;A p.(Arg88Gln) 7%</t>
  </si>
  <si>
    <t>II-RB1: c.1072C&gt;T p.(Arg358*) 33%</t>
  </si>
  <si>
    <t>III-NF1: c.4312G&gt;A p.(Gly1438Ser) 21%</t>
  </si>
  <si>
    <t>I-H3F3A, H3F3AP4: c.83A&gt;T p.(Lys28Met) 40%</t>
  </si>
  <si>
    <t>II-PIK3CA: c.1633G&gt;A p.(Glu545Lys) 25%</t>
  </si>
  <si>
    <t>II-TP53: c.733G&gt;A p.(Gly245Ser) 61%</t>
  </si>
  <si>
    <t>II-MSH2: c.1204C&gt;T p.(Gln402*) 90%</t>
  </si>
  <si>
    <t>II-NF1: c.5323C&gt;T p.(Gln1775*) 39%</t>
  </si>
  <si>
    <t>II-PIK3CA: c.263G&gt;A p.(Arg88Gln) 40%</t>
  </si>
  <si>
    <t>II-TP53: c.473G&gt;A p.(Arg158His) 70%</t>
  </si>
  <si>
    <t>III-PTEN: c.737C&gt;T p.(Pro246Leu) 5%</t>
  </si>
  <si>
    <t>II-CDK4 Amplification Copy number: 6.4</t>
  </si>
  <si>
    <t>II-MDM2 Amplification Copy number: 8.3</t>
  </si>
  <si>
    <t>II-PDGFRA Amplification Copy number: 11.4</t>
  </si>
  <si>
    <t>II-PIK3CA: c.1635G&gt;T p.(Glu545Asp) 36%</t>
  </si>
  <si>
    <t>II-PIK3CA: c.3140A&gt;G p.(His1047Arg) 39%</t>
  </si>
  <si>
    <t>II-PTEN Deletion Copy number: 0.5</t>
  </si>
  <si>
    <t>II-TP53: c.1024C&gt;T p.(Arg342*) 87%</t>
  </si>
  <si>
    <t>I-ATRX: c.6337_6340delTTTA p.(Phe2113SerfsTer9) 40%</t>
  </si>
  <si>
    <t>I-IDH1: c.394C&gt;T p.(Arg132Cys) 44%</t>
  </si>
  <si>
    <t>I-TP53: c.839G&gt;C p.(Arg280Thr) 89%</t>
  </si>
  <si>
    <t>I-EGFR Amplification Copy number: 41.3</t>
  </si>
  <si>
    <t>I-TERTp: c.-124C&gt;T p.(?) 48%</t>
  </si>
  <si>
    <t>II-MLH1: c.911A&gt;C p.(Asp304Ala) 52%</t>
  </si>
  <si>
    <t>II-MET: c.3550C&gt;T p.(Arg1184*) 21%</t>
  </si>
  <si>
    <t>I-TERTp: c.-124C&gt;T p.? 53%</t>
  </si>
  <si>
    <t>II-PTPN11: c.215C&gt;A p.(Ala72Asp) 24%</t>
  </si>
  <si>
    <t>II-FGFR1: c.2056_2059delinsGAAG p.(Lys686_Lys687delinsGluGlu) 25%</t>
  </si>
  <si>
    <t>II-PTEN: c.686C&gt;G p.(Ser229*) 53%</t>
  </si>
  <si>
    <t>I-TERTp: c.-146C&gt;T p.(?) 46%</t>
  </si>
  <si>
    <t>II- CDKN2A Deletion Copy number: 0.4 </t>
  </si>
  <si>
    <t>II-CDKN2B Deletion Copy number: 0.3</t>
  </si>
  <si>
    <t>II-EGFR: c.1793G&gt;T p.(Gly598Val) 52%</t>
  </si>
  <si>
    <t>II-EGFR: c.323G&gt;A p.(Arg108Lys) 37%</t>
  </si>
  <si>
    <t>II-PDGFRA Amplification Copy number: 4.5</t>
  </si>
  <si>
    <t>I-ATRX: c.3026del p.(Tyr1009Leufs*24) 35%</t>
  </si>
  <si>
    <t>II-TP53: c.743G&gt;A p.(Arg248Gln) 73%</t>
  </si>
  <si>
    <t>I-EGFR Amplification Copy number: 37.6</t>
  </si>
  <si>
    <t>II-PTEN: c.253+1G&gt;A p.? 51%</t>
  </si>
  <si>
    <t>I-BRAF: c.1799T&gt;A p.(Val600Glu) 5%</t>
  </si>
  <si>
    <t>I-IDH1: c.394C&gt;A p.(Arg132Ser) 45%</t>
  </si>
  <si>
    <t>I-TERTp: c.-124C&gt;T p.? 49%</t>
  </si>
  <si>
    <t>II-EGFR: c.865G&gt;A p.(Ala289Thr) 41%</t>
  </si>
  <si>
    <t>II-PTEN: c.724delG p.(Glu242SerfsTer14) 31%</t>
  </si>
  <si>
    <t>II-PTPN11: c.1504T&gt;G p.(Ser502Ala) 4%</t>
  </si>
  <si>
    <t>II-RB1: c.718A&gt;T p.? 52%</t>
  </si>
  <si>
    <t>II-CDK4 Amplification Copy number: 10.2</t>
  </si>
  <si>
    <t>II-MDM4 Amplification Copy number: 36.0</t>
  </si>
  <si>
    <t>I-ATRX: c.3078_3079delTC p.(Cys1026*) 61%</t>
  </si>
  <si>
    <t>II-PIK3CA: c.3140A&gt;G p.(His1047Arg) 31%</t>
  </si>
  <si>
    <t>II-TP53: c.743G&gt;A p.(Arg248Gln) 74%</t>
  </si>
  <si>
    <t>III-ATRX: c.5227A&gt;G p.(Arg1743Gly) 6%</t>
  </si>
  <si>
    <t>I-ATRX: c.1700C&gt;G p.(Ser567*) 19%</t>
  </si>
  <si>
    <t>II-NF1: c.8160+1G&gt;A p.? 13%</t>
  </si>
  <si>
    <t>II-NF1: c.1466A&gt;G p.(Tyr489Cys) 34%</t>
  </si>
  <si>
    <t>I-IDH1: c.395G&gt;A p.(Arg132His) 62%</t>
  </si>
  <si>
    <t>I-TERTp: c.-124C&gt;T p.? 51%</t>
  </si>
  <si>
    <t>I-ATRX: c.2976_2979delAAAG p.(Lys993Asnfs*9) 25%</t>
  </si>
  <si>
    <t>I-BRAF: c.1799T&gt;A p.(Val600Glu) 25%</t>
  </si>
  <si>
    <t>I-TP53: c.701A&gt;G p.(Tyr234Cys) 35%</t>
  </si>
  <si>
    <t>I-ATRX: c.3894_3895delinsC p.(Glu1298Aspfs*48) 26%</t>
  </si>
  <si>
    <t>II-PDGFRA: c.1977C&gt;A p.(Asn659Lys) 44%</t>
  </si>
  <si>
    <t>II-TP53: c.536A&gt;G p.(His179Arg) 87%</t>
  </si>
  <si>
    <t>III-ATRX: c.3894_3897delinsCGGA p.(Glu1298Asp) 18%</t>
  </si>
  <si>
    <t>I-Fusion FGFR3 Exon 17 - TACC3 Exon 11</t>
  </si>
  <si>
    <t>I-TERTp: c.-124C&gt;T p.? 40%</t>
  </si>
  <si>
    <t>III-EGFR: c.1450_1464delTCCGGTCAGAAAACC p.(Ser484_Thr488del) 17%</t>
  </si>
  <si>
    <t>III-POLE: c.6136G&gt;A p.? 43%</t>
  </si>
  <si>
    <t>I-BRAF: c.1799T&gt;A p.(Val600Glu) 38%</t>
  </si>
  <si>
    <t>I-TERTp: c.-124C&gt;T p.? 37%</t>
  </si>
  <si>
    <t>I-EGFR Amplification Copy number: 5.8</t>
  </si>
  <si>
    <t>I-TERTp: c.-124C&gt;T p.? 44%</t>
  </si>
  <si>
    <t>II-MDM2 Amplification Copy number: 57.0</t>
  </si>
  <si>
    <t>I-ATRX: c.2568delC p.(Ser856Argfs*13) 45%</t>
  </si>
  <si>
    <t>II-CDKN2A: c.233_234delTC p.(Leu78Hisfs*41) 100%</t>
  </si>
  <si>
    <t>II-NF1: c.1338_1341delACTT p.(Leu447Ilefs*25) 44%</t>
  </si>
  <si>
    <t>II-NF1: c.6852_6855delTTAC p.(Tyr2285Thrfs*5) 40%</t>
  </si>
  <si>
    <t>II-TP53: c.814G&gt;T p.(Val272Leu) 85%</t>
  </si>
  <si>
    <t>No Variants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</si>
</sst>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scheme val="minor"/>
    </font>
    <font>
      <sz val="11"/>
      <color theme="1"/>
      <name val="Aptos Narrow"/>
      <scheme val="minor"/>
    </font>
    <font>
      <sz val="11"/>
      <color theme="1"/>
      <name val="Aptos Narrow"/>
    </font>
    <font>
      <i/>
      <sz val="11"/>
      <color theme="1"/>
      <name val="Aptos Narrow"/>
    </font>
    <font>
      <sz val="11"/>
      <color theme="0"/>
      <name val="Aptos Narrow"/>
    </font>
    <font>
      <sz val="11"/>
      <color rgb="FFFF0000"/>
      <name val="Aptos Narrow"/>
    </font>
    <font>
      <i/>
      <sz val="11"/>
      <color rgb="FFFF0000"/>
      <name val="Aptos Narrow"/>
    </font>
    <font>
      <sz val="11"/>
      <color rgb="FF000000"/>
      <name val="Aptos Narrow"/>
    </font>
    <font>
      <i/>
      <sz val="11"/>
      <color rgb="FF7F7F7F"/>
      <name val="Aptos Narrow"/>
    </font>
    <font>
      <i/>
      <sz val="11"/>
      <color rgb="FF000000"/>
      <name val="Aptos Narrow"/>
    </font>
    <font>
      <sz val="11"/>
      <color theme="1"/>
      <name val="Arial"/>
      <family val="2"/>
    </font>
    <font>
      <sz val="11"/>
      <color theme="1"/>
      <name val="Arial"/>
      <family val="2"/>
    </font>
    <font>
      <b/>
      <sz val="11"/>
      <color theme="1"/>
      <name val="Arial"/>
      <family val="2"/>
    </font>
    <font>
      <b/>
      <sz val="11"/>
      <color theme="1"/>
      <name val="Aptos Narrow"/>
    </font>
  </fonts>
  <fills count="8">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
      <patternFill patternType="solid">
        <fgColor rgb="FFCC0000"/>
        <bgColor rgb="FFCC0000"/>
      </patternFill>
    </fill>
  </fills>
  <borders count="5">
    <border>
      <left/>
      <right/>
      <top/>
      <bottom/>
      <diagonal/>
    </border>
    <border>
      <left/>
      <right/>
      <top/>
      <bottom/>
      <diagonal/>
    </border>
    <border>
      <left/>
      <right/>
      <top/>
      <bottom style="thin">
        <color rgb="FF000000"/>
      </bottom>
      <diagonal/>
    </border>
    <border>
      <left/>
      <right style="thin">
        <color rgb="FF000000"/>
      </right>
      <top/>
      <bottom/>
      <diagonal/>
    </border>
    <border>
      <left/>
      <right/>
      <top/>
      <bottom style="thin">
        <color rgb="FF000000"/>
      </bottom>
      <diagonal/>
    </border>
  </borders>
  <cellStyleXfs count="1">
    <xf numFmtId="0" fontId="0" fillId="0" borderId="0"/>
  </cellStyleXfs>
  <cellXfs count="44">
    <xf numFmtId="0" fontId="0" fillId="0" borderId="0" xfId="0"/>
    <xf numFmtId="0" fontId="1" fillId="0" borderId="0" xfId="0" applyFont="1"/>
    <xf numFmtId="0" fontId="2" fillId="0" borderId="0" xfId="0" applyFont="1" applyAlignment="1">
      <alignment wrapText="1"/>
    </xf>
    <xf numFmtId="0" fontId="2" fillId="0" borderId="0" xfId="0" applyFont="1"/>
    <xf numFmtId="0" fontId="2" fillId="2" borderId="1" xfId="0" applyFont="1" applyFill="1" applyBorder="1" applyAlignment="1">
      <alignment vertical="center"/>
    </xf>
    <xf numFmtId="0" fontId="2" fillId="0" borderId="0" xfId="0" applyFont="1" applyAlignment="1">
      <alignment vertical="center"/>
    </xf>
    <xf numFmtId="1" fontId="2" fillId="0" borderId="0" xfId="0" applyNumberFormat="1" applyFont="1"/>
    <xf numFmtId="15" fontId="2" fillId="0" borderId="0" xfId="0" applyNumberFormat="1" applyFont="1"/>
    <xf numFmtId="0" fontId="2" fillId="2" borderId="1" xfId="0" applyFont="1" applyFill="1" applyBorder="1"/>
    <xf numFmtId="0" fontId="3" fillId="0" borderId="0" xfId="0" applyFont="1"/>
    <xf numFmtId="0" fontId="2" fillId="0" borderId="0" xfId="0" applyFont="1" applyAlignment="1">
      <alignment horizontal="right"/>
    </xf>
    <xf numFmtId="0" fontId="2" fillId="0" borderId="2" xfId="0" applyFont="1" applyBorder="1"/>
    <xf numFmtId="0" fontId="4" fillId="3" borderId="1" xfId="0" applyFont="1" applyFill="1" applyBorder="1"/>
    <xf numFmtId="0" fontId="3" fillId="2" borderId="1" xfId="0" applyFont="1" applyFill="1" applyBorder="1"/>
    <xf numFmtId="0" fontId="5" fillId="0" borderId="0" xfId="0" applyFont="1"/>
    <xf numFmtId="0" fontId="6" fillId="0" borderId="0" xfId="0" applyFont="1"/>
    <xf numFmtId="49" fontId="2" fillId="0" borderId="0" xfId="0" applyNumberFormat="1" applyFont="1" applyAlignment="1">
      <alignment horizontal="right"/>
    </xf>
    <xf numFmtId="0" fontId="2" fillId="0" borderId="3" xfId="0" applyFont="1" applyBorder="1"/>
    <xf numFmtId="0" fontId="7" fillId="0" borderId="0" xfId="0" applyFont="1"/>
    <xf numFmtId="0" fontId="8" fillId="0" borderId="0" xfId="0" applyFont="1"/>
    <xf numFmtId="15" fontId="2" fillId="0" borderId="2" xfId="0" applyNumberFormat="1" applyFont="1" applyBorder="1"/>
    <xf numFmtId="0" fontId="9" fillId="2" borderId="1" xfId="0" applyFont="1" applyFill="1" applyBorder="1"/>
    <xf numFmtId="0" fontId="9" fillId="0" borderId="0" xfId="0" applyFont="1"/>
    <xf numFmtId="15" fontId="7" fillId="0" borderId="0" xfId="0" applyNumberFormat="1" applyFont="1"/>
    <xf numFmtId="15" fontId="8" fillId="0" borderId="0" xfId="0" applyNumberFormat="1" applyFont="1"/>
    <xf numFmtId="0" fontId="7" fillId="0" borderId="0" xfId="0" applyFont="1" applyAlignment="1">
      <alignment vertical="top" wrapText="1"/>
    </xf>
    <xf numFmtId="0" fontId="2" fillId="0" borderId="0" xfId="0" applyFont="1" applyAlignment="1">
      <alignment horizontal="left" vertical="top"/>
    </xf>
    <xf numFmtId="15" fontId="3" fillId="0" borderId="0" xfId="0" applyNumberFormat="1" applyFont="1"/>
    <xf numFmtId="0" fontId="2" fillId="2" borderId="4" xfId="0" applyFont="1" applyFill="1" applyBorder="1"/>
    <xf numFmtId="0" fontId="10" fillId="2" borderId="2" xfId="0" applyFont="1" applyFill="1" applyBorder="1"/>
    <xf numFmtId="0" fontId="10" fillId="4" borderId="2" xfId="0" applyFont="1" applyFill="1" applyBorder="1"/>
    <xf numFmtId="0" fontId="10" fillId="5" borderId="2" xfId="0" applyFont="1" applyFill="1" applyBorder="1"/>
    <xf numFmtId="14" fontId="2" fillId="0" borderId="0" xfId="0" applyNumberFormat="1" applyFont="1"/>
    <xf numFmtId="0" fontId="10" fillId="0" borderId="0" xfId="0" applyFont="1"/>
    <xf numFmtId="0" fontId="11" fillId="0" borderId="0" xfId="0" applyFont="1"/>
    <xf numFmtId="0" fontId="10" fillId="6" borderId="0" xfId="0" applyFont="1" applyFill="1"/>
    <xf numFmtId="0" fontId="2" fillId="6" borderId="0" xfId="0" applyFont="1" applyFill="1"/>
    <xf numFmtId="0" fontId="10" fillId="0" borderId="0" xfId="0" applyFont="1" applyAlignment="1">
      <alignment horizontal="right"/>
    </xf>
    <xf numFmtId="0" fontId="12" fillId="0" borderId="0" xfId="0" applyFont="1"/>
    <xf numFmtId="0" fontId="2" fillId="7" borderId="1" xfId="0" applyFont="1" applyFill="1" applyBorder="1"/>
    <xf numFmtId="0" fontId="1" fillId="7" borderId="0" xfId="0" applyFont="1" applyFill="1"/>
    <xf numFmtId="0" fontId="12" fillId="7" borderId="0" xfId="0" applyFont="1" applyFill="1"/>
    <xf numFmtId="0" fontId="13"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000"/>
  <sheetViews>
    <sheetView workbookViewId="0">
      <selection activeCell="P75" sqref="P75"/>
    </sheetView>
  </sheetViews>
  <sheetFormatPr baseColWidth="10" defaultColWidth="12.6640625" defaultRowHeight="15" customHeight="1" x14ac:dyDescent="0.2"/>
  <cols>
    <col min="1" max="1" width="13.83203125" customWidth="1"/>
    <col min="2" max="2" width="11.1640625" customWidth="1"/>
    <col min="3" max="8" width="9.1640625" hidden="1" customWidth="1"/>
    <col min="9" max="9" width="9.1640625" customWidth="1"/>
    <col min="10" max="12" width="9.1640625" hidden="1" customWidth="1"/>
    <col min="13" max="13" width="10.5" customWidth="1"/>
    <col min="14" max="14" width="10.33203125" customWidth="1"/>
    <col min="15" max="19" width="9.1640625" customWidth="1"/>
    <col min="20" max="25" width="9.1640625" hidden="1" customWidth="1"/>
    <col min="26" max="83" width="9.1640625" customWidth="1"/>
  </cols>
  <sheetData>
    <row r="1" spans="1:41" ht="32" x14ac:dyDescent="0.2">
      <c r="A1" s="1" t="s">
        <v>0</v>
      </c>
      <c r="B1" s="1" t="s">
        <v>1</v>
      </c>
      <c r="C1" s="2" t="s">
        <v>2</v>
      </c>
      <c r="D1" s="2" t="s">
        <v>2</v>
      </c>
      <c r="E1" s="1" t="s">
        <v>3</v>
      </c>
      <c r="F1" s="1" t="s">
        <v>4</v>
      </c>
      <c r="G1" s="1" t="s">
        <v>5</v>
      </c>
      <c r="H1" s="1" t="s">
        <v>6</v>
      </c>
      <c r="I1" s="1" t="s">
        <v>7</v>
      </c>
      <c r="J1" s="1" t="s">
        <v>8</v>
      </c>
      <c r="K1" s="1" t="s">
        <v>9</v>
      </c>
      <c r="L1" s="1" t="s">
        <v>10</v>
      </c>
      <c r="M1" s="1" t="s">
        <v>11</v>
      </c>
      <c r="N1" s="1" t="s">
        <v>12</v>
      </c>
      <c r="O1" s="1" t="s">
        <v>13</v>
      </c>
      <c r="P1" s="1" t="s">
        <v>14</v>
      </c>
      <c r="Q1" s="1" t="s">
        <v>15</v>
      </c>
      <c r="R1" s="1" t="s">
        <v>16</v>
      </c>
      <c r="S1" s="3"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row>
    <row r="2" spans="1:41" x14ac:dyDescent="0.2">
      <c r="A2" s="4" t="s">
        <v>40</v>
      </c>
      <c r="B2" s="5" t="s">
        <v>41</v>
      </c>
      <c r="C2" s="5"/>
      <c r="D2" s="5" t="s">
        <v>42</v>
      </c>
      <c r="E2" s="3">
        <v>4831977</v>
      </c>
      <c r="F2" s="3"/>
      <c r="G2" s="3"/>
      <c r="H2" s="3"/>
      <c r="I2" s="6">
        <f t="shared" ref="I2:I256" si="0">DATEDIF(N2,M2,"Y")</f>
        <v>36</v>
      </c>
      <c r="J2" s="6">
        <f t="shared" ref="J2:J256" si="1">IF(I2&lt;=39,1,0)</f>
        <v>1</v>
      </c>
      <c r="K2" s="6">
        <v>0</v>
      </c>
      <c r="L2" s="6">
        <v>1</v>
      </c>
      <c r="M2" s="7">
        <v>44455</v>
      </c>
      <c r="N2" s="7">
        <v>31256</v>
      </c>
      <c r="O2" s="3" t="s">
        <v>43</v>
      </c>
      <c r="P2" s="3" t="s">
        <v>44</v>
      </c>
      <c r="Q2" s="3" t="s">
        <v>45</v>
      </c>
      <c r="S2" s="3" t="s">
        <v>46</v>
      </c>
      <c r="Z2" s="1" t="s">
        <v>47</v>
      </c>
      <c r="AA2" s="1" t="s">
        <v>47</v>
      </c>
      <c r="AB2" s="1" t="s">
        <v>47</v>
      </c>
      <c r="AC2" s="1" t="s">
        <v>47</v>
      </c>
      <c r="AD2" s="1" t="s">
        <v>47</v>
      </c>
    </row>
    <row r="3" spans="1:41" x14ac:dyDescent="0.2">
      <c r="A3" s="8" t="s">
        <v>48</v>
      </c>
      <c r="B3" s="3" t="s">
        <v>49</v>
      </c>
      <c r="C3" s="3"/>
      <c r="D3" s="3" t="s">
        <v>42</v>
      </c>
      <c r="E3" s="1">
        <v>4784434</v>
      </c>
      <c r="H3" s="3">
        <v>50</v>
      </c>
      <c r="I3" s="3">
        <f t="shared" si="0"/>
        <v>51</v>
      </c>
      <c r="J3" s="3">
        <f t="shared" si="1"/>
        <v>0</v>
      </c>
      <c r="K3" s="6">
        <v>0</v>
      </c>
      <c r="L3" s="3">
        <v>1</v>
      </c>
      <c r="M3" s="7">
        <v>44566</v>
      </c>
      <c r="N3" s="7">
        <v>25824</v>
      </c>
      <c r="O3" s="3" t="s">
        <v>50</v>
      </c>
      <c r="P3" s="3" t="s">
        <v>44</v>
      </c>
      <c r="Q3" s="3" t="s">
        <v>51</v>
      </c>
      <c r="S3" s="3" t="s">
        <v>46</v>
      </c>
      <c r="Z3" s="1" t="s">
        <v>47</v>
      </c>
      <c r="AA3" s="1" t="s">
        <v>47</v>
      </c>
      <c r="AB3" s="1" t="s">
        <v>47</v>
      </c>
      <c r="AC3" s="1" t="s">
        <v>47</v>
      </c>
      <c r="AD3" s="1" t="s">
        <v>47</v>
      </c>
    </row>
    <row r="4" spans="1:41" x14ac:dyDescent="0.2">
      <c r="A4" s="8" t="s">
        <v>52</v>
      </c>
      <c r="B4" s="3" t="s">
        <v>53</v>
      </c>
      <c r="C4" s="3"/>
      <c r="D4" s="3" t="s">
        <v>54</v>
      </c>
      <c r="E4" s="1">
        <v>2478754</v>
      </c>
      <c r="H4" s="1">
        <v>42</v>
      </c>
      <c r="I4" s="3">
        <f t="shared" si="0"/>
        <v>48</v>
      </c>
      <c r="J4" s="3">
        <f t="shared" si="1"/>
        <v>0</v>
      </c>
      <c r="K4" s="6">
        <v>0</v>
      </c>
      <c r="L4" s="1">
        <v>1</v>
      </c>
      <c r="M4" s="7">
        <v>44568</v>
      </c>
      <c r="N4" s="7">
        <v>26721</v>
      </c>
      <c r="O4" s="3" t="s">
        <v>50</v>
      </c>
      <c r="P4" s="1" t="s">
        <v>44</v>
      </c>
      <c r="Q4" s="1" t="s">
        <v>51</v>
      </c>
      <c r="R4" s="1" t="s">
        <v>55</v>
      </c>
      <c r="S4" s="3" t="s">
        <v>56</v>
      </c>
      <c r="U4" s="1" t="s">
        <v>57</v>
      </c>
      <c r="V4" s="1" t="s">
        <v>58</v>
      </c>
      <c r="W4" s="1" t="s">
        <v>58</v>
      </c>
      <c r="X4" s="1" t="s">
        <v>58</v>
      </c>
      <c r="Y4" s="1" t="s">
        <v>59</v>
      </c>
      <c r="Z4" s="1" t="s">
        <v>47</v>
      </c>
      <c r="AA4" s="1" t="s">
        <v>47</v>
      </c>
      <c r="AB4" s="1" t="s">
        <v>47</v>
      </c>
      <c r="AC4" s="1" t="s">
        <v>47</v>
      </c>
      <c r="AD4" s="1" t="s">
        <v>60</v>
      </c>
    </row>
    <row r="5" spans="1:41" x14ac:dyDescent="0.2">
      <c r="A5" s="8" t="s">
        <v>61</v>
      </c>
      <c r="B5" s="3" t="s">
        <v>62</v>
      </c>
      <c r="C5" s="3"/>
      <c r="D5" s="3" t="s">
        <v>54</v>
      </c>
      <c r="E5" s="1">
        <v>4259368</v>
      </c>
      <c r="H5" s="1">
        <v>43</v>
      </c>
      <c r="I5" s="3">
        <f t="shared" si="0"/>
        <v>50</v>
      </c>
      <c r="J5" s="3">
        <f t="shared" si="1"/>
        <v>0</v>
      </c>
      <c r="K5" s="6">
        <v>0</v>
      </c>
      <c r="L5" s="1">
        <v>1</v>
      </c>
      <c r="M5" s="7">
        <v>44573</v>
      </c>
      <c r="N5" s="7">
        <v>26186</v>
      </c>
      <c r="O5" s="3" t="s">
        <v>43</v>
      </c>
      <c r="P5" s="1" t="s">
        <v>44</v>
      </c>
      <c r="Q5" s="1" t="s">
        <v>51</v>
      </c>
      <c r="S5" s="3" t="s">
        <v>63</v>
      </c>
      <c r="U5" s="1" t="s">
        <v>58</v>
      </c>
      <c r="V5" s="1" t="s">
        <v>58</v>
      </c>
      <c r="W5" s="1" t="s">
        <v>58</v>
      </c>
      <c r="X5" s="1" t="s">
        <v>58</v>
      </c>
      <c r="Y5" s="1" t="s">
        <v>58</v>
      </c>
      <c r="Z5" s="1" t="s">
        <v>47</v>
      </c>
      <c r="AA5" s="1" t="s">
        <v>47</v>
      </c>
      <c r="AB5" s="1" t="s">
        <v>47</v>
      </c>
      <c r="AC5" s="1" t="s">
        <v>47</v>
      </c>
      <c r="AD5" s="1" t="s">
        <v>60</v>
      </c>
    </row>
    <row r="6" spans="1:41" x14ac:dyDescent="0.2">
      <c r="A6" s="8" t="s">
        <v>64</v>
      </c>
      <c r="B6" s="3" t="s">
        <v>65</v>
      </c>
      <c r="C6" s="3"/>
      <c r="D6" s="3" t="s">
        <v>66</v>
      </c>
      <c r="E6" s="1">
        <v>4940706</v>
      </c>
      <c r="I6" s="3">
        <f t="shared" si="0"/>
        <v>33</v>
      </c>
      <c r="J6" s="3">
        <f t="shared" si="1"/>
        <v>1</v>
      </c>
      <c r="K6" s="6">
        <v>0</v>
      </c>
      <c r="L6" s="1">
        <v>1</v>
      </c>
      <c r="M6" s="7">
        <v>44578</v>
      </c>
      <c r="N6" s="7">
        <v>32463</v>
      </c>
      <c r="O6" s="3" t="s">
        <v>50</v>
      </c>
      <c r="P6" s="3" t="s">
        <v>67</v>
      </c>
      <c r="Q6" s="1" t="s">
        <v>45</v>
      </c>
      <c r="S6" s="3" t="s">
        <v>68</v>
      </c>
      <c r="U6" s="1" t="s">
        <v>58</v>
      </c>
      <c r="V6" s="1" t="s">
        <v>58</v>
      </c>
      <c r="W6" s="1" t="s">
        <v>69</v>
      </c>
      <c r="X6" s="1" t="s">
        <v>69</v>
      </c>
      <c r="Z6" s="1" t="s">
        <v>47</v>
      </c>
      <c r="AA6" s="1" t="s">
        <v>47</v>
      </c>
      <c r="AB6" s="1" t="s">
        <v>47</v>
      </c>
      <c r="AC6" s="1" t="s">
        <v>47</v>
      </c>
      <c r="AD6" s="1" t="s">
        <v>70</v>
      </c>
      <c r="AE6" s="1" t="s">
        <v>71</v>
      </c>
      <c r="AF6" s="1" t="s">
        <v>72</v>
      </c>
      <c r="AG6" s="1" t="s">
        <v>73</v>
      </c>
    </row>
    <row r="7" spans="1:41" x14ac:dyDescent="0.2">
      <c r="A7" s="8" t="s">
        <v>74</v>
      </c>
      <c r="B7" s="3" t="s">
        <v>75</v>
      </c>
      <c r="C7" s="3"/>
      <c r="D7" s="9" t="s">
        <v>76</v>
      </c>
      <c r="E7" s="1">
        <v>4942002</v>
      </c>
      <c r="I7" s="3">
        <f t="shared" si="0"/>
        <v>52</v>
      </c>
      <c r="J7" s="3">
        <f t="shared" si="1"/>
        <v>0</v>
      </c>
      <c r="K7" s="6">
        <v>0</v>
      </c>
      <c r="L7" s="1">
        <v>1</v>
      </c>
      <c r="M7" s="7">
        <v>44580</v>
      </c>
      <c r="N7" s="7">
        <v>25552</v>
      </c>
      <c r="O7" s="3" t="s">
        <v>50</v>
      </c>
      <c r="P7" s="1" t="s">
        <v>77</v>
      </c>
      <c r="Q7" s="1" t="s">
        <v>45</v>
      </c>
      <c r="S7" s="3" t="s">
        <v>68</v>
      </c>
      <c r="U7" s="1" t="s">
        <v>69</v>
      </c>
      <c r="V7" s="1" t="s">
        <v>58</v>
      </c>
      <c r="W7" s="1" t="s">
        <v>58</v>
      </c>
      <c r="X7" s="1" t="s">
        <v>58</v>
      </c>
      <c r="Z7" s="1" t="s">
        <v>78</v>
      </c>
      <c r="AA7" s="1" t="s">
        <v>79</v>
      </c>
      <c r="AB7" s="1" t="s">
        <v>47</v>
      </c>
      <c r="AC7" s="1" t="s">
        <v>47</v>
      </c>
      <c r="AD7" s="1" t="s">
        <v>80</v>
      </c>
      <c r="AE7" s="1" t="s">
        <v>81</v>
      </c>
      <c r="AF7" s="1" t="s">
        <v>82</v>
      </c>
      <c r="AG7" s="1" t="s">
        <v>83</v>
      </c>
    </row>
    <row r="8" spans="1:41" x14ac:dyDescent="0.2">
      <c r="A8" s="8" t="s">
        <v>84</v>
      </c>
      <c r="B8" s="3" t="s">
        <v>85</v>
      </c>
      <c r="C8" s="3"/>
      <c r="D8" s="3" t="s">
        <v>86</v>
      </c>
      <c r="E8" s="1">
        <v>4913085</v>
      </c>
      <c r="I8" s="3">
        <f t="shared" si="0"/>
        <v>20</v>
      </c>
      <c r="J8" s="3">
        <f t="shared" si="1"/>
        <v>1</v>
      </c>
      <c r="K8" s="6">
        <v>0</v>
      </c>
      <c r="L8" s="1">
        <v>1</v>
      </c>
      <c r="M8" s="7">
        <v>44581</v>
      </c>
      <c r="N8" s="7">
        <v>37138</v>
      </c>
      <c r="O8" s="3" t="s">
        <v>50</v>
      </c>
      <c r="P8" s="3" t="s">
        <v>67</v>
      </c>
      <c r="Q8" s="1" t="s">
        <v>45</v>
      </c>
      <c r="S8" s="3" t="s">
        <v>68</v>
      </c>
      <c r="Z8" s="1" t="s">
        <v>47</v>
      </c>
      <c r="AA8" s="1" t="s">
        <v>87</v>
      </c>
      <c r="AB8" s="1" t="s">
        <v>47</v>
      </c>
      <c r="AC8" s="1" t="s">
        <v>47</v>
      </c>
      <c r="AD8" s="1" t="s">
        <v>47</v>
      </c>
    </row>
    <row r="9" spans="1:41" x14ac:dyDescent="0.2">
      <c r="A9" s="8" t="s">
        <v>88</v>
      </c>
      <c r="B9" s="3" t="s">
        <v>89</v>
      </c>
      <c r="C9" s="3"/>
      <c r="D9" s="9" t="s">
        <v>76</v>
      </c>
      <c r="E9" s="3">
        <v>6266780</v>
      </c>
      <c r="F9" s="3"/>
      <c r="G9" s="3"/>
      <c r="H9" s="3"/>
      <c r="I9" s="3">
        <f t="shared" si="0"/>
        <v>54</v>
      </c>
      <c r="J9" s="3">
        <f t="shared" si="1"/>
        <v>0</v>
      </c>
      <c r="K9" s="6">
        <v>0</v>
      </c>
      <c r="L9" s="3">
        <v>1</v>
      </c>
      <c r="M9" s="7">
        <v>44600</v>
      </c>
      <c r="N9" s="7">
        <v>24861</v>
      </c>
      <c r="O9" s="3" t="s">
        <v>90</v>
      </c>
      <c r="P9" s="1" t="s">
        <v>91</v>
      </c>
      <c r="Q9" s="3" t="s">
        <v>45</v>
      </c>
      <c r="S9" s="3" t="s">
        <v>92</v>
      </c>
      <c r="T9" s="1" t="s">
        <v>69</v>
      </c>
      <c r="U9" s="1" t="s">
        <v>58</v>
      </c>
      <c r="V9" s="1" t="s">
        <v>58</v>
      </c>
      <c r="W9" s="1" t="s">
        <v>58</v>
      </c>
      <c r="X9" s="1" t="s">
        <v>69</v>
      </c>
      <c r="Y9" s="1" t="s">
        <v>58</v>
      </c>
      <c r="Z9" s="1" t="s">
        <v>47</v>
      </c>
      <c r="AA9" s="1" t="s">
        <v>47</v>
      </c>
      <c r="AB9" s="1" t="s">
        <v>47</v>
      </c>
      <c r="AC9" s="1" t="s">
        <v>47</v>
      </c>
      <c r="AD9" s="1" t="s">
        <v>93</v>
      </c>
      <c r="AE9" s="1" t="s">
        <v>94</v>
      </c>
      <c r="AF9" s="1" t="s">
        <v>95</v>
      </c>
      <c r="AG9" s="1" t="s">
        <v>96</v>
      </c>
    </row>
    <row r="10" spans="1:41" x14ac:dyDescent="0.2">
      <c r="A10" s="8" t="s">
        <v>97</v>
      </c>
      <c r="B10" s="3" t="s">
        <v>98</v>
      </c>
      <c r="C10" s="3"/>
      <c r="D10" s="9" t="s">
        <v>76</v>
      </c>
      <c r="E10" s="3">
        <v>4512311</v>
      </c>
      <c r="F10" s="3"/>
      <c r="G10" s="3"/>
      <c r="H10" s="3"/>
      <c r="I10" s="3">
        <f t="shared" si="0"/>
        <v>62</v>
      </c>
      <c r="J10" s="3">
        <f t="shared" si="1"/>
        <v>0</v>
      </c>
      <c r="K10" s="6">
        <v>0</v>
      </c>
      <c r="L10" s="3">
        <v>0</v>
      </c>
      <c r="M10" s="7">
        <v>44601</v>
      </c>
      <c r="N10" s="7">
        <v>21747</v>
      </c>
      <c r="O10" s="3" t="s">
        <v>99</v>
      </c>
      <c r="P10" s="3" t="s">
        <v>100</v>
      </c>
      <c r="Q10" s="3" t="s">
        <v>45</v>
      </c>
      <c r="S10" s="3" t="s">
        <v>47</v>
      </c>
      <c r="U10" s="1" t="s">
        <v>58</v>
      </c>
      <c r="V10" s="1" t="s">
        <v>58</v>
      </c>
      <c r="W10" s="1" t="s">
        <v>58</v>
      </c>
      <c r="X10" s="1" t="s">
        <v>58</v>
      </c>
      <c r="Z10" s="1" t="s">
        <v>47</v>
      </c>
      <c r="AA10" s="1" t="s">
        <v>47</v>
      </c>
      <c r="AB10" s="1" t="s">
        <v>47</v>
      </c>
      <c r="AC10" s="1" t="s">
        <v>47</v>
      </c>
      <c r="AD10" s="1" t="s">
        <v>101</v>
      </c>
      <c r="AE10" s="1" t="s">
        <v>102</v>
      </c>
      <c r="AF10" s="1" t="s">
        <v>103</v>
      </c>
    </row>
    <row r="11" spans="1:41" x14ac:dyDescent="0.2">
      <c r="A11" s="8" t="s">
        <v>104</v>
      </c>
      <c r="B11" s="3" t="s">
        <v>105</v>
      </c>
      <c r="C11" s="3"/>
      <c r="D11" s="9" t="s">
        <v>76</v>
      </c>
      <c r="E11" s="1">
        <v>4947182</v>
      </c>
      <c r="I11" s="3">
        <f t="shared" si="0"/>
        <v>67</v>
      </c>
      <c r="J11" s="3">
        <f t="shared" si="1"/>
        <v>0</v>
      </c>
      <c r="K11" s="6">
        <v>0</v>
      </c>
      <c r="L11" s="1">
        <v>1</v>
      </c>
      <c r="M11" s="7">
        <v>44602</v>
      </c>
      <c r="N11" s="7">
        <v>19779</v>
      </c>
      <c r="O11" s="3" t="s">
        <v>106</v>
      </c>
      <c r="P11" s="1" t="s">
        <v>44</v>
      </c>
      <c r="Q11" s="3" t="s">
        <v>45</v>
      </c>
      <c r="S11" s="3" t="s">
        <v>46</v>
      </c>
      <c r="U11" s="1" t="s">
        <v>58</v>
      </c>
      <c r="V11" s="1" t="s">
        <v>107</v>
      </c>
      <c r="W11" s="1" t="s">
        <v>58</v>
      </c>
      <c r="X11" s="1" t="s">
        <v>58</v>
      </c>
      <c r="Z11" s="1" t="s">
        <v>47</v>
      </c>
      <c r="AA11" s="1" t="s">
        <v>47</v>
      </c>
      <c r="AB11" s="1" t="s">
        <v>47</v>
      </c>
      <c r="AC11" s="1" t="s">
        <v>47</v>
      </c>
      <c r="AD11" s="1" t="s">
        <v>108</v>
      </c>
      <c r="AE11" s="1" t="s">
        <v>109</v>
      </c>
      <c r="AF11" s="1" t="s">
        <v>110</v>
      </c>
      <c r="AG11" s="1" t="s">
        <v>111</v>
      </c>
      <c r="AH11" s="1" t="s">
        <v>112</v>
      </c>
    </row>
    <row r="12" spans="1:41" x14ac:dyDescent="0.2">
      <c r="A12" s="8" t="s">
        <v>113</v>
      </c>
      <c r="B12" s="3" t="s">
        <v>114</v>
      </c>
      <c r="C12" s="3"/>
      <c r="D12" s="9" t="s">
        <v>76</v>
      </c>
      <c r="E12" s="1">
        <v>4953396</v>
      </c>
      <c r="I12" s="3">
        <f t="shared" si="0"/>
        <v>47</v>
      </c>
      <c r="J12" s="3">
        <f t="shared" si="1"/>
        <v>0</v>
      </c>
      <c r="K12" s="6">
        <v>0</v>
      </c>
      <c r="L12" s="1">
        <v>1</v>
      </c>
      <c r="M12" s="7">
        <v>44630</v>
      </c>
      <c r="N12" s="7">
        <v>27310</v>
      </c>
      <c r="O12" s="3" t="s">
        <v>43</v>
      </c>
      <c r="P12" s="1" t="s">
        <v>44</v>
      </c>
      <c r="Q12" s="1" t="s">
        <v>45</v>
      </c>
      <c r="S12" s="3" t="s">
        <v>68</v>
      </c>
      <c r="U12" s="1" t="s">
        <v>58</v>
      </c>
      <c r="V12" s="1" t="s">
        <v>58</v>
      </c>
      <c r="W12" s="1" t="s">
        <v>58</v>
      </c>
      <c r="X12" s="1" t="s">
        <v>58</v>
      </c>
      <c r="Z12" s="1" t="s">
        <v>47</v>
      </c>
      <c r="AA12" s="1" t="s">
        <v>47</v>
      </c>
      <c r="AB12" s="1" t="s">
        <v>47</v>
      </c>
      <c r="AC12" s="1" t="s">
        <v>47</v>
      </c>
      <c r="AD12" s="1" t="s">
        <v>115</v>
      </c>
      <c r="AE12" s="1" t="s">
        <v>116</v>
      </c>
      <c r="AF12" s="1" t="s">
        <v>117</v>
      </c>
      <c r="AG12" s="1" t="s">
        <v>118</v>
      </c>
      <c r="AH12" s="1" t="s">
        <v>119</v>
      </c>
    </row>
    <row r="13" spans="1:41" x14ac:dyDescent="0.2">
      <c r="A13" s="8" t="s">
        <v>120</v>
      </c>
      <c r="B13" s="3" t="s">
        <v>121</v>
      </c>
      <c r="C13" s="3"/>
      <c r="D13" s="3" t="s">
        <v>54</v>
      </c>
      <c r="E13" s="1">
        <v>4951674</v>
      </c>
      <c r="I13" s="3">
        <f t="shared" si="0"/>
        <v>45</v>
      </c>
      <c r="J13" s="3">
        <f t="shared" si="1"/>
        <v>0</v>
      </c>
      <c r="K13" s="6">
        <v>0</v>
      </c>
      <c r="L13" s="1">
        <v>1</v>
      </c>
      <c r="M13" s="7">
        <v>44637</v>
      </c>
      <c r="N13" s="7">
        <v>28126</v>
      </c>
      <c r="O13" s="3" t="s">
        <v>106</v>
      </c>
      <c r="P13" s="3" t="s">
        <v>67</v>
      </c>
      <c r="Q13" s="1" t="s">
        <v>45</v>
      </c>
      <c r="S13" s="3" t="s">
        <v>68</v>
      </c>
      <c r="U13" s="1" t="s">
        <v>58</v>
      </c>
      <c r="W13" s="1" t="s">
        <v>69</v>
      </c>
      <c r="X13" s="1" t="s">
        <v>69</v>
      </c>
      <c r="Z13" s="1" t="s">
        <v>122</v>
      </c>
      <c r="AA13" s="1" t="s">
        <v>47</v>
      </c>
      <c r="AB13" s="1" t="s">
        <v>47</v>
      </c>
      <c r="AC13" s="1" t="s">
        <v>47</v>
      </c>
      <c r="AD13" s="1" t="s">
        <v>123</v>
      </c>
      <c r="AE13" s="1" t="s">
        <v>124</v>
      </c>
      <c r="AF13" s="1" t="s">
        <v>125</v>
      </c>
    </row>
    <row r="14" spans="1:41" x14ac:dyDescent="0.2">
      <c r="A14" s="8" t="s">
        <v>126</v>
      </c>
      <c r="B14" s="3" t="s">
        <v>127</v>
      </c>
      <c r="C14" s="3"/>
      <c r="D14" s="3" t="s">
        <v>54</v>
      </c>
      <c r="E14" s="1">
        <v>2259382</v>
      </c>
      <c r="I14" s="3">
        <f t="shared" si="0"/>
        <v>66</v>
      </c>
      <c r="J14" s="3">
        <f t="shared" si="1"/>
        <v>0</v>
      </c>
      <c r="K14" s="6">
        <v>0</v>
      </c>
      <c r="L14" s="1">
        <v>1</v>
      </c>
      <c r="M14" s="7">
        <v>44637</v>
      </c>
      <c r="N14" s="7">
        <v>20242</v>
      </c>
      <c r="O14" s="3" t="s">
        <v>43</v>
      </c>
      <c r="P14" s="3" t="s">
        <v>67</v>
      </c>
      <c r="Q14" s="1" t="s">
        <v>45</v>
      </c>
      <c r="S14" s="3" t="s">
        <v>46</v>
      </c>
      <c r="U14" s="1" t="s">
        <v>58</v>
      </c>
      <c r="V14" s="1" t="s">
        <v>58</v>
      </c>
      <c r="W14" s="1" t="s">
        <v>107</v>
      </c>
      <c r="X14" s="1" t="s">
        <v>69</v>
      </c>
      <c r="Z14" s="1" t="s">
        <v>47</v>
      </c>
      <c r="AA14" s="1" t="s">
        <v>128</v>
      </c>
      <c r="AB14" s="1" t="s">
        <v>47</v>
      </c>
      <c r="AC14" s="1" t="s">
        <v>47</v>
      </c>
      <c r="AD14" s="1" t="s">
        <v>129</v>
      </c>
      <c r="AE14" s="1" t="s">
        <v>130</v>
      </c>
      <c r="AF14" s="1" t="s">
        <v>131</v>
      </c>
    </row>
    <row r="15" spans="1:41" x14ac:dyDescent="0.2">
      <c r="A15" s="8" t="s">
        <v>132</v>
      </c>
      <c r="B15" s="3" t="s">
        <v>133</v>
      </c>
      <c r="C15" s="3"/>
      <c r="D15" s="9" t="s">
        <v>76</v>
      </c>
      <c r="E15" s="1">
        <v>2496272</v>
      </c>
      <c r="F15" s="1" t="s">
        <v>51</v>
      </c>
      <c r="I15" s="3">
        <f t="shared" si="0"/>
        <v>41</v>
      </c>
      <c r="J15" s="3">
        <f t="shared" si="1"/>
        <v>0</v>
      </c>
      <c r="K15" s="6">
        <v>0</v>
      </c>
      <c r="L15" s="1">
        <v>1</v>
      </c>
      <c r="M15" s="7">
        <v>44645</v>
      </c>
      <c r="N15" s="7">
        <v>29509</v>
      </c>
      <c r="O15" s="3" t="s">
        <v>43</v>
      </c>
      <c r="P15" s="1" t="s">
        <v>44</v>
      </c>
      <c r="Q15" s="1" t="s">
        <v>45</v>
      </c>
      <c r="S15" s="3" t="s">
        <v>68</v>
      </c>
      <c r="U15" s="1" t="s">
        <v>69</v>
      </c>
      <c r="V15" s="1" t="s">
        <v>58</v>
      </c>
      <c r="W15" s="1" t="s">
        <v>107</v>
      </c>
      <c r="X15" s="1" t="s">
        <v>69</v>
      </c>
      <c r="Y15" s="1" t="s">
        <v>58</v>
      </c>
      <c r="Z15" s="1" t="s">
        <v>47</v>
      </c>
      <c r="AA15" s="1" t="s">
        <v>47</v>
      </c>
      <c r="AB15" s="1" t="s">
        <v>47</v>
      </c>
      <c r="AC15" s="1" t="s">
        <v>47</v>
      </c>
      <c r="AD15" s="1" t="s">
        <v>134</v>
      </c>
      <c r="AE15" s="1" t="s">
        <v>135</v>
      </c>
      <c r="AF15" s="1" t="s">
        <v>136</v>
      </c>
      <c r="AG15" s="1" t="s">
        <v>137</v>
      </c>
    </row>
    <row r="16" spans="1:41" x14ac:dyDescent="0.2">
      <c r="A16" s="8" t="s">
        <v>138</v>
      </c>
      <c r="B16" s="3" t="s">
        <v>139</v>
      </c>
      <c r="C16" s="3"/>
      <c r="D16" s="3" t="s">
        <v>54</v>
      </c>
      <c r="E16" s="1">
        <v>4589297</v>
      </c>
      <c r="H16" s="10" t="s">
        <v>140</v>
      </c>
      <c r="I16" s="3">
        <f t="shared" si="0"/>
        <v>40</v>
      </c>
      <c r="J16" s="3">
        <f t="shared" si="1"/>
        <v>0</v>
      </c>
      <c r="K16" s="6">
        <v>1</v>
      </c>
      <c r="L16" s="1">
        <v>1</v>
      </c>
      <c r="M16" s="7">
        <v>44648</v>
      </c>
      <c r="N16" s="7">
        <v>29877</v>
      </c>
      <c r="O16" s="3" t="s">
        <v>106</v>
      </c>
      <c r="P16" s="1" t="s">
        <v>141</v>
      </c>
      <c r="Q16" s="1" t="s">
        <v>45</v>
      </c>
      <c r="S16" s="3" t="s">
        <v>47</v>
      </c>
      <c r="U16" s="1" t="s">
        <v>58</v>
      </c>
      <c r="V16" s="1" t="s">
        <v>69</v>
      </c>
      <c r="W16" s="1" t="s">
        <v>58</v>
      </c>
      <c r="X16" s="1" t="s">
        <v>107</v>
      </c>
      <c r="Z16" s="1" t="s">
        <v>47</v>
      </c>
      <c r="AA16" s="1" t="s">
        <v>142</v>
      </c>
      <c r="AB16" s="1" t="s">
        <v>47</v>
      </c>
      <c r="AC16" s="1" t="s">
        <v>47</v>
      </c>
      <c r="AD16" s="1" t="s">
        <v>143</v>
      </c>
    </row>
    <row r="17" spans="1:63" x14ac:dyDescent="0.2">
      <c r="A17" s="8" t="s">
        <v>144</v>
      </c>
      <c r="B17" s="3" t="s">
        <v>145</v>
      </c>
      <c r="C17" s="3"/>
      <c r="D17" s="9" t="s">
        <v>76</v>
      </c>
      <c r="E17" s="1">
        <v>4959276</v>
      </c>
      <c r="H17" s="10"/>
      <c r="I17" s="3">
        <f t="shared" si="0"/>
        <v>60</v>
      </c>
      <c r="J17" s="3">
        <f t="shared" si="1"/>
        <v>0</v>
      </c>
      <c r="K17" s="6">
        <v>0</v>
      </c>
      <c r="L17" s="1">
        <v>1</v>
      </c>
      <c r="M17" s="7">
        <v>44651</v>
      </c>
      <c r="N17" s="7">
        <v>22716</v>
      </c>
      <c r="O17" s="3" t="s">
        <v>50</v>
      </c>
      <c r="P17" s="1" t="s">
        <v>44</v>
      </c>
      <c r="Q17" s="1" t="s">
        <v>45</v>
      </c>
      <c r="S17" s="3" t="s">
        <v>68</v>
      </c>
      <c r="U17" s="1" t="s">
        <v>69</v>
      </c>
      <c r="W17" s="1" t="s">
        <v>69</v>
      </c>
      <c r="X17" s="1" t="s">
        <v>69</v>
      </c>
      <c r="Z17" s="1" t="s">
        <v>47</v>
      </c>
      <c r="AA17" s="1" t="s">
        <v>47</v>
      </c>
      <c r="AB17" s="1" t="s">
        <v>47</v>
      </c>
      <c r="AC17" s="1" t="s">
        <v>47</v>
      </c>
      <c r="AD17" s="1" t="s">
        <v>146</v>
      </c>
      <c r="AE17" s="1" t="s">
        <v>147</v>
      </c>
      <c r="AF17" s="1" t="s">
        <v>148</v>
      </c>
    </row>
    <row r="18" spans="1:63" x14ac:dyDescent="0.2">
      <c r="A18" s="8" t="s">
        <v>149</v>
      </c>
      <c r="B18" s="3" t="s">
        <v>150</v>
      </c>
      <c r="C18" s="3"/>
      <c r="D18" s="9" t="s">
        <v>76</v>
      </c>
      <c r="E18" s="1">
        <v>4211145</v>
      </c>
      <c r="F18" s="1" t="s">
        <v>51</v>
      </c>
      <c r="I18" s="3">
        <f t="shared" si="0"/>
        <v>41</v>
      </c>
      <c r="J18" s="3">
        <f t="shared" si="1"/>
        <v>0</v>
      </c>
      <c r="K18" s="6">
        <v>0</v>
      </c>
      <c r="L18" s="1">
        <v>1</v>
      </c>
      <c r="M18" s="7">
        <v>44655</v>
      </c>
      <c r="N18" s="7">
        <v>29567</v>
      </c>
      <c r="O18" s="3" t="s">
        <v>151</v>
      </c>
      <c r="P18" s="1" t="s">
        <v>91</v>
      </c>
      <c r="Q18" s="1" t="s">
        <v>45</v>
      </c>
      <c r="S18" s="3" t="s">
        <v>46</v>
      </c>
      <c r="T18" s="1" t="s">
        <v>69</v>
      </c>
      <c r="U18" s="1" t="s">
        <v>58</v>
      </c>
      <c r="V18" s="1" t="s">
        <v>58</v>
      </c>
      <c r="W18" s="1" t="s">
        <v>58</v>
      </c>
      <c r="X18" s="1" t="s">
        <v>69</v>
      </c>
      <c r="Y18" s="1" t="s">
        <v>58</v>
      </c>
      <c r="Z18" s="1" t="s">
        <v>47</v>
      </c>
      <c r="AA18" s="1" t="s">
        <v>47</v>
      </c>
      <c r="AB18" s="1" t="s">
        <v>47</v>
      </c>
      <c r="AC18" s="1" t="s">
        <v>47</v>
      </c>
      <c r="AD18" s="1" t="s">
        <v>152</v>
      </c>
      <c r="AE18" s="1" t="s">
        <v>153</v>
      </c>
    </row>
    <row r="19" spans="1:63" x14ac:dyDescent="0.2">
      <c r="A19" s="8" t="s">
        <v>154</v>
      </c>
      <c r="B19" s="3" t="s">
        <v>155</v>
      </c>
      <c r="C19" s="3"/>
      <c r="D19" s="9" t="s">
        <v>76</v>
      </c>
      <c r="E19" s="1">
        <v>4520469</v>
      </c>
      <c r="I19" s="3">
        <f t="shared" si="0"/>
        <v>26</v>
      </c>
      <c r="J19" s="3">
        <f t="shared" si="1"/>
        <v>1</v>
      </c>
      <c r="K19" s="6">
        <v>0</v>
      </c>
      <c r="L19" s="1">
        <v>1</v>
      </c>
      <c r="M19" s="7">
        <v>44762</v>
      </c>
      <c r="N19" s="7">
        <v>35227</v>
      </c>
      <c r="O19" s="3" t="s">
        <v>43</v>
      </c>
      <c r="P19" s="1" t="s">
        <v>77</v>
      </c>
      <c r="Q19" s="1" t="s">
        <v>45</v>
      </c>
      <c r="S19" s="3" t="s">
        <v>47</v>
      </c>
      <c r="U19" s="1" t="s">
        <v>69</v>
      </c>
      <c r="V19" s="1" t="s">
        <v>58</v>
      </c>
      <c r="W19" s="1" t="s">
        <v>58</v>
      </c>
      <c r="X19" s="1" t="s">
        <v>58</v>
      </c>
      <c r="Z19" s="1" t="s">
        <v>156</v>
      </c>
      <c r="AA19" s="1" t="s">
        <v>46</v>
      </c>
      <c r="AB19" s="1" t="s">
        <v>47</v>
      </c>
      <c r="AC19" s="1" t="s">
        <v>47</v>
      </c>
      <c r="AD19" s="1" t="s">
        <v>157</v>
      </c>
      <c r="AE19" s="1" t="s">
        <v>158</v>
      </c>
    </row>
    <row r="20" spans="1:63" x14ac:dyDescent="0.2">
      <c r="A20" s="8" t="s">
        <v>159</v>
      </c>
      <c r="B20" s="3" t="s">
        <v>160</v>
      </c>
      <c r="C20" s="3"/>
      <c r="D20" s="9" t="s">
        <v>76</v>
      </c>
      <c r="E20" s="1">
        <v>4598823</v>
      </c>
      <c r="I20" s="3">
        <f t="shared" si="0"/>
        <v>77</v>
      </c>
      <c r="J20" s="3">
        <f t="shared" si="1"/>
        <v>0</v>
      </c>
      <c r="K20" s="6">
        <v>0</v>
      </c>
      <c r="L20" s="1">
        <v>1</v>
      </c>
      <c r="M20" s="7">
        <v>44764</v>
      </c>
      <c r="N20" s="7">
        <v>16618</v>
      </c>
      <c r="O20" s="3" t="s">
        <v>50</v>
      </c>
      <c r="P20" s="1" t="s">
        <v>44</v>
      </c>
      <c r="Q20" s="3" t="s">
        <v>45</v>
      </c>
      <c r="S20" s="3" t="s">
        <v>68</v>
      </c>
      <c r="U20" s="1" t="s">
        <v>58</v>
      </c>
      <c r="V20" s="1" t="s">
        <v>58</v>
      </c>
      <c r="W20" s="1" t="s">
        <v>69</v>
      </c>
      <c r="X20" s="1" t="s">
        <v>69</v>
      </c>
      <c r="Y20" s="1" t="s">
        <v>58</v>
      </c>
      <c r="Z20" s="1" t="s">
        <v>47</v>
      </c>
      <c r="AA20" s="1" t="s">
        <v>47</v>
      </c>
      <c r="AB20" s="1" t="s">
        <v>47</v>
      </c>
      <c r="AC20" s="1" t="s">
        <v>47</v>
      </c>
      <c r="AD20" s="1" t="s">
        <v>161</v>
      </c>
      <c r="AE20" s="1" t="s">
        <v>162</v>
      </c>
      <c r="AF20" s="1" t="s">
        <v>163</v>
      </c>
    </row>
    <row r="21" spans="1:63" ht="15.75" customHeight="1" x14ac:dyDescent="0.2">
      <c r="A21" s="8" t="s">
        <v>164</v>
      </c>
      <c r="B21" s="11" t="s">
        <v>165</v>
      </c>
      <c r="C21" s="3"/>
      <c r="D21" s="9" t="s">
        <v>76</v>
      </c>
      <c r="E21" s="1">
        <v>3404427</v>
      </c>
      <c r="F21" s="1" t="s">
        <v>51</v>
      </c>
      <c r="H21" s="1">
        <v>28</v>
      </c>
      <c r="I21" s="3">
        <f t="shared" si="0"/>
        <v>42</v>
      </c>
      <c r="J21" s="3">
        <f t="shared" si="1"/>
        <v>0</v>
      </c>
      <c r="K21" s="6">
        <v>0</v>
      </c>
      <c r="L21" s="1">
        <v>1</v>
      </c>
      <c r="M21" s="7">
        <v>44769</v>
      </c>
      <c r="N21" s="7">
        <v>29172</v>
      </c>
      <c r="O21" s="3" t="s">
        <v>50</v>
      </c>
      <c r="P21" s="1" t="s">
        <v>166</v>
      </c>
      <c r="Q21" s="1" t="s">
        <v>51</v>
      </c>
      <c r="S21" s="3" t="s">
        <v>68</v>
      </c>
      <c r="U21" s="1" t="s">
        <v>58</v>
      </c>
      <c r="V21" s="1" t="s">
        <v>58</v>
      </c>
      <c r="W21" s="1" t="s">
        <v>58</v>
      </c>
      <c r="X21" s="1" t="s">
        <v>58</v>
      </c>
      <c r="Y21" s="1" t="s">
        <v>58</v>
      </c>
      <c r="Z21" s="1" t="s">
        <v>167</v>
      </c>
      <c r="AA21" s="1" t="s">
        <v>47</v>
      </c>
      <c r="AB21" s="1" t="s">
        <v>47</v>
      </c>
      <c r="AC21" s="1" t="s">
        <v>47</v>
      </c>
      <c r="AD21" s="1" t="s">
        <v>168</v>
      </c>
      <c r="AE21" s="1" t="s">
        <v>169</v>
      </c>
    </row>
    <row r="22" spans="1:63" ht="15.75" customHeight="1" x14ac:dyDescent="0.2">
      <c r="A22" s="8" t="s">
        <v>170</v>
      </c>
      <c r="B22" s="3" t="s">
        <v>171</v>
      </c>
      <c r="C22" s="3"/>
      <c r="D22" s="9" t="s">
        <v>76</v>
      </c>
      <c r="E22" s="1">
        <v>4511696</v>
      </c>
      <c r="H22" s="1">
        <v>39</v>
      </c>
      <c r="I22" s="3">
        <f t="shared" si="0"/>
        <v>46</v>
      </c>
      <c r="J22" s="3">
        <f t="shared" si="1"/>
        <v>0</v>
      </c>
      <c r="K22" s="6">
        <v>0</v>
      </c>
      <c r="L22" s="1">
        <v>1</v>
      </c>
      <c r="M22" s="7">
        <v>44775</v>
      </c>
      <c r="N22" s="7">
        <v>27750</v>
      </c>
      <c r="O22" s="3" t="s">
        <v>50</v>
      </c>
      <c r="P22" s="1" t="s">
        <v>91</v>
      </c>
      <c r="Q22" s="1" t="s">
        <v>51</v>
      </c>
      <c r="S22" s="3" t="s">
        <v>68</v>
      </c>
      <c r="U22" s="1" t="s">
        <v>69</v>
      </c>
      <c r="V22" s="1" t="s">
        <v>58</v>
      </c>
      <c r="W22" s="1" t="s">
        <v>69</v>
      </c>
      <c r="X22" s="1" t="s">
        <v>69</v>
      </c>
      <c r="Z22" s="1" t="s">
        <v>172</v>
      </c>
      <c r="AA22" s="1" t="s">
        <v>46</v>
      </c>
      <c r="AB22" s="1" t="s">
        <v>47</v>
      </c>
      <c r="AC22" s="1" t="s">
        <v>47</v>
      </c>
      <c r="AD22" s="1" t="s">
        <v>173</v>
      </c>
      <c r="AE22" s="1" t="s">
        <v>174</v>
      </c>
    </row>
    <row r="23" spans="1:63" ht="15.75" customHeight="1" x14ac:dyDescent="0.2">
      <c r="A23" s="8" t="s">
        <v>175</v>
      </c>
      <c r="B23" s="3" t="s">
        <v>176</v>
      </c>
      <c r="C23" s="3"/>
      <c r="D23" s="9" t="s">
        <v>76</v>
      </c>
      <c r="E23" s="1">
        <v>3835683</v>
      </c>
      <c r="F23" s="1" t="s">
        <v>51</v>
      </c>
      <c r="I23" s="3">
        <f t="shared" si="0"/>
        <v>48</v>
      </c>
      <c r="J23" s="3">
        <f t="shared" si="1"/>
        <v>0</v>
      </c>
      <c r="K23" s="6">
        <v>0</v>
      </c>
      <c r="L23" s="1">
        <v>1</v>
      </c>
      <c r="M23" s="7">
        <v>44787</v>
      </c>
      <c r="N23" s="7">
        <v>27065</v>
      </c>
      <c r="O23" s="3" t="s">
        <v>177</v>
      </c>
      <c r="P23" s="1" t="s">
        <v>91</v>
      </c>
      <c r="Q23" s="1" t="s">
        <v>45</v>
      </c>
      <c r="S23" s="3" t="s">
        <v>92</v>
      </c>
      <c r="U23" s="1" t="s">
        <v>58</v>
      </c>
      <c r="V23" s="1" t="s">
        <v>58</v>
      </c>
      <c r="W23" s="1" t="s">
        <v>58</v>
      </c>
      <c r="X23" s="1" t="s">
        <v>58</v>
      </c>
      <c r="Y23" s="1" t="s">
        <v>178</v>
      </c>
      <c r="Z23" s="1" t="s">
        <v>47</v>
      </c>
      <c r="AA23" s="1" t="s">
        <v>47</v>
      </c>
      <c r="AB23" s="1" t="s">
        <v>179</v>
      </c>
      <c r="AC23" s="1" t="s">
        <v>180</v>
      </c>
      <c r="AD23" s="1" t="s">
        <v>181</v>
      </c>
      <c r="AE23" s="1" t="s">
        <v>182</v>
      </c>
      <c r="AF23" s="1" t="s">
        <v>183</v>
      </c>
      <c r="AG23" s="1" t="s">
        <v>184</v>
      </c>
      <c r="AH23" s="1" t="s">
        <v>185</v>
      </c>
      <c r="AI23" s="1" t="s">
        <v>186</v>
      </c>
      <c r="AJ23" s="1" t="s">
        <v>187</v>
      </c>
      <c r="AK23" s="1" t="s">
        <v>188</v>
      </c>
      <c r="AL23" s="1" t="s">
        <v>189</v>
      </c>
      <c r="AM23" s="1" t="s">
        <v>189</v>
      </c>
      <c r="AN23" s="1" t="s">
        <v>190</v>
      </c>
      <c r="AO23" s="1" t="s">
        <v>191</v>
      </c>
      <c r="AP23" s="1" t="s">
        <v>192</v>
      </c>
      <c r="AQ23" s="1" t="s">
        <v>193</v>
      </c>
      <c r="AR23" s="1" t="s">
        <v>194</v>
      </c>
      <c r="AS23" s="1" t="s">
        <v>195</v>
      </c>
      <c r="AT23" s="1" t="s">
        <v>196</v>
      </c>
      <c r="AU23" s="1" t="s">
        <v>197</v>
      </c>
      <c r="AV23" s="1" t="s">
        <v>198</v>
      </c>
      <c r="AW23" s="1" t="s">
        <v>199</v>
      </c>
      <c r="AX23" s="1" t="s">
        <v>200</v>
      </c>
      <c r="AY23" s="1" t="s">
        <v>201</v>
      </c>
      <c r="AZ23" s="1" t="s">
        <v>202</v>
      </c>
      <c r="BA23" s="1" t="s">
        <v>203</v>
      </c>
      <c r="BB23" s="1" t="s">
        <v>204</v>
      </c>
      <c r="BC23" s="1" t="s">
        <v>205</v>
      </c>
      <c r="BD23" s="1" t="s">
        <v>206</v>
      </c>
      <c r="BE23" s="1" t="s">
        <v>207</v>
      </c>
      <c r="BF23" s="1" t="s">
        <v>208</v>
      </c>
      <c r="BG23" s="1" t="s">
        <v>209</v>
      </c>
      <c r="BH23" s="1" t="s">
        <v>210</v>
      </c>
      <c r="BI23" s="1" t="s">
        <v>211</v>
      </c>
      <c r="BJ23" s="1" t="s">
        <v>212</v>
      </c>
      <c r="BK23" s="1" t="s">
        <v>213</v>
      </c>
    </row>
    <row r="24" spans="1:63" ht="15.75" customHeight="1" x14ac:dyDescent="0.2">
      <c r="A24" s="8" t="s">
        <v>214</v>
      </c>
      <c r="B24" s="3" t="s">
        <v>215</v>
      </c>
      <c r="C24" s="3"/>
      <c r="D24" s="9" t="s">
        <v>76</v>
      </c>
      <c r="E24" s="1">
        <v>4732870</v>
      </c>
      <c r="I24" s="3">
        <f t="shared" si="0"/>
        <v>41</v>
      </c>
      <c r="J24" s="3">
        <f t="shared" si="1"/>
        <v>0</v>
      </c>
      <c r="K24" s="6">
        <v>0</v>
      </c>
      <c r="L24" s="1">
        <v>1</v>
      </c>
      <c r="M24" s="7">
        <v>44796</v>
      </c>
      <c r="N24" s="7">
        <v>29528</v>
      </c>
      <c r="O24" s="3" t="s">
        <v>177</v>
      </c>
      <c r="P24" s="3" t="s">
        <v>67</v>
      </c>
      <c r="Q24" s="1" t="s">
        <v>45</v>
      </c>
      <c r="S24" s="3" t="s">
        <v>68</v>
      </c>
      <c r="U24" s="1" t="s">
        <v>58</v>
      </c>
      <c r="V24" s="1" t="s">
        <v>58</v>
      </c>
      <c r="W24" s="1" t="s">
        <v>69</v>
      </c>
      <c r="X24" s="1" t="s">
        <v>69</v>
      </c>
      <c r="Z24" s="1" t="s">
        <v>47</v>
      </c>
      <c r="AA24" s="1" t="s">
        <v>46</v>
      </c>
      <c r="AB24" s="1" t="s">
        <v>47</v>
      </c>
      <c r="AC24" s="1" t="s">
        <v>47</v>
      </c>
      <c r="AD24" s="1" t="s">
        <v>216</v>
      </c>
      <c r="AE24" s="1" t="s">
        <v>217</v>
      </c>
    </row>
    <row r="25" spans="1:63" ht="15.75" customHeight="1" x14ac:dyDescent="0.2">
      <c r="A25" s="8" t="s">
        <v>218</v>
      </c>
      <c r="B25" s="3" t="s">
        <v>219</v>
      </c>
      <c r="C25" s="3"/>
      <c r="D25" s="9" t="s">
        <v>76</v>
      </c>
      <c r="E25" s="1">
        <v>4309777</v>
      </c>
      <c r="I25" s="3">
        <f t="shared" si="0"/>
        <v>24</v>
      </c>
      <c r="J25" s="3">
        <f t="shared" si="1"/>
        <v>1</v>
      </c>
      <c r="K25" s="6">
        <v>0</v>
      </c>
      <c r="L25" s="1">
        <v>0</v>
      </c>
      <c r="M25" s="7">
        <v>44802</v>
      </c>
      <c r="N25" s="7">
        <v>35673</v>
      </c>
      <c r="O25" s="3" t="s">
        <v>220</v>
      </c>
      <c r="P25" s="1" t="s">
        <v>221</v>
      </c>
      <c r="Q25" s="1" t="s">
        <v>51</v>
      </c>
      <c r="S25" s="3" t="s">
        <v>47</v>
      </c>
      <c r="U25" s="1" t="s">
        <v>58</v>
      </c>
      <c r="V25" s="1" t="s">
        <v>58</v>
      </c>
      <c r="W25" s="1" t="s">
        <v>58</v>
      </c>
      <c r="X25" s="1" t="s">
        <v>58</v>
      </c>
      <c r="Z25" s="1" t="s">
        <v>47</v>
      </c>
      <c r="AA25" s="1" t="s">
        <v>46</v>
      </c>
      <c r="AB25" s="1" t="s">
        <v>47</v>
      </c>
      <c r="AC25" s="1" t="s">
        <v>47</v>
      </c>
      <c r="AD25" s="1" t="s">
        <v>222</v>
      </c>
      <c r="AE25" s="1" t="s">
        <v>223</v>
      </c>
    </row>
    <row r="26" spans="1:63" ht="15.75" customHeight="1" x14ac:dyDescent="0.2">
      <c r="A26" s="8" t="s">
        <v>224</v>
      </c>
      <c r="B26" s="3" t="s">
        <v>225</v>
      </c>
      <c r="C26" s="3"/>
      <c r="D26" s="9" t="s">
        <v>76</v>
      </c>
      <c r="E26" s="1">
        <v>4803152</v>
      </c>
      <c r="I26" s="3">
        <f t="shared" si="0"/>
        <v>68</v>
      </c>
      <c r="J26" s="3">
        <f t="shared" si="1"/>
        <v>0</v>
      </c>
      <c r="K26" s="6">
        <v>0</v>
      </c>
      <c r="L26" s="1">
        <v>1</v>
      </c>
      <c r="M26" s="7">
        <v>44806</v>
      </c>
      <c r="N26" s="7">
        <v>19740</v>
      </c>
      <c r="O26" s="3" t="s">
        <v>50</v>
      </c>
      <c r="P26" s="1" t="s">
        <v>77</v>
      </c>
      <c r="Q26" s="1" t="s">
        <v>45</v>
      </c>
      <c r="S26" s="3" t="s">
        <v>47</v>
      </c>
      <c r="U26" s="1" t="s">
        <v>69</v>
      </c>
      <c r="W26" s="1" t="s">
        <v>58</v>
      </c>
      <c r="X26" s="1" t="s">
        <v>58</v>
      </c>
      <c r="Z26" s="1" t="s">
        <v>226</v>
      </c>
      <c r="AA26" s="1" t="s">
        <v>47</v>
      </c>
      <c r="AB26" s="1" t="s">
        <v>47</v>
      </c>
      <c r="AC26" s="1" t="s">
        <v>47</v>
      </c>
      <c r="AD26" s="1" t="s">
        <v>134</v>
      </c>
      <c r="AE26" s="1" t="s">
        <v>227</v>
      </c>
    </row>
    <row r="27" spans="1:63" ht="15.75" customHeight="1" x14ac:dyDescent="0.2">
      <c r="A27" s="8" t="s">
        <v>228</v>
      </c>
      <c r="B27" s="3" t="s">
        <v>229</v>
      </c>
      <c r="C27" s="3"/>
      <c r="D27" s="9" t="s">
        <v>76</v>
      </c>
      <c r="E27" s="1">
        <v>4961441</v>
      </c>
      <c r="I27" s="3">
        <f t="shared" si="0"/>
        <v>19</v>
      </c>
      <c r="J27" s="3">
        <f t="shared" si="1"/>
        <v>1</v>
      </c>
      <c r="K27" s="6">
        <v>0</v>
      </c>
      <c r="L27" s="1">
        <v>0</v>
      </c>
      <c r="M27" s="7">
        <v>44806</v>
      </c>
      <c r="N27" s="7">
        <v>37565</v>
      </c>
      <c r="O27" s="3" t="s">
        <v>50</v>
      </c>
      <c r="P27" s="1" t="s">
        <v>221</v>
      </c>
      <c r="Q27" s="1" t="s">
        <v>45</v>
      </c>
      <c r="S27" s="3" t="s">
        <v>47</v>
      </c>
      <c r="U27" s="1" t="s">
        <v>58</v>
      </c>
      <c r="V27" s="1" t="s">
        <v>58</v>
      </c>
      <c r="W27" s="1" t="s">
        <v>58</v>
      </c>
      <c r="X27" s="1" t="s">
        <v>58</v>
      </c>
      <c r="Z27" s="1" t="s">
        <v>47</v>
      </c>
      <c r="AA27" s="1" t="s">
        <v>47</v>
      </c>
      <c r="AB27" s="1" t="s">
        <v>47</v>
      </c>
      <c r="AC27" s="1" t="s">
        <v>47</v>
      </c>
      <c r="AD27" s="1" t="s">
        <v>230</v>
      </c>
    </row>
    <row r="28" spans="1:63" ht="15.75" customHeight="1" x14ac:dyDescent="0.2">
      <c r="A28" s="8" t="s">
        <v>231</v>
      </c>
      <c r="B28" s="3" t="s">
        <v>232</v>
      </c>
      <c r="C28" s="3"/>
      <c r="D28" s="9" t="s">
        <v>76</v>
      </c>
      <c r="E28" s="1">
        <v>7038895</v>
      </c>
      <c r="F28" s="1" t="s">
        <v>51</v>
      </c>
      <c r="I28" s="3">
        <f t="shared" si="0"/>
        <v>64</v>
      </c>
      <c r="J28" s="3">
        <f t="shared" si="1"/>
        <v>0</v>
      </c>
      <c r="K28" s="6">
        <v>0</v>
      </c>
      <c r="L28" s="1">
        <v>1</v>
      </c>
      <c r="M28" s="7">
        <v>44810</v>
      </c>
      <c r="N28" s="7">
        <v>21245</v>
      </c>
      <c r="O28" s="3" t="s">
        <v>50</v>
      </c>
      <c r="P28" s="1" t="s">
        <v>166</v>
      </c>
      <c r="Q28" s="1" t="s">
        <v>45</v>
      </c>
      <c r="S28" s="3" t="s">
        <v>68</v>
      </c>
      <c r="U28" s="1" t="s">
        <v>69</v>
      </c>
      <c r="V28" s="1" t="s">
        <v>58</v>
      </c>
      <c r="W28" s="1" t="s">
        <v>58</v>
      </c>
      <c r="X28" s="1" t="s">
        <v>58</v>
      </c>
      <c r="Z28" s="1" t="s">
        <v>233</v>
      </c>
      <c r="AA28" s="1" t="s">
        <v>46</v>
      </c>
      <c r="AB28" s="1" t="s">
        <v>47</v>
      </c>
      <c r="AC28" s="1" t="s">
        <v>47</v>
      </c>
      <c r="AD28" s="1" t="s">
        <v>47</v>
      </c>
    </row>
    <row r="29" spans="1:63" ht="15.75" customHeight="1" x14ac:dyDescent="0.2">
      <c r="A29" s="8" t="s">
        <v>234</v>
      </c>
      <c r="B29" s="3" t="s">
        <v>235</v>
      </c>
      <c r="C29" s="3"/>
      <c r="D29" s="9" t="s">
        <v>76</v>
      </c>
      <c r="E29" s="1">
        <v>4882768</v>
      </c>
      <c r="H29" s="10" t="s">
        <v>236</v>
      </c>
      <c r="I29" s="3">
        <f t="shared" si="0"/>
        <v>20</v>
      </c>
      <c r="J29" s="3">
        <f t="shared" si="1"/>
        <v>1</v>
      </c>
      <c r="K29" s="6">
        <v>1</v>
      </c>
      <c r="L29" s="1">
        <v>1</v>
      </c>
      <c r="M29" s="7">
        <v>44810</v>
      </c>
      <c r="N29" s="7">
        <v>37317</v>
      </c>
      <c r="O29" s="3" t="s">
        <v>106</v>
      </c>
      <c r="P29" s="1" t="s">
        <v>237</v>
      </c>
      <c r="Q29" s="1" t="s">
        <v>45</v>
      </c>
      <c r="S29" s="3" t="s">
        <v>47</v>
      </c>
      <c r="U29" s="1" t="s">
        <v>58</v>
      </c>
      <c r="V29" s="1" t="s">
        <v>58</v>
      </c>
      <c r="Z29" s="1" t="s">
        <v>47</v>
      </c>
      <c r="AA29" s="1" t="s">
        <v>47</v>
      </c>
      <c r="AB29" s="1" t="s">
        <v>47</v>
      </c>
      <c r="AC29" s="1" t="s">
        <v>47</v>
      </c>
      <c r="AD29" s="1" t="s">
        <v>238</v>
      </c>
    </row>
    <row r="30" spans="1:63" ht="15.75" customHeight="1" x14ac:dyDescent="0.2">
      <c r="A30" s="8" t="s">
        <v>239</v>
      </c>
      <c r="B30" s="3" t="s">
        <v>240</v>
      </c>
      <c r="C30" s="3"/>
      <c r="D30" s="9" t="s">
        <v>76</v>
      </c>
      <c r="E30" s="1">
        <v>4129672</v>
      </c>
      <c r="F30" s="1" t="s">
        <v>51</v>
      </c>
      <c r="I30" s="3">
        <f t="shared" si="0"/>
        <v>62</v>
      </c>
      <c r="J30" s="3">
        <f t="shared" si="1"/>
        <v>0</v>
      </c>
      <c r="K30" s="6">
        <v>0</v>
      </c>
      <c r="L30" s="1">
        <v>1</v>
      </c>
      <c r="M30" s="7">
        <v>44812</v>
      </c>
      <c r="N30" s="7">
        <v>21824</v>
      </c>
      <c r="O30" s="3" t="s">
        <v>50</v>
      </c>
      <c r="P30" s="1" t="s">
        <v>77</v>
      </c>
      <c r="Q30" s="1" t="s">
        <v>45</v>
      </c>
      <c r="S30" s="3" t="s">
        <v>92</v>
      </c>
      <c r="Z30" s="1" t="s">
        <v>241</v>
      </c>
      <c r="AA30" s="1" t="s">
        <v>242</v>
      </c>
      <c r="AB30" s="1" t="s">
        <v>243</v>
      </c>
      <c r="AC30" s="1" t="s">
        <v>243</v>
      </c>
      <c r="AD30" s="1" t="s">
        <v>157</v>
      </c>
      <c r="AE30" s="1" t="s">
        <v>244</v>
      </c>
    </row>
    <row r="31" spans="1:63" ht="15.75" customHeight="1" x14ac:dyDescent="0.2">
      <c r="A31" s="8" t="s">
        <v>245</v>
      </c>
      <c r="B31" s="3" t="s">
        <v>246</v>
      </c>
      <c r="C31" s="3"/>
      <c r="D31" s="9" t="s">
        <v>76</v>
      </c>
      <c r="E31" s="1">
        <v>4440687</v>
      </c>
      <c r="F31" s="1" t="s">
        <v>51</v>
      </c>
      <c r="I31" s="3">
        <f t="shared" si="0"/>
        <v>49</v>
      </c>
      <c r="J31" s="3">
        <f t="shared" si="1"/>
        <v>0</v>
      </c>
      <c r="K31" s="6">
        <v>0</v>
      </c>
      <c r="L31" s="1">
        <v>1</v>
      </c>
      <c r="M31" s="7">
        <v>44817</v>
      </c>
      <c r="N31" s="7">
        <v>26746</v>
      </c>
      <c r="O31" s="3" t="s">
        <v>247</v>
      </c>
      <c r="P31" s="1" t="s">
        <v>91</v>
      </c>
      <c r="Q31" s="1" t="s">
        <v>45</v>
      </c>
      <c r="S31" s="3" t="s">
        <v>46</v>
      </c>
      <c r="Z31" s="1" t="s">
        <v>47</v>
      </c>
      <c r="AA31" s="1" t="s">
        <v>47</v>
      </c>
      <c r="AB31" s="1" t="s">
        <v>248</v>
      </c>
      <c r="AC31" s="1">
        <v>-10</v>
      </c>
      <c r="AD31" s="1" t="s">
        <v>249</v>
      </c>
      <c r="AE31" s="1" t="s">
        <v>250</v>
      </c>
    </row>
    <row r="32" spans="1:63" ht="15.75" customHeight="1" x14ac:dyDescent="0.2">
      <c r="A32" s="8" t="s">
        <v>251</v>
      </c>
      <c r="B32" s="3" t="s">
        <v>252</v>
      </c>
      <c r="C32" s="3"/>
      <c r="D32" s="9" t="s">
        <v>76</v>
      </c>
      <c r="E32" s="1">
        <v>4959246</v>
      </c>
      <c r="F32" s="1" t="s">
        <v>51</v>
      </c>
      <c r="H32" s="10" t="s">
        <v>253</v>
      </c>
      <c r="I32" s="3">
        <f t="shared" si="0"/>
        <v>19</v>
      </c>
      <c r="J32" s="3">
        <f t="shared" si="1"/>
        <v>1</v>
      </c>
      <c r="K32" s="6">
        <v>1</v>
      </c>
      <c r="L32" s="1">
        <v>1</v>
      </c>
      <c r="M32" s="7">
        <v>44818</v>
      </c>
      <c r="N32" s="7">
        <v>37803</v>
      </c>
      <c r="O32" s="3" t="s">
        <v>106</v>
      </c>
      <c r="P32" s="1" t="s">
        <v>91</v>
      </c>
      <c r="Q32" s="1" t="s">
        <v>45</v>
      </c>
      <c r="S32" s="3" t="s">
        <v>46</v>
      </c>
      <c r="Z32" s="1" t="s">
        <v>47</v>
      </c>
      <c r="AA32" s="1" t="s">
        <v>254</v>
      </c>
      <c r="AB32" s="1" t="s">
        <v>47</v>
      </c>
      <c r="AC32" s="1" t="s">
        <v>47</v>
      </c>
      <c r="AD32" s="1" t="s">
        <v>255</v>
      </c>
      <c r="AE32" s="1" t="s">
        <v>256</v>
      </c>
    </row>
    <row r="33" spans="1:49" ht="15.75" customHeight="1" x14ac:dyDescent="0.2">
      <c r="A33" s="8" t="s">
        <v>257</v>
      </c>
      <c r="B33" s="3" t="s">
        <v>258</v>
      </c>
      <c r="C33" s="3"/>
      <c r="D33" s="9" t="s">
        <v>76</v>
      </c>
      <c r="E33" s="1">
        <v>7044771</v>
      </c>
      <c r="I33" s="3">
        <f t="shared" si="0"/>
        <v>53</v>
      </c>
      <c r="J33" s="3">
        <f t="shared" si="1"/>
        <v>0</v>
      </c>
      <c r="K33" s="6">
        <v>0</v>
      </c>
      <c r="L33" s="1">
        <v>1</v>
      </c>
      <c r="M33" s="7">
        <v>44822</v>
      </c>
      <c r="N33" s="7">
        <v>25117</v>
      </c>
      <c r="O33" s="3" t="s">
        <v>50</v>
      </c>
      <c r="P33" s="1" t="s">
        <v>44</v>
      </c>
      <c r="Q33" s="1" t="s">
        <v>51</v>
      </c>
      <c r="S33" s="3" t="s">
        <v>68</v>
      </c>
      <c r="Z33" s="1" t="s">
        <v>47</v>
      </c>
      <c r="AA33" s="1" t="s">
        <v>47</v>
      </c>
      <c r="AB33" s="1" t="s">
        <v>47</v>
      </c>
      <c r="AC33" s="1" t="s">
        <v>47</v>
      </c>
      <c r="AD33" s="1" t="s">
        <v>259</v>
      </c>
      <c r="AE33" s="1" t="s">
        <v>260</v>
      </c>
      <c r="AF33" s="1" t="s">
        <v>261</v>
      </c>
      <c r="AG33" s="1" t="s">
        <v>262</v>
      </c>
      <c r="AH33" s="1" t="s">
        <v>263</v>
      </c>
      <c r="AI33" s="1" t="s">
        <v>264</v>
      </c>
      <c r="AJ33" s="1" t="s">
        <v>265</v>
      </c>
    </row>
    <row r="34" spans="1:49" ht="15.75" customHeight="1" x14ac:dyDescent="0.2">
      <c r="A34" s="8" t="s">
        <v>266</v>
      </c>
      <c r="B34" s="3" t="s">
        <v>267</v>
      </c>
      <c r="C34" s="3"/>
      <c r="D34" s="9" t="s">
        <v>76</v>
      </c>
      <c r="E34" s="1">
        <v>7046243</v>
      </c>
      <c r="F34" s="1" t="s">
        <v>51</v>
      </c>
      <c r="I34" s="3">
        <f t="shared" si="0"/>
        <v>38</v>
      </c>
      <c r="J34" s="3">
        <f t="shared" si="1"/>
        <v>1</v>
      </c>
      <c r="K34" s="6">
        <v>0</v>
      </c>
      <c r="L34" s="1">
        <v>1</v>
      </c>
      <c r="M34" s="7">
        <v>44838</v>
      </c>
      <c r="N34" s="7">
        <v>30631</v>
      </c>
      <c r="O34" s="3" t="s">
        <v>43</v>
      </c>
      <c r="P34" s="1" t="s">
        <v>44</v>
      </c>
      <c r="Q34" s="1" t="s">
        <v>45</v>
      </c>
      <c r="S34" s="3" t="s">
        <v>68</v>
      </c>
      <c r="Z34" s="1" t="s">
        <v>47</v>
      </c>
      <c r="AA34" s="1" t="s">
        <v>47</v>
      </c>
      <c r="AB34" s="1" t="s">
        <v>47</v>
      </c>
      <c r="AC34" s="1" t="s">
        <v>47</v>
      </c>
      <c r="AD34" s="1" t="s">
        <v>268</v>
      </c>
      <c r="AE34" s="1" t="s">
        <v>269</v>
      </c>
      <c r="AF34" s="1" t="s">
        <v>270</v>
      </c>
    </row>
    <row r="35" spans="1:49" ht="15.75" customHeight="1" x14ac:dyDescent="0.2">
      <c r="A35" s="8" t="s">
        <v>271</v>
      </c>
      <c r="B35" s="3" t="s">
        <v>272</v>
      </c>
      <c r="C35" s="3"/>
      <c r="D35" s="9" t="s">
        <v>76</v>
      </c>
      <c r="E35" s="1">
        <v>4511986</v>
      </c>
      <c r="I35" s="3">
        <f t="shared" si="0"/>
        <v>55</v>
      </c>
      <c r="J35" s="3">
        <f t="shared" si="1"/>
        <v>0</v>
      </c>
      <c r="K35" s="6">
        <v>0</v>
      </c>
      <c r="L35" s="1">
        <v>1</v>
      </c>
      <c r="M35" s="7">
        <v>44839</v>
      </c>
      <c r="N35" s="7">
        <v>24747</v>
      </c>
      <c r="O35" s="3" t="s">
        <v>177</v>
      </c>
      <c r="P35" s="1" t="s">
        <v>44</v>
      </c>
      <c r="Q35" s="1" t="s">
        <v>45</v>
      </c>
      <c r="S35" s="3" t="s">
        <v>68</v>
      </c>
      <c r="T35" s="1" t="s">
        <v>47</v>
      </c>
      <c r="U35" s="1" t="s">
        <v>47</v>
      </c>
      <c r="V35" s="1" t="s">
        <v>47</v>
      </c>
      <c r="W35" s="1" t="s">
        <v>47</v>
      </c>
      <c r="Z35" s="1" t="s">
        <v>47</v>
      </c>
      <c r="AA35" s="1" t="s">
        <v>47</v>
      </c>
      <c r="AB35" s="1" t="s">
        <v>47</v>
      </c>
      <c r="AC35" s="1" t="s">
        <v>47</v>
      </c>
      <c r="AD35" s="1" t="s">
        <v>273</v>
      </c>
      <c r="AE35" s="1" t="s">
        <v>274</v>
      </c>
      <c r="AF35" s="1" t="s">
        <v>275</v>
      </c>
    </row>
    <row r="36" spans="1:49" ht="15.75" customHeight="1" x14ac:dyDescent="0.2">
      <c r="A36" s="8" t="s">
        <v>276</v>
      </c>
      <c r="B36" s="3" t="s">
        <v>277</v>
      </c>
      <c r="C36" s="3"/>
      <c r="D36" s="3" t="s">
        <v>42</v>
      </c>
      <c r="E36" s="1">
        <v>4963262</v>
      </c>
      <c r="H36" s="1">
        <v>55</v>
      </c>
      <c r="I36" s="3">
        <f t="shared" si="0"/>
        <v>56</v>
      </c>
      <c r="J36" s="3">
        <f t="shared" si="1"/>
        <v>0</v>
      </c>
      <c r="K36" s="6">
        <v>0</v>
      </c>
      <c r="L36" s="1">
        <v>1</v>
      </c>
      <c r="M36" s="7">
        <v>44853</v>
      </c>
      <c r="N36" s="7">
        <v>24220</v>
      </c>
      <c r="O36" s="3" t="s">
        <v>43</v>
      </c>
      <c r="P36" s="1" t="s">
        <v>44</v>
      </c>
      <c r="Q36" s="1" t="s">
        <v>51</v>
      </c>
      <c r="S36" s="3" t="s">
        <v>47</v>
      </c>
      <c r="T36" s="1" t="s">
        <v>47</v>
      </c>
      <c r="U36" s="1" t="s">
        <v>47</v>
      </c>
      <c r="V36" s="1" t="s">
        <v>47</v>
      </c>
      <c r="W36" s="1" t="s">
        <v>47</v>
      </c>
      <c r="Z36" s="1" t="s">
        <v>47</v>
      </c>
      <c r="AA36" s="1" t="s">
        <v>47</v>
      </c>
      <c r="AB36" s="1" t="s">
        <v>47</v>
      </c>
      <c r="AC36" s="1" t="s">
        <v>47</v>
      </c>
      <c r="AD36" s="1" t="s">
        <v>278</v>
      </c>
      <c r="AE36" s="1" t="s">
        <v>279</v>
      </c>
    </row>
    <row r="37" spans="1:49" ht="15.75" customHeight="1" x14ac:dyDescent="0.2">
      <c r="A37" s="8" t="s">
        <v>280</v>
      </c>
      <c r="B37" s="3" t="s">
        <v>281</v>
      </c>
      <c r="C37" s="3"/>
      <c r="D37" s="9" t="s">
        <v>76</v>
      </c>
      <c r="E37" s="1">
        <v>7058248</v>
      </c>
      <c r="F37" s="1" t="s">
        <v>51</v>
      </c>
      <c r="I37" s="3">
        <f t="shared" si="0"/>
        <v>44</v>
      </c>
      <c r="J37" s="3">
        <f t="shared" si="1"/>
        <v>0</v>
      </c>
      <c r="K37" s="6">
        <v>0</v>
      </c>
      <c r="L37" s="1">
        <v>1</v>
      </c>
      <c r="M37" s="7">
        <v>44854</v>
      </c>
      <c r="N37" s="7">
        <v>28492</v>
      </c>
      <c r="O37" s="3" t="s">
        <v>177</v>
      </c>
      <c r="P37" s="1" t="s">
        <v>44</v>
      </c>
      <c r="Q37" s="1" t="s">
        <v>45</v>
      </c>
      <c r="S37" s="3" t="str">
        <f>S38</f>
        <v>Inconclusive</v>
      </c>
      <c r="Z37" s="1" t="s">
        <v>47</v>
      </c>
      <c r="AA37" s="1" t="s">
        <v>47</v>
      </c>
      <c r="AB37" s="1" t="s">
        <v>47</v>
      </c>
      <c r="AC37" s="1" t="s">
        <v>47</v>
      </c>
      <c r="AD37" s="1" t="s">
        <v>282</v>
      </c>
      <c r="AE37" s="1" t="s">
        <v>283</v>
      </c>
      <c r="AF37" s="1" t="s">
        <v>284</v>
      </c>
    </row>
    <row r="38" spans="1:49" ht="15.75" customHeight="1" x14ac:dyDescent="0.2">
      <c r="A38" s="8" t="s">
        <v>285</v>
      </c>
      <c r="B38" s="3" t="s">
        <v>286</v>
      </c>
      <c r="C38" s="3"/>
      <c r="D38" s="9" t="s">
        <v>76</v>
      </c>
      <c r="E38" s="1">
        <v>7027563</v>
      </c>
      <c r="I38" s="3">
        <f t="shared" si="0"/>
        <v>55</v>
      </c>
      <c r="J38" s="3">
        <f t="shared" si="1"/>
        <v>0</v>
      </c>
      <c r="K38" s="6">
        <v>0</v>
      </c>
      <c r="L38" s="1">
        <v>1</v>
      </c>
      <c r="M38" s="7">
        <v>44854</v>
      </c>
      <c r="N38" s="7">
        <v>24568</v>
      </c>
      <c r="O38" s="3" t="s">
        <v>151</v>
      </c>
      <c r="P38" s="1" t="s">
        <v>91</v>
      </c>
      <c r="Q38" s="1" t="s">
        <v>45</v>
      </c>
      <c r="S38" s="3" t="s">
        <v>92</v>
      </c>
      <c r="Z38" s="1" t="s">
        <v>47</v>
      </c>
      <c r="AA38" s="1" t="s">
        <v>142</v>
      </c>
      <c r="AB38" s="1" t="s">
        <v>287</v>
      </c>
      <c r="AC38" s="1" t="str">
        <f>AC30</f>
        <v xml:space="preserve">Normal </v>
      </c>
      <c r="AD38" s="1" t="s">
        <v>288</v>
      </c>
      <c r="AE38" s="1" t="s">
        <v>289</v>
      </c>
    </row>
    <row r="39" spans="1:49" ht="15.75" customHeight="1" x14ac:dyDescent="0.2">
      <c r="A39" s="8" t="s">
        <v>290</v>
      </c>
      <c r="B39" s="3" t="s">
        <v>291</v>
      </c>
      <c r="C39" s="3"/>
      <c r="D39" s="9" t="s">
        <v>76</v>
      </c>
      <c r="E39" s="1">
        <v>7060087</v>
      </c>
      <c r="F39" s="1" t="s">
        <v>51</v>
      </c>
      <c r="I39" s="3">
        <f t="shared" si="0"/>
        <v>54</v>
      </c>
      <c r="J39" s="3">
        <f t="shared" si="1"/>
        <v>0</v>
      </c>
      <c r="K39" s="6">
        <v>0</v>
      </c>
      <c r="L39" s="1">
        <v>1</v>
      </c>
      <c r="M39" s="7">
        <v>44860</v>
      </c>
      <c r="N39" s="7">
        <v>24988</v>
      </c>
      <c r="O39" s="3" t="s">
        <v>50</v>
      </c>
      <c r="P39" s="3" t="s">
        <v>44</v>
      </c>
      <c r="Q39" s="1" t="s">
        <v>45</v>
      </c>
      <c r="S39" s="3" t="s">
        <v>292</v>
      </c>
      <c r="U39" s="1" t="s">
        <v>58</v>
      </c>
      <c r="V39" s="1" t="s">
        <v>58</v>
      </c>
      <c r="W39" s="1" t="s">
        <v>58</v>
      </c>
      <c r="X39" s="1" t="s">
        <v>69</v>
      </c>
      <c r="Y39" s="1" t="s">
        <v>58</v>
      </c>
      <c r="Z39" s="1" t="s">
        <v>47</v>
      </c>
      <c r="AA39" s="1" t="s">
        <v>47</v>
      </c>
      <c r="AB39" s="1" t="s">
        <v>47</v>
      </c>
      <c r="AC39" s="1" t="s">
        <v>47</v>
      </c>
      <c r="AD39" s="1" t="s">
        <v>293</v>
      </c>
      <c r="AE39" s="1" t="s">
        <v>294</v>
      </c>
      <c r="AF39" s="1" t="s">
        <v>295</v>
      </c>
      <c r="AG39" s="1" t="s">
        <v>129</v>
      </c>
      <c r="AH39" s="1" t="s">
        <v>296</v>
      </c>
      <c r="AI39" s="1" t="s">
        <v>297</v>
      </c>
    </row>
    <row r="40" spans="1:49" ht="15.75" customHeight="1" x14ac:dyDescent="0.2">
      <c r="A40" s="8" t="s">
        <v>298</v>
      </c>
      <c r="B40" s="3" t="s">
        <v>299</v>
      </c>
      <c r="C40" s="3"/>
      <c r="D40" s="3" t="s">
        <v>42</v>
      </c>
      <c r="E40" s="1">
        <v>3084127</v>
      </c>
      <c r="I40" s="3">
        <f t="shared" si="0"/>
        <v>67</v>
      </c>
      <c r="J40" s="3">
        <f t="shared" si="1"/>
        <v>0</v>
      </c>
      <c r="K40" s="6">
        <v>0</v>
      </c>
      <c r="L40" s="1">
        <v>0</v>
      </c>
      <c r="M40" s="7">
        <v>44868</v>
      </c>
      <c r="N40" s="7">
        <v>20233</v>
      </c>
      <c r="O40" s="3" t="s">
        <v>99</v>
      </c>
      <c r="P40" s="1" t="s">
        <v>44</v>
      </c>
      <c r="Q40" s="1" t="s">
        <v>51</v>
      </c>
      <c r="S40" s="3" t="s">
        <v>47</v>
      </c>
      <c r="Z40" s="1" t="s">
        <v>47</v>
      </c>
      <c r="AA40" s="1" t="s">
        <v>47</v>
      </c>
      <c r="AB40" s="1" t="s">
        <v>47</v>
      </c>
      <c r="AC40" s="1" t="s">
        <v>47</v>
      </c>
      <c r="AD40" s="1" t="s">
        <v>300</v>
      </c>
      <c r="AE40" s="1" t="s">
        <v>301</v>
      </c>
    </row>
    <row r="41" spans="1:49" ht="15.75" customHeight="1" x14ac:dyDescent="0.2">
      <c r="A41" s="8" t="s">
        <v>302</v>
      </c>
      <c r="B41" s="3" t="s">
        <v>303</v>
      </c>
      <c r="C41" s="3"/>
      <c r="D41" s="3" t="s">
        <v>42</v>
      </c>
      <c r="E41" s="1">
        <v>7067001</v>
      </c>
      <c r="I41" s="3">
        <f t="shared" si="0"/>
        <v>18</v>
      </c>
      <c r="J41" s="3">
        <f t="shared" si="1"/>
        <v>1</v>
      </c>
      <c r="K41" s="6">
        <v>0</v>
      </c>
      <c r="L41" s="1">
        <v>0</v>
      </c>
      <c r="M41" s="7">
        <v>44872</v>
      </c>
      <c r="N41" s="7">
        <v>38100</v>
      </c>
      <c r="O41" s="3" t="s">
        <v>50</v>
      </c>
      <c r="P41" s="1" t="s">
        <v>221</v>
      </c>
      <c r="Q41" s="1" t="s">
        <v>304</v>
      </c>
      <c r="S41" s="3" t="s">
        <v>47</v>
      </c>
      <c r="Z41" s="1" t="s">
        <v>47</v>
      </c>
      <c r="AA41" s="1" t="s">
        <v>46</v>
      </c>
      <c r="AB41" s="1" t="s">
        <v>47</v>
      </c>
      <c r="AC41" s="1" t="s">
        <v>47</v>
      </c>
      <c r="AD41" s="1" t="s">
        <v>305</v>
      </c>
    </row>
    <row r="42" spans="1:49" ht="15.75" customHeight="1" x14ac:dyDescent="0.2">
      <c r="A42" s="8" t="s">
        <v>306</v>
      </c>
      <c r="B42" s="3" t="s">
        <v>307</v>
      </c>
      <c r="C42" s="3"/>
      <c r="D42" s="3" t="s">
        <v>42</v>
      </c>
      <c r="E42" s="1">
        <v>3751474</v>
      </c>
      <c r="F42" s="1" t="s">
        <v>51</v>
      </c>
      <c r="I42" s="3">
        <f t="shared" si="0"/>
        <v>56</v>
      </c>
      <c r="J42" s="3">
        <f t="shared" si="1"/>
        <v>0</v>
      </c>
      <c r="K42" s="6">
        <v>0</v>
      </c>
      <c r="L42" s="1">
        <v>1</v>
      </c>
      <c r="M42" s="7">
        <v>44886</v>
      </c>
      <c r="N42" s="7">
        <v>24217</v>
      </c>
      <c r="O42" s="3" t="s">
        <v>50</v>
      </c>
      <c r="P42" s="1" t="s">
        <v>44</v>
      </c>
      <c r="Q42" s="3" t="s">
        <v>45</v>
      </c>
      <c r="S42" s="3" t="s">
        <v>68</v>
      </c>
      <c r="Z42" s="1" t="s">
        <v>47</v>
      </c>
      <c r="AA42" s="1" t="s">
        <v>47</v>
      </c>
      <c r="AB42" s="1" t="s">
        <v>47</v>
      </c>
      <c r="AC42" s="1" t="s">
        <v>47</v>
      </c>
      <c r="AD42" s="1" t="s">
        <v>293</v>
      </c>
      <c r="AE42" s="1" t="s">
        <v>308</v>
      </c>
      <c r="AF42" s="1" t="s">
        <v>309</v>
      </c>
      <c r="AG42" s="1" t="s">
        <v>310</v>
      </c>
      <c r="AH42" s="1" t="s">
        <v>311</v>
      </c>
      <c r="AI42" s="1" t="s">
        <v>312</v>
      </c>
      <c r="AJ42" s="1" t="s">
        <v>313</v>
      </c>
    </row>
    <row r="43" spans="1:49" ht="15.75" customHeight="1" x14ac:dyDescent="0.2">
      <c r="A43" s="8" t="s">
        <v>314</v>
      </c>
      <c r="B43" s="3" t="s">
        <v>315</v>
      </c>
      <c r="C43" s="3"/>
      <c r="D43" s="9" t="s">
        <v>76</v>
      </c>
      <c r="E43" s="1">
        <v>7066032</v>
      </c>
      <c r="I43" s="3">
        <f t="shared" si="0"/>
        <v>82</v>
      </c>
      <c r="J43" s="3">
        <f t="shared" si="1"/>
        <v>0</v>
      </c>
      <c r="K43" s="6">
        <v>0</v>
      </c>
      <c r="L43" s="1">
        <v>1</v>
      </c>
      <c r="M43" s="7">
        <v>44888</v>
      </c>
      <c r="N43" s="7">
        <v>14610</v>
      </c>
      <c r="O43" s="3" t="s">
        <v>50</v>
      </c>
      <c r="P43" s="1" t="s">
        <v>67</v>
      </c>
      <c r="Q43" s="1" t="s">
        <v>45</v>
      </c>
      <c r="S43" s="3" t="s">
        <v>92</v>
      </c>
      <c r="U43" s="1" t="s">
        <v>58</v>
      </c>
      <c r="V43" s="1" t="s">
        <v>58</v>
      </c>
      <c r="W43" s="1" t="s">
        <v>58</v>
      </c>
      <c r="X43" s="1" t="s">
        <v>58</v>
      </c>
      <c r="Z43" s="1" t="s">
        <v>47</v>
      </c>
      <c r="AA43" s="1" t="s">
        <v>47</v>
      </c>
      <c r="AB43" s="1" t="s">
        <v>316</v>
      </c>
      <c r="AC43" s="1" t="s">
        <v>317</v>
      </c>
      <c r="AD43" s="1" t="s">
        <v>273</v>
      </c>
      <c r="AE43" s="1" t="s">
        <v>318</v>
      </c>
    </row>
    <row r="44" spans="1:49" ht="15.75" customHeight="1" x14ac:dyDescent="0.2">
      <c r="A44" s="8" t="s">
        <v>319</v>
      </c>
      <c r="B44" s="3" t="s">
        <v>320</v>
      </c>
      <c r="C44" s="3"/>
      <c r="D44" s="3" t="s">
        <v>42</v>
      </c>
      <c r="E44" s="1">
        <v>7046785</v>
      </c>
      <c r="F44" s="1" t="s">
        <v>51</v>
      </c>
      <c r="I44" s="3">
        <f t="shared" si="0"/>
        <v>29</v>
      </c>
      <c r="J44" s="3">
        <f t="shared" si="1"/>
        <v>1</v>
      </c>
      <c r="K44" s="6">
        <v>0</v>
      </c>
      <c r="L44" s="1">
        <v>1</v>
      </c>
      <c r="M44" s="7">
        <v>44888</v>
      </c>
      <c r="N44" s="7">
        <v>34072</v>
      </c>
      <c r="O44" s="3" t="s">
        <v>50</v>
      </c>
      <c r="P44" s="1" t="s">
        <v>67</v>
      </c>
      <c r="Q44" s="1" t="s">
        <v>45</v>
      </c>
      <c r="S44" s="3" t="s">
        <v>68</v>
      </c>
      <c r="U44" s="1" t="s">
        <v>69</v>
      </c>
      <c r="V44" s="1" t="s">
        <v>58</v>
      </c>
      <c r="W44" s="1" t="s">
        <v>69</v>
      </c>
      <c r="X44" s="1" t="s">
        <v>69</v>
      </c>
      <c r="Z44" s="1" t="s">
        <v>47</v>
      </c>
      <c r="AA44" s="1" t="s">
        <v>321</v>
      </c>
      <c r="AB44" s="1" t="s">
        <v>47</v>
      </c>
      <c r="AC44" s="1" t="s">
        <v>47</v>
      </c>
      <c r="AD44" s="1" t="s">
        <v>47</v>
      </c>
    </row>
    <row r="45" spans="1:49" ht="15.75" customHeight="1" x14ac:dyDescent="0.2">
      <c r="A45" s="8" t="s">
        <v>322</v>
      </c>
      <c r="B45" s="3" t="s">
        <v>323</v>
      </c>
      <c r="C45" s="3"/>
      <c r="D45" s="9" t="s">
        <v>76</v>
      </c>
      <c r="E45" s="1">
        <v>7074272</v>
      </c>
      <c r="F45" s="1" t="s">
        <v>51</v>
      </c>
      <c r="I45" s="3">
        <f t="shared" si="0"/>
        <v>54</v>
      </c>
      <c r="J45" s="3">
        <f t="shared" si="1"/>
        <v>0</v>
      </c>
      <c r="K45" s="6">
        <v>0</v>
      </c>
      <c r="L45" s="1">
        <v>1</v>
      </c>
      <c r="M45" s="7">
        <v>44893</v>
      </c>
      <c r="N45" s="7">
        <v>25068</v>
      </c>
      <c r="O45" s="3" t="s">
        <v>50</v>
      </c>
      <c r="P45" s="1" t="s">
        <v>44</v>
      </c>
      <c r="Q45" s="1" t="s">
        <v>45</v>
      </c>
      <c r="S45" s="3" t="s">
        <v>46</v>
      </c>
      <c r="U45" s="1" t="s">
        <v>58</v>
      </c>
      <c r="V45" s="1" t="s">
        <v>58</v>
      </c>
      <c r="W45" s="1" t="s">
        <v>58</v>
      </c>
      <c r="X45" s="1" t="s">
        <v>69</v>
      </c>
      <c r="Y45" s="1" t="s">
        <v>178</v>
      </c>
      <c r="Z45" s="1" t="s">
        <v>47</v>
      </c>
      <c r="AA45" s="1" t="s">
        <v>47</v>
      </c>
      <c r="AB45" s="1" t="s">
        <v>47</v>
      </c>
      <c r="AC45" s="1" t="s">
        <v>47</v>
      </c>
      <c r="AD45" s="1" t="s">
        <v>324</v>
      </c>
      <c r="AE45" s="1" t="s">
        <v>325</v>
      </c>
      <c r="AF45" s="1" t="s">
        <v>326</v>
      </c>
      <c r="AG45" s="1" t="s">
        <v>327</v>
      </c>
      <c r="AH45" s="1" t="s">
        <v>328</v>
      </c>
      <c r="AI45" s="1" t="s">
        <v>329</v>
      </c>
      <c r="AJ45" s="1" t="s">
        <v>330</v>
      </c>
      <c r="AK45" s="1" t="s">
        <v>331</v>
      </c>
      <c r="AL45" s="1" t="s">
        <v>332</v>
      </c>
      <c r="AM45" s="1" t="s">
        <v>333</v>
      </c>
      <c r="AN45" s="1" t="s">
        <v>334</v>
      </c>
      <c r="AO45" s="1" t="s">
        <v>335</v>
      </c>
      <c r="AP45" s="1" t="s">
        <v>336</v>
      </c>
      <c r="AQ45" s="1" t="s">
        <v>337</v>
      </c>
      <c r="AR45" s="1" t="s">
        <v>338</v>
      </c>
      <c r="AS45" s="1" t="s">
        <v>339</v>
      </c>
      <c r="AT45" s="1" t="s">
        <v>340</v>
      </c>
      <c r="AU45" s="1" t="s">
        <v>341</v>
      </c>
      <c r="AV45" s="1" t="s">
        <v>342</v>
      </c>
      <c r="AW45" s="1" t="s">
        <v>343</v>
      </c>
    </row>
    <row r="46" spans="1:49" ht="15.75" customHeight="1" x14ac:dyDescent="0.2">
      <c r="A46" s="8" t="s">
        <v>344</v>
      </c>
      <c r="B46" s="3" t="s">
        <v>345</v>
      </c>
      <c r="C46" s="3"/>
      <c r="D46" s="3" t="s">
        <v>42</v>
      </c>
      <c r="E46" s="1">
        <v>7066772</v>
      </c>
      <c r="I46" s="3">
        <f t="shared" si="0"/>
        <v>50</v>
      </c>
      <c r="J46" s="3">
        <f t="shared" si="1"/>
        <v>0</v>
      </c>
      <c r="K46" s="6">
        <v>0</v>
      </c>
      <c r="L46" s="1">
        <v>1</v>
      </c>
      <c r="M46" s="7">
        <v>44893</v>
      </c>
      <c r="N46" s="7">
        <v>26622</v>
      </c>
      <c r="O46" s="3" t="s">
        <v>50</v>
      </c>
      <c r="P46" s="1" t="s">
        <v>44</v>
      </c>
      <c r="Q46" s="1" t="s">
        <v>45</v>
      </c>
      <c r="S46" s="3" t="s">
        <v>46</v>
      </c>
      <c r="Z46" s="1" t="s">
        <v>47</v>
      </c>
      <c r="AA46" s="1" t="s">
        <v>47</v>
      </c>
      <c r="AB46" s="1" t="s">
        <v>47</v>
      </c>
      <c r="AC46" s="1" t="s">
        <v>47</v>
      </c>
      <c r="AD46" s="1" t="s">
        <v>346</v>
      </c>
      <c r="AE46" s="1" t="s">
        <v>347</v>
      </c>
      <c r="AF46" s="1" t="s">
        <v>348</v>
      </c>
      <c r="AG46" s="1" t="s">
        <v>349</v>
      </c>
      <c r="AH46" s="1" t="s">
        <v>256</v>
      </c>
      <c r="AI46" s="1" t="s">
        <v>350</v>
      </c>
    </row>
    <row r="47" spans="1:49" ht="15.75" customHeight="1" x14ac:dyDescent="0.2">
      <c r="A47" s="8" t="s">
        <v>351</v>
      </c>
      <c r="B47" s="3" t="s">
        <v>352</v>
      </c>
      <c r="C47" s="3"/>
      <c r="D47" s="3" t="s">
        <v>42</v>
      </c>
      <c r="E47" s="1">
        <v>4218617</v>
      </c>
      <c r="H47" s="1">
        <v>14</v>
      </c>
      <c r="I47" s="3">
        <f t="shared" si="0"/>
        <v>25</v>
      </c>
      <c r="J47" s="3">
        <f t="shared" si="1"/>
        <v>1</v>
      </c>
      <c r="K47" s="6">
        <v>1</v>
      </c>
      <c r="L47" s="1">
        <v>1</v>
      </c>
      <c r="M47" s="7">
        <v>44894</v>
      </c>
      <c r="N47" s="7">
        <v>35421</v>
      </c>
      <c r="O47" s="3" t="s">
        <v>50</v>
      </c>
      <c r="P47" s="1" t="s">
        <v>237</v>
      </c>
      <c r="Q47" s="1" t="s">
        <v>51</v>
      </c>
      <c r="S47" s="3" t="s">
        <v>47</v>
      </c>
      <c r="Z47" s="1" t="s">
        <v>47</v>
      </c>
      <c r="AA47" s="1" t="s">
        <v>142</v>
      </c>
      <c r="AB47" s="1" t="s">
        <v>47</v>
      </c>
      <c r="AC47" s="1" t="s">
        <v>47</v>
      </c>
      <c r="AD47" s="1" t="s">
        <v>353</v>
      </c>
      <c r="AE47" s="1" t="s">
        <v>354</v>
      </c>
    </row>
    <row r="48" spans="1:49" ht="15.75" customHeight="1" x14ac:dyDescent="0.2">
      <c r="A48" s="8" t="s">
        <v>355</v>
      </c>
      <c r="B48" s="3" t="s">
        <v>356</v>
      </c>
      <c r="C48" s="3"/>
      <c r="D48" s="9" t="s">
        <v>76</v>
      </c>
      <c r="E48" s="1">
        <v>3684515</v>
      </c>
      <c r="F48" s="1" t="s">
        <v>51</v>
      </c>
      <c r="H48" s="1">
        <v>37</v>
      </c>
      <c r="I48" s="3">
        <f t="shared" si="0"/>
        <v>51</v>
      </c>
      <c r="J48" s="3">
        <f t="shared" si="1"/>
        <v>0</v>
      </c>
      <c r="K48" s="6">
        <v>0</v>
      </c>
      <c r="L48" s="1">
        <v>1</v>
      </c>
      <c r="M48" s="7">
        <v>44900</v>
      </c>
      <c r="N48" s="7">
        <v>26270</v>
      </c>
      <c r="O48" s="3" t="s">
        <v>50</v>
      </c>
      <c r="P48" s="1" t="s">
        <v>166</v>
      </c>
      <c r="Q48" s="1" t="s">
        <v>51</v>
      </c>
      <c r="S48" s="3" t="s">
        <v>68</v>
      </c>
      <c r="U48" s="1" t="s">
        <v>69</v>
      </c>
      <c r="V48" s="1" t="s">
        <v>58</v>
      </c>
      <c r="W48" s="1" t="s">
        <v>58</v>
      </c>
      <c r="X48" s="1" t="s">
        <v>58</v>
      </c>
      <c r="Z48" s="1" t="s">
        <v>47</v>
      </c>
      <c r="AA48" s="1" t="s">
        <v>47</v>
      </c>
      <c r="AB48" s="1" t="s">
        <v>47</v>
      </c>
      <c r="AC48" s="1" t="s">
        <v>47</v>
      </c>
      <c r="AD48" s="1" t="s">
        <v>47</v>
      </c>
    </row>
    <row r="49" spans="1:35" ht="15.75" customHeight="1" x14ac:dyDescent="0.2">
      <c r="A49" s="8" t="s">
        <v>357</v>
      </c>
      <c r="B49" s="3" t="s">
        <v>358</v>
      </c>
      <c r="C49" s="3"/>
      <c r="D49" s="9" t="s">
        <v>76</v>
      </c>
      <c r="E49" s="1">
        <v>4060541</v>
      </c>
      <c r="H49" s="1">
        <v>12</v>
      </c>
      <c r="I49" s="3">
        <f t="shared" si="0"/>
        <v>28</v>
      </c>
      <c r="J49" s="3">
        <f t="shared" si="1"/>
        <v>1</v>
      </c>
      <c r="K49" s="6">
        <v>1</v>
      </c>
      <c r="L49" s="1">
        <v>1</v>
      </c>
      <c r="M49" s="7">
        <v>44910</v>
      </c>
      <c r="N49" s="7">
        <v>34556</v>
      </c>
      <c r="O49" s="3" t="s">
        <v>106</v>
      </c>
      <c r="P49" s="1" t="s">
        <v>359</v>
      </c>
      <c r="Q49" s="1" t="s">
        <v>45</v>
      </c>
      <c r="S49" s="3" t="s">
        <v>46</v>
      </c>
      <c r="U49" s="1" t="s">
        <v>58</v>
      </c>
      <c r="V49" s="1" t="s">
        <v>69</v>
      </c>
      <c r="W49" s="1" t="s">
        <v>58</v>
      </c>
      <c r="X49" s="1" t="s">
        <v>58</v>
      </c>
      <c r="Z49" s="1" t="s">
        <v>47</v>
      </c>
      <c r="AA49" s="1" t="s">
        <v>46</v>
      </c>
      <c r="AB49" s="1" t="s">
        <v>47</v>
      </c>
      <c r="AC49" s="1" t="s">
        <v>47</v>
      </c>
      <c r="AD49" s="1" t="s">
        <v>360</v>
      </c>
    </row>
    <row r="50" spans="1:35" ht="15.75" customHeight="1" x14ac:dyDescent="0.2">
      <c r="A50" s="8" t="s">
        <v>361</v>
      </c>
      <c r="B50" s="3" t="s">
        <v>362</v>
      </c>
      <c r="C50" s="3"/>
      <c r="D50" s="3" t="s">
        <v>42</v>
      </c>
      <c r="E50" s="12">
        <v>4473174</v>
      </c>
      <c r="F50" s="12"/>
      <c r="I50" s="3">
        <f t="shared" si="0"/>
        <v>23</v>
      </c>
      <c r="J50" s="3">
        <f t="shared" si="1"/>
        <v>1</v>
      </c>
      <c r="K50" s="6">
        <v>0</v>
      </c>
      <c r="L50" s="1">
        <v>1</v>
      </c>
      <c r="M50" s="7">
        <v>44915</v>
      </c>
      <c r="N50" s="7">
        <v>36297</v>
      </c>
      <c r="O50" s="3" t="s">
        <v>50</v>
      </c>
      <c r="P50" s="1" t="s">
        <v>67</v>
      </c>
      <c r="Q50" s="1" t="s">
        <v>45</v>
      </c>
      <c r="S50" s="3" t="s">
        <v>46</v>
      </c>
      <c r="Z50" s="1" t="s">
        <v>47</v>
      </c>
      <c r="AA50" s="1" t="s">
        <v>142</v>
      </c>
      <c r="AB50" s="1" t="s">
        <v>47</v>
      </c>
      <c r="AC50" s="1" t="s">
        <v>47</v>
      </c>
      <c r="AD50" s="1" t="s">
        <v>363</v>
      </c>
      <c r="AE50" s="1" t="s">
        <v>364</v>
      </c>
      <c r="AF50" s="1" t="s">
        <v>365</v>
      </c>
    </row>
    <row r="51" spans="1:35" ht="15.75" customHeight="1" x14ac:dyDescent="0.2">
      <c r="A51" s="8" t="s">
        <v>366</v>
      </c>
      <c r="B51" s="3" t="s">
        <v>367</v>
      </c>
      <c r="C51" s="3"/>
      <c r="D51" s="9" t="s">
        <v>76</v>
      </c>
      <c r="E51" s="1">
        <v>7046849</v>
      </c>
      <c r="F51" s="1" t="s">
        <v>51</v>
      </c>
      <c r="I51" s="3">
        <f t="shared" si="0"/>
        <v>67</v>
      </c>
      <c r="J51" s="3">
        <f t="shared" si="1"/>
        <v>0</v>
      </c>
      <c r="K51" s="6">
        <v>0</v>
      </c>
      <c r="L51" s="1">
        <v>1</v>
      </c>
      <c r="M51" s="7">
        <v>44915</v>
      </c>
      <c r="N51" s="7">
        <v>20312</v>
      </c>
      <c r="O51" s="3" t="s">
        <v>50</v>
      </c>
      <c r="P51" s="1" t="s">
        <v>44</v>
      </c>
      <c r="Q51" s="1" t="s">
        <v>45</v>
      </c>
      <c r="S51" s="3" t="s">
        <v>46</v>
      </c>
      <c r="U51" s="1" t="s">
        <v>58</v>
      </c>
      <c r="V51" s="1" t="s">
        <v>58</v>
      </c>
      <c r="W51" s="1" t="s">
        <v>58</v>
      </c>
      <c r="X51" s="1" t="s">
        <v>58</v>
      </c>
      <c r="Z51" s="1" t="s">
        <v>142</v>
      </c>
      <c r="AA51" s="1" t="s">
        <v>142</v>
      </c>
      <c r="AB51" s="1" t="s">
        <v>47</v>
      </c>
      <c r="AC51" s="1" t="s">
        <v>47</v>
      </c>
      <c r="AD51" s="1" t="s">
        <v>368</v>
      </c>
      <c r="AE51" s="1" t="s">
        <v>369</v>
      </c>
      <c r="AF51" s="1" t="s">
        <v>370</v>
      </c>
    </row>
    <row r="52" spans="1:35" ht="15.75" customHeight="1" x14ac:dyDescent="0.2">
      <c r="A52" s="8" t="s">
        <v>371</v>
      </c>
      <c r="B52" s="3" t="s">
        <v>372</v>
      </c>
      <c r="C52" s="3"/>
      <c r="D52" s="3" t="s">
        <v>42</v>
      </c>
      <c r="E52" s="1">
        <v>3718378</v>
      </c>
      <c r="F52" s="1" t="s">
        <v>51</v>
      </c>
      <c r="I52" s="3">
        <f t="shared" si="0"/>
        <v>52</v>
      </c>
      <c r="J52" s="3">
        <f t="shared" si="1"/>
        <v>0</v>
      </c>
      <c r="K52" s="6">
        <v>0</v>
      </c>
      <c r="L52" s="1">
        <v>1</v>
      </c>
      <c r="M52" s="7">
        <v>44925</v>
      </c>
      <c r="N52" s="7">
        <v>25688</v>
      </c>
      <c r="O52" s="3" t="s">
        <v>373</v>
      </c>
      <c r="P52" s="1" t="s">
        <v>44</v>
      </c>
      <c r="Q52" s="1" t="s">
        <v>45</v>
      </c>
      <c r="S52" s="3" t="s">
        <v>68</v>
      </c>
      <c r="Z52" s="1" t="s">
        <v>47</v>
      </c>
      <c r="AA52" s="1" t="s">
        <v>47</v>
      </c>
      <c r="AB52" s="1" t="s">
        <v>47</v>
      </c>
      <c r="AC52" s="1" t="s">
        <v>47</v>
      </c>
      <c r="AD52" s="1" t="s">
        <v>374</v>
      </c>
      <c r="AE52" s="1" t="s">
        <v>375</v>
      </c>
      <c r="AF52" s="1" t="s">
        <v>376</v>
      </c>
    </row>
    <row r="53" spans="1:35" ht="15.75" customHeight="1" x14ac:dyDescent="0.2">
      <c r="A53" s="13" t="s">
        <v>377</v>
      </c>
      <c r="B53" s="3" t="s">
        <v>378</v>
      </c>
      <c r="C53" s="9" t="s">
        <v>76</v>
      </c>
      <c r="D53" s="9" t="s">
        <v>76</v>
      </c>
      <c r="E53" s="3">
        <v>3264381</v>
      </c>
      <c r="F53" s="3"/>
      <c r="G53" s="3"/>
      <c r="H53" s="3"/>
      <c r="I53" s="3">
        <f t="shared" si="0"/>
        <v>44</v>
      </c>
      <c r="J53" s="3">
        <f t="shared" si="1"/>
        <v>0</v>
      </c>
      <c r="K53" s="3">
        <v>0</v>
      </c>
      <c r="L53" s="3">
        <v>1</v>
      </c>
      <c r="M53" s="7">
        <v>45092</v>
      </c>
      <c r="N53" s="7">
        <v>28813</v>
      </c>
      <c r="O53" s="3" t="s">
        <v>50</v>
      </c>
      <c r="P53" s="3" t="s">
        <v>166</v>
      </c>
      <c r="Q53" s="3" t="s">
        <v>51</v>
      </c>
      <c r="S53" s="3" t="s">
        <v>68</v>
      </c>
      <c r="Z53" s="1" t="s">
        <v>379</v>
      </c>
      <c r="AA53" s="1" t="s">
        <v>47</v>
      </c>
      <c r="AB53" s="1" t="s">
        <v>47</v>
      </c>
      <c r="AC53" s="1" t="s">
        <v>47</v>
      </c>
      <c r="AD53" s="1" t="s">
        <v>47</v>
      </c>
    </row>
    <row r="54" spans="1:35" ht="15.75" customHeight="1" x14ac:dyDescent="0.2">
      <c r="A54" s="8" t="s">
        <v>380</v>
      </c>
      <c r="B54" s="3" t="s">
        <v>381</v>
      </c>
      <c r="C54" s="9" t="s">
        <v>76</v>
      </c>
      <c r="D54" s="9" t="s">
        <v>76</v>
      </c>
      <c r="E54" s="1">
        <v>1246262</v>
      </c>
      <c r="F54" s="1" t="s">
        <v>51</v>
      </c>
      <c r="H54" s="10"/>
      <c r="I54" s="3">
        <f t="shared" si="0"/>
        <v>57</v>
      </c>
      <c r="J54" s="3">
        <f t="shared" si="1"/>
        <v>0</v>
      </c>
      <c r="K54" s="6">
        <v>0</v>
      </c>
      <c r="L54" s="1">
        <v>1</v>
      </c>
      <c r="M54" s="7">
        <v>44657</v>
      </c>
      <c r="N54" s="7">
        <v>23559</v>
      </c>
      <c r="O54" s="3" t="s">
        <v>106</v>
      </c>
      <c r="P54" s="1" t="s">
        <v>91</v>
      </c>
      <c r="Q54" s="1" t="s">
        <v>45</v>
      </c>
      <c r="S54" s="3" t="s">
        <v>46</v>
      </c>
      <c r="Z54" s="1" t="s">
        <v>47</v>
      </c>
      <c r="AA54" s="1" t="s">
        <v>47</v>
      </c>
      <c r="AB54" s="1" t="s">
        <v>47</v>
      </c>
      <c r="AC54" s="1" t="s">
        <v>47</v>
      </c>
      <c r="AD54" s="1" t="s">
        <v>293</v>
      </c>
      <c r="AE54" s="1" t="s">
        <v>382</v>
      </c>
      <c r="AF54" s="1" t="s">
        <v>383</v>
      </c>
      <c r="AG54" s="1" t="s">
        <v>384</v>
      </c>
    </row>
    <row r="55" spans="1:35" ht="15.75" customHeight="1" x14ac:dyDescent="0.2">
      <c r="A55" s="8" t="s">
        <v>385</v>
      </c>
      <c r="B55" s="3" t="s">
        <v>386</v>
      </c>
      <c r="C55" s="9" t="s">
        <v>76</v>
      </c>
      <c r="D55" s="9" t="s">
        <v>76</v>
      </c>
      <c r="E55" s="1">
        <v>3379326</v>
      </c>
      <c r="H55" s="1">
        <v>16</v>
      </c>
      <c r="I55" s="3">
        <f t="shared" si="0"/>
        <v>44</v>
      </c>
      <c r="J55" s="3">
        <f t="shared" si="1"/>
        <v>0</v>
      </c>
      <c r="K55" s="6">
        <v>1</v>
      </c>
      <c r="L55" s="1">
        <v>0</v>
      </c>
      <c r="M55" s="7">
        <v>44672</v>
      </c>
      <c r="N55" s="7">
        <v>28595</v>
      </c>
      <c r="O55" s="3" t="s">
        <v>177</v>
      </c>
      <c r="P55" s="1" t="s">
        <v>221</v>
      </c>
      <c r="Q55" s="1" t="s">
        <v>51</v>
      </c>
      <c r="S55" s="3" t="s">
        <v>46</v>
      </c>
      <c r="Z55" s="1" t="s">
        <v>47</v>
      </c>
      <c r="AA55" s="1" t="s">
        <v>47</v>
      </c>
      <c r="AB55" s="1" t="s">
        <v>47</v>
      </c>
      <c r="AC55" s="1" t="s">
        <v>47</v>
      </c>
      <c r="AD55" s="1" t="s">
        <v>60</v>
      </c>
    </row>
    <row r="56" spans="1:35" ht="15.75" customHeight="1" x14ac:dyDescent="0.2">
      <c r="A56" s="8" t="s">
        <v>387</v>
      </c>
      <c r="B56" s="3" t="s">
        <v>388</v>
      </c>
      <c r="C56" s="9" t="s">
        <v>76</v>
      </c>
      <c r="D56" s="9" t="s">
        <v>76</v>
      </c>
      <c r="E56" s="1">
        <v>3735490</v>
      </c>
      <c r="I56" s="3">
        <f t="shared" si="0"/>
        <v>62</v>
      </c>
      <c r="J56" s="3">
        <f t="shared" si="1"/>
        <v>0</v>
      </c>
      <c r="K56" s="6">
        <v>0</v>
      </c>
      <c r="L56" s="1">
        <v>1</v>
      </c>
      <c r="M56" s="7">
        <v>44679</v>
      </c>
      <c r="N56" s="7">
        <v>21744</v>
      </c>
      <c r="O56" s="3" t="s">
        <v>50</v>
      </c>
      <c r="P56" s="1" t="s">
        <v>91</v>
      </c>
      <c r="Q56" s="1" t="s">
        <v>45</v>
      </c>
      <c r="S56" s="3" t="s">
        <v>68</v>
      </c>
      <c r="Z56" s="1" t="s">
        <v>47</v>
      </c>
      <c r="AA56" s="1" t="s">
        <v>47</v>
      </c>
      <c r="AB56" s="1" t="s">
        <v>389</v>
      </c>
      <c r="AC56" s="1" t="s">
        <v>390</v>
      </c>
      <c r="AD56" s="1" t="s">
        <v>282</v>
      </c>
      <c r="AE56" s="1" t="s">
        <v>391</v>
      </c>
      <c r="AF56" s="1" t="s">
        <v>392</v>
      </c>
      <c r="AG56" s="1" t="s">
        <v>393</v>
      </c>
    </row>
    <row r="57" spans="1:35" ht="15.75" customHeight="1" x14ac:dyDescent="0.2">
      <c r="A57" s="8" t="s">
        <v>394</v>
      </c>
      <c r="B57" s="3" t="s">
        <v>395</v>
      </c>
      <c r="C57" s="9" t="s">
        <v>76</v>
      </c>
      <c r="D57" s="9" t="s">
        <v>76</v>
      </c>
      <c r="E57" s="1">
        <v>4967014</v>
      </c>
      <c r="I57" s="3">
        <f t="shared" si="0"/>
        <v>46</v>
      </c>
      <c r="J57" s="3">
        <f t="shared" si="1"/>
        <v>0</v>
      </c>
      <c r="K57" s="6">
        <v>0</v>
      </c>
      <c r="L57" s="1">
        <v>1</v>
      </c>
      <c r="M57" s="7">
        <v>44684</v>
      </c>
      <c r="N57" s="7">
        <v>27597</v>
      </c>
      <c r="O57" s="3" t="s">
        <v>50</v>
      </c>
      <c r="P57" s="1" t="s">
        <v>44</v>
      </c>
      <c r="Q57" s="1" t="s">
        <v>45</v>
      </c>
      <c r="S57" s="3" t="s">
        <v>46</v>
      </c>
      <c r="Z57" s="1" t="s">
        <v>47</v>
      </c>
      <c r="AA57" s="1" t="s">
        <v>396</v>
      </c>
      <c r="AB57" s="1" t="s">
        <v>397</v>
      </c>
      <c r="AC57" s="1" t="s">
        <v>398</v>
      </c>
      <c r="AD57" s="1" t="s">
        <v>282</v>
      </c>
      <c r="AE57" s="1" t="s">
        <v>399</v>
      </c>
    </row>
    <row r="58" spans="1:35" ht="15.75" customHeight="1" x14ac:dyDescent="0.2">
      <c r="A58" s="8" t="s">
        <v>400</v>
      </c>
      <c r="B58" s="3" t="s">
        <v>401</v>
      </c>
      <c r="C58" s="9" t="s">
        <v>76</v>
      </c>
      <c r="D58" s="9" t="s">
        <v>76</v>
      </c>
      <c r="E58" s="1">
        <v>3659450</v>
      </c>
      <c r="H58" s="1">
        <v>23</v>
      </c>
      <c r="I58" s="3">
        <f t="shared" si="0"/>
        <v>38</v>
      </c>
      <c r="J58" s="3">
        <f t="shared" si="1"/>
        <v>1</v>
      </c>
      <c r="K58" s="6">
        <v>0</v>
      </c>
      <c r="L58" s="1">
        <v>1</v>
      </c>
      <c r="M58" s="7">
        <v>44685</v>
      </c>
      <c r="N58" s="7">
        <v>30560</v>
      </c>
      <c r="O58" s="3" t="s">
        <v>50</v>
      </c>
      <c r="P58" s="1" t="s">
        <v>44</v>
      </c>
      <c r="Q58" s="1" t="s">
        <v>51</v>
      </c>
      <c r="R58" s="14"/>
      <c r="S58" s="3" t="s">
        <v>68</v>
      </c>
      <c r="Z58" s="1" t="s">
        <v>47</v>
      </c>
      <c r="AA58" s="1" t="s">
        <v>47</v>
      </c>
      <c r="AB58" s="1" t="s">
        <v>47</v>
      </c>
      <c r="AC58" s="1" t="s">
        <v>47</v>
      </c>
      <c r="AD58" s="1" t="s">
        <v>402</v>
      </c>
      <c r="AE58" s="1" t="s">
        <v>403</v>
      </c>
      <c r="AF58" s="1" t="s">
        <v>404</v>
      </c>
      <c r="AG58" s="1" t="s">
        <v>405</v>
      </c>
    </row>
    <row r="59" spans="1:35" ht="15.75" customHeight="1" x14ac:dyDescent="0.2">
      <c r="A59" s="8" t="s">
        <v>406</v>
      </c>
      <c r="B59" s="3" t="s">
        <v>407</v>
      </c>
      <c r="C59" s="9" t="s">
        <v>76</v>
      </c>
      <c r="D59" s="9" t="s">
        <v>76</v>
      </c>
      <c r="E59" s="1">
        <v>3159825</v>
      </c>
      <c r="H59" s="1">
        <v>23</v>
      </c>
      <c r="I59" s="3">
        <f t="shared" si="0"/>
        <v>42</v>
      </c>
      <c r="J59" s="3">
        <f t="shared" si="1"/>
        <v>0</v>
      </c>
      <c r="K59" s="6">
        <v>0</v>
      </c>
      <c r="L59" s="1">
        <v>1</v>
      </c>
      <c r="M59" s="7">
        <v>44692</v>
      </c>
      <c r="N59" s="7">
        <v>29198</v>
      </c>
      <c r="O59" s="3" t="s">
        <v>50</v>
      </c>
      <c r="P59" s="1" t="s">
        <v>166</v>
      </c>
      <c r="Q59" s="1" t="s">
        <v>51</v>
      </c>
      <c r="S59" s="3" t="s">
        <v>68</v>
      </c>
      <c r="Z59" s="1" t="s">
        <v>408</v>
      </c>
      <c r="AA59" s="1" t="s">
        <v>47</v>
      </c>
      <c r="AB59" s="1" t="s">
        <v>47</v>
      </c>
      <c r="AC59" s="1" t="s">
        <v>47</v>
      </c>
      <c r="AD59" s="1" t="s">
        <v>409</v>
      </c>
      <c r="AE59" s="1" t="s">
        <v>410</v>
      </c>
      <c r="AF59" s="1" t="s">
        <v>411</v>
      </c>
    </row>
    <row r="60" spans="1:35" ht="15.75" customHeight="1" x14ac:dyDescent="0.2">
      <c r="A60" s="8" t="s">
        <v>412</v>
      </c>
      <c r="B60" s="3" t="s">
        <v>413</v>
      </c>
      <c r="C60" s="9" t="s">
        <v>76</v>
      </c>
      <c r="D60" s="9" t="s">
        <v>76</v>
      </c>
      <c r="E60" s="1">
        <v>4968192</v>
      </c>
      <c r="I60" s="3">
        <f t="shared" si="0"/>
        <v>51</v>
      </c>
      <c r="J60" s="3">
        <f t="shared" si="1"/>
        <v>0</v>
      </c>
      <c r="K60" s="6">
        <v>0</v>
      </c>
      <c r="L60" s="1">
        <v>1</v>
      </c>
      <c r="M60" s="7">
        <v>44693</v>
      </c>
      <c r="N60" s="7">
        <v>25808</v>
      </c>
      <c r="O60" s="3" t="s">
        <v>43</v>
      </c>
      <c r="P60" s="1" t="s">
        <v>44</v>
      </c>
      <c r="Q60" s="1" t="s">
        <v>45</v>
      </c>
      <c r="S60" s="3" t="s">
        <v>68</v>
      </c>
      <c r="Z60" s="1" t="s">
        <v>47</v>
      </c>
      <c r="AA60" s="1" t="s">
        <v>47</v>
      </c>
      <c r="AB60" s="1" t="s">
        <v>47</v>
      </c>
      <c r="AC60" s="1" t="s">
        <v>47</v>
      </c>
      <c r="AD60" s="1" t="s">
        <v>414</v>
      </c>
      <c r="AE60" s="1" t="s">
        <v>415</v>
      </c>
    </row>
    <row r="61" spans="1:35" ht="15.75" customHeight="1" x14ac:dyDescent="0.2">
      <c r="A61" s="8" t="s">
        <v>416</v>
      </c>
      <c r="B61" s="3" t="s">
        <v>417</v>
      </c>
      <c r="C61" s="9" t="s">
        <v>76</v>
      </c>
      <c r="D61" s="9" t="s">
        <v>76</v>
      </c>
      <c r="E61" s="1">
        <v>2895153</v>
      </c>
      <c r="I61" s="3">
        <f t="shared" si="0"/>
        <v>29</v>
      </c>
      <c r="J61" s="3">
        <f t="shared" si="1"/>
        <v>1</v>
      </c>
      <c r="K61" s="6">
        <v>0</v>
      </c>
      <c r="L61" s="1">
        <v>1</v>
      </c>
      <c r="M61" s="7">
        <v>44694</v>
      </c>
      <c r="N61" s="7">
        <v>33742</v>
      </c>
      <c r="O61" s="3" t="s">
        <v>99</v>
      </c>
      <c r="P61" s="1" t="s">
        <v>44</v>
      </c>
      <c r="Q61" s="1" t="s">
        <v>45</v>
      </c>
      <c r="S61" s="3" t="s">
        <v>92</v>
      </c>
      <c r="Z61" s="1" t="s">
        <v>47</v>
      </c>
      <c r="AA61" s="1" t="s">
        <v>418</v>
      </c>
      <c r="AB61" s="1" t="s">
        <v>47</v>
      </c>
      <c r="AC61" s="1" t="s">
        <v>47</v>
      </c>
      <c r="AD61" s="1" t="s">
        <v>419</v>
      </c>
    </row>
    <row r="62" spans="1:35" ht="15.75" customHeight="1" x14ac:dyDescent="0.2">
      <c r="A62" s="8" t="s">
        <v>420</v>
      </c>
      <c r="B62" s="3" t="s">
        <v>421</v>
      </c>
      <c r="C62" s="9" t="s">
        <v>76</v>
      </c>
      <c r="D62" s="9" t="s">
        <v>76</v>
      </c>
      <c r="E62" s="1">
        <v>4718745</v>
      </c>
      <c r="H62" s="10" t="s">
        <v>422</v>
      </c>
      <c r="I62" s="3">
        <f t="shared" si="0"/>
        <v>22</v>
      </c>
      <c r="J62" s="3">
        <f t="shared" si="1"/>
        <v>1</v>
      </c>
      <c r="K62" s="6">
        <v>1</v>
      </c>
      <c r="L62" s="1">
        <v>1</v>
      </c>
      <c r="M62" s="7">
        <v>44697</v>
      </c>
      <c r="N62" s="7">
        <v>36512</v>
      </c>
      <c r="O62" s="3" t="s">
        <v>50</v>
      </c>
      <c r="P62" s="1" t="s">
        <v>77</v>
      </c>
      <c r="Q62" s="1" t="s">
        <v>45</v>
      </c>
      <c r="S62" s="3" t="s">
        <v>68</v>
      </c>
      <c r="Z62" s="1" t="s">
        <v>423</v>
      </c>
      <c r="AA62" s="1" t="s">
        <v>424</v>
      </c>
      <c r="AB62" s="1" t="s">
        <v>47</v>
      </c>
      <c r="AC62" s="1" t="s">
        <v>47</v>
      </c>
      <c r="AD62" s="1" t="s">
        <v>47</v>
      </c>
    </row>
    <row r="63" spans="1:35" ht="15.75" customHeight="1" x14ac:dyDescent="0.2">
      <c r="A63" s="8" t="s">
        <v>425</v>
      </c>
      <c r="B63" s="3" t="s">
        <v>426</v>
      </c>
      <c r="C63" s="9" t="s">
        <v>76</v>
      </c>
      <c r="D63" s="9" t="s">
        <v>76</v>
      </c>
      <c r="E63" s="1">
        <v>4262525</v>
      </c>
      <c r="F63" s="1" t="s">
        <v>51</v>
      </c>
      <c r="H63" s="10">
        <v>25</v>
      </c>
      <c r="I63" s="3">
        <f t="shared" si="0"/>
        <v>36</v>
      </c>
      <c r="J63" s="3">
        <f t="shared" si="1"/>
        <v>1</v>
      </c>
      <c r="K63" s="6">
        <v>0</v>
      </c>
      <c r="L63" s="1">
        <v>1</v>
      </c>
      <c r="M63" s="7">
        <v>44698</v>
      </c>
      <c r="N63" s="7">
        <v>31215</v>
      </c>
      <c r="O63" s="3" t="s">
        <v>50</v>
      </c>
      <c r="P63" s="1" t="s">
        <v>44</v>
      </c>
      <c r="Q63" s="1" t="s">
        <v>51</v>
      </c>
      <c r="S63" s="3" t="s">
        <v>68</v>
      </c>
      <c r="Z63" s="1" t="s">
        <v>47</v>
      </c>
      <c r="AA63" s="1" t="s">
        <v>47</v>
      </c>
      <c r="AB63" s="1" t="s">
        <v>47</v>
      </c>
      <c r="AC63" s="1" t="s">
        <v>47</v>
      </c>
      <c r="AD63" s="1" t="s">
        <v>427</v>
      </c>
      <c r="AE63" s="1" t="s">
        <v>428</v>
      </c>
      <c r="AF63" s="1" t="s">
        <v>429</v>
      </c>
    </row>
    <row r="64" spans="1:35" ht="15.75" customHeight="1" x14ac:dyDescent="0.2">
      <c r="A64" s="8" t="s">
        <v>430</v>
      </c>
      <c r="B64" s="3" t="s">
        <v>431</v>
      </c>
      <c r="C64" s="9" t="s">
        <v>76</v>
      </c>
      <c r="D64" s="9" t="s">
        <v>76</v>
      </c>
      <c r="E64" s="1">
        <v>4309381</v>
      </c>
      <c r="H64" s="1">
        <v>29</v>
      </c>
      <c r="I64" s="3">
        <f t="shared" si="0"/>
        <v>35</v>
      </c>
      <c r="J64" s="3">
        <f t="shared" si="1"/>
        <v>1</v>
      </c>
      <c r="K64" s="6">
        <v>0</v>
      </c>
      <c r="L64" s="1">
        <v>1</v>
      </c>
      <c r="M64" s="7">
        <v>44700</v>
      </c>
      <c r="N64" s="7">
        <v>31906</v>
      </c>
      <c r="O64" s="3" t="s">
        <v>106</v>
      </c>
      <c r="P64" s="1" t="s">
        <v>44</v>
      </c>
      <c r="Q64" s="1" t="s">
        <v>51</v>
      </c>
      <c r="S64" s="3" t="s">
        <v>92</v>
      </c>
      <c r="Z64" s="1" t="s">
        <v>432</v>
      </c>
      <c r="AA64" s="1" t="s">
        <v>47</v>
      </c>
      <c r="AB64" s="1" t="s">
        <v>47</v>
      </c>
      <c r="AC64" s="1" t="s">
        <v>47</v>
      </c>
      <c r="AD64" s="1" t="s">
        <v>433</v>
      </c>
      <c r="AE64" s="1" t="s">
        <v>347</v>
      </c>
      <c r="AF64" s="1" t="s">
        <v>434</v>
      </c>
      <c r="AG64" s="1" t="s">
        <v>435</v>
      </c>
      <c r="AH64" s="1" t="s">
        <v>436</v>
      </c>
      <c r="AI64" s="1" t="s">
        <v>437</v>
      </c>
    </row>
    <row r="65" spans="1:35" ht="15.75" customHeight="1" x14ac:dyDescent="0.2">
      <c r="A65" s="8" t="s">
        <v>438</v>
      </c>
      <c r="B65" s="3" t="s">
        <v>439</v>
      </c>
      <c r="C65" s="9" t="s">
        <v>76</v>
      </c>
      <c r="D65" s="9" t="s">
        <v>76</v>
      </c>
      <c r="E65" s="1">
        <v>4972288</v>
      </c>
      <c r="I65" s="3">
        <f t="shared" si="0"/>
        <v>56</v>
      </c>
      <c r="J65" s="3">
        <f t="shared" si="1"/>
        <v>0</v>
      </c>
      <c r="K65" s="6">
        <v>0</v>
      </c>
      <c r="L65" s="1">
        <v>1</v>
      </c>
      <c r="M65" s="7">
        <v>44707</v>
      </c>
      <c r="N65" s="7">
        <v>24065</v>
      </c>
      <c r="O65" s="3" t="s">
        <v>106</v>
      </c>
      <c r="P65" s="1" t="s">
        <v>44</v>
      </c>
      <c r="Q65" s="3" t="s">
        <v>45</v>
      </c>
      <c r="S65" s="3" t="s">
        <v>46</v>
      </c>
      <c r="Z65" s="1" t="s">
        <v>47</v>
      </c>
      <c r="AA65" s="1" t="s">
        <v>47</v>
      </c>
      <c r="AB65" s="1" t="s">
        <v>47</v>
      </c>
      <c r="AC65" s="1" t="s">
        <v>47</v>
      </c>
      <c r="AD65" s="1" t="s">
        <v>347</v>
      </c>
      <c r="AE65" s="1" t="s">
        <v>440</v>
      </c>
      <c r="AF65" s="1" t="s">
        <v>441</v>
      </c>
      <c r="AG65" s="1" t="s">
        <v>442</v>
      </c>
    </row>
    <row r="66" spans="1:35" ht="15.75" customHeight="1" x14ac:dyDescent="0.2">
      <c r="A66" s="8" t="s">
        <v>443</v>
      </c>
      <c r="B66" s="3" t="s">
        <v>444</v>
      </c>
      <c r="C66" s="9" t="s">
        <v>76</v>
      </c>
      <c r="D66" s="9" t="s">
        <v>76</v>
      </c>
      <c r="E66" s="1">
        <v>4464122</v>
      </c>
      <c r="I66" s="3">
        <f t="shared" si="0"/>
        <v>78</v>
      </c>
      <c r="J66" s="3">
        <f t="shared" si="1"/>
        <v>0</v>
      </c>
      <c r="K66" s="6">
        <v>0</v>
      </c>
      <c r="L66" s="1">
        <v>1</v>
      </c>
      <c r="M66" s="7">
        <v>44719</v>
      </c>
      <c r="N66" s="7">
        <v>15961</v>
      </c>
      <c r="O66" s="3" t="s">
        <v>106</v>
      </c>
      <c r="P66" s="1" t="s">
        <v>44</v>
      </c>
      <c r="Q66" s="3" t="s">
        <v>45</v>
      </c>
      <c r="S66" s="3" t="s">
        <v>46</v>
      </c>
      <c r="Z66" s="1" t="s">
        <v>47</v>
      </c>
      <c r="AA66" s="1" t="s">
        <v>142</v>
      </c>
      <c r="AB66" s="1" t="s">
        <v>445</v>
      </c>
      <c r="AC66" s="1" t="s">
        <v>243</v>
      </c>
      <c r="AD66" s="1" t="s">
        <v>446</v>
      </c>
      <c r="AE66" s="1" t="s">
        <v>283</v>
      </c>
      <c r="AF66" s="1" t="s">
        <v>447</v>
      </c>
    </row>
    <row r="67" spans="1:35" ht="15.75" customHeight="1" x14ac:dyDescent="0.2">
      <c r="A67" s="8" t="s">
        <v>448</v>
      </c>
      <c r="B67" s="3" t="s">
        <v>449</v>
      </c>
      <c r="C67" s="9" t="s">
        <v>76</v>
      </c>
      <c r="D67" s="9" t="s">
        <v>76</v>
      </c>
      <c r="E67" s="1">
        <v>4880585</v>
      </c>
      <c r="I67" s="3">
        <f t="shared" si="0"/>
        <v>68</v>
      </c>
      <c r="J67" s="3">
        <f t="shared" si="1"/>
        <v>0</v>
      </c>
      <c r="K67" s="6">
        <v>0</v>
      </c>
      <c r="L67" s="1">
        <v>1</v>
      </c>
      <c r="M67" s="7">
        <v>44754</v>
      </c>
      <c r="N67" s="7">
        <v>19699</v>
      </c>
      <c r="O67" s="3" t="s">
        <v>106</v>
      </c>
      <c r="P67" s="1" t="s">
        <v>44</v>
      </c>
      <c r="Q67" s="3" t="s">
        <v>45</v>
      </c>
      <c r="S67" s="3" t="s">
        <v>46</v>
      </c>
      <c r="Z67" s="1" t="s">
        <v>47</v>
      </c>
      <c r="AA67" s="1" t="s">
        <v>47</v>
      </c>
      <c r="AB67" s="1">
        <v>7</v>
      </c>
      <c r="AC67" s="1">
        <v>-10</v>
      </c>
      <c r="AD67" s="1" t="s">
        <v>450</v>
      </c>
      <c r="AE67" s="1" t="s">
        <v>451</v>
      </c>
    </row>
    <row r="68" spans="1:35" ht="15.75" customHeight="1" x14ac:dyDescent="0.2">
      <c r="A68" s="8" t="s">
        <v>452</v>
      </c>
      <c r="B68" s="3" t="s">
        <v>453</v>
      </c>
      <c r="C68" s="9" t="s">
        <v>76</v>
      </c>
      <c r="D68" s="15" t="s">
        <v>454</v>
      </c>
      <c r="E68" s="1">
        <v>4843134</v>
      </c>
      <c r="H68" s="10" t="s">
        <v>455</v>
      </c>
      <c r="I68" s="3">
        <f t="shared" si="0"/>
        <v>50</v>
      </c>
      <c r="J68" s="3">
        <f t="shared" si="1"/>
        <v>0</v>
      </c>
      <c r="K68" s="6">
        <v>0</v>
      </c>
      <c r="L68" s="1">
        <v>1</v>
      </c>
      <c r="M68" s="7">
        <v>44755</v>
      </c>
      <c r="N68" s="7">
        <v>26421</v>
      </c>
      <c r="O68" s="3" t="s">
        <v>456</v>
      </c>
      <c r="P68" s="1" t="s">
        <v>457</v>
      </c>
      <c r="Q68" s="1" t="s">
        <v>45</v>
      </c>
      <c r="S68" s="3" t="s">
        <v>47</v>
      </c>
      <c r="Z68" s="1" t="s">
        <v>458</v>
      </c>
      <c r="AA68" s="1" t="s">
        <v>47</v>
      </c>
      <c r="AB68" s="1" t="s">
        <v>47</v>
      </c>
      <c r="AC68" s="1" t="s">
        <v>47</v>
      </c>
      <c r="AD68" s="1" t="s">
        <v>459</v>
      </c>
    </row>
    <row r="69" spans="1:35" ht="15.75" customHeight="1" x14ac:dyDescent="0.2">
      <c r="A69" s="8" t="s">
        <v>460</v>
      </c>
      <c r="B69" s="3" t="s">
        <v>461</v>
      </c>
      <c r="C69" s="9" t="s">
        <v>76</v>
      </c>
      <c r="D69" s="9" t="s">
        <v>76</v>
      </c>
      <c r="E69" s="1">
        <v>4969511</v>
      </c>
      <c r="I69" s="3">
        <f t="shared" si="0"/>
        <v>51</v>
      </c>
      <c r="J69" s="3">
        <f t="shared" si="1"/>
        <v>0</v>
      </c>
      <c r="K69" s="6">
        <v>0</v>
      </c>
      <c r="L69" s="1">
        <v>1</v>
      </c>
      <c r="M69" s="7">
        <v>44755</v>
      </c>
      <c r="N69" s="7">
        <v>26044</v>
      </c>
      <c r="O69" s="3" t="s">
        <v>106</v>
      </c>
      <c r="P69" s="1" t="s">
        <v>44</v>
      </c>
      <c r="Q69" s="1" t="s">
        <v>45</v>
      </c>
      <c r="S69" s="3" t="s">
        <v>68</v>
      </c>
      <c r="Z69" s="1" t="s">
        <v>47</v>
      </c>
      <c r="AA69" s="1" t="s">
        <v>47</v>
      </c>
      <c r="AB69" s="1" t="s">
        <v>47</v>
      </c>
      <c r="AC69" s="1" t="s">
        <v>47</v>
      </c>
      <c r="AD69" s="1" t="s">
        <v>462</v>
      </c>
      <c r="AE69" s="1" t="s">
        <v>463</v>
      </c>
      <c r="AF69" s="1" t="s">
        <v>464</v>
      </c>
    </row>
    <row r="70" spans="1:35" ht="15.75" customHeight="1" x14ac:dyDescent="0.2">
      <c r="A70" s="8" t="s">
        <v>465</v>
      </c>
      <c r="B70" s="3" t="s">
        <v>466</v>
      </c>
      <c r="C70" s="9" t="s">
        <v>76</v>
      </c>
      <c r="D70" s="9" t="s">
        <v>76</v>
      </c>
      <c r="E70" s="1">
        <v>4963460</v>
      </c>
      <c r="H70" s="1">
        <v>41</v>
      </c>
      <c r="I70" s="3">
        <f t="shared" si="0"/>
        <v>41</v>
      </c>
      <c r="J70" s="3">
        <f t="shared" si="1"/>
        <v>0</v>
      </c>
      <c r="K70" s="6">
        <v>0</v>
      </c>
      <c r="L70" s="1">
        <v>1</v>
      </c>
      <c r="M70" s="7">
        <v>44761</v>
      </c>
      <c r="N70" s="7">
        <v>29649</v>
      </c>
      <c r="O70" s="3" t="s">
        <v>177</v>
      </c>
      <c r="P70" s="1" t="s">
        <v>44</v>
      </c>
      <c r="Q70" s="1" t="s">
        <v>51</v>
      </c>
      <c r="S70" s="3" t="s">
        <v>68</v>
      </c>
      <c r="Z70" s="1" t="s">
        <v>47</v>
      </c>
      <c r="AA70" s="1" t="s">
        <v>142</v>
      </c>
      <c r="AB70" s="1" t="s">
        <v>47</v>
      </c>
      <c r="AC70" s="1" t="s">
        <v>47</v>
      </c>
      <c r="AD70" s="1" t="s">
        <v>409</v>
      </c>
      <c r="AE70" s="1" t="s">
        <v>467</v>
      </c>
      <c r="AF70" s="1" t="s">
        <v>468</v>
      </c>
      <c r="AG70" s="1" t="s">
        <v>469</v>
      </c>
      <c r="AH70" s="1" t="s">
        <v>470</v>
      </c>
    </row>
    <row r="71" spans="1:35" ht="15.75" customHeight="1" x14ac:dyDescent="0.2">
      <c r="A71" s="4" t="s">
        <v>471</v>
      </c>
      <c r="B71" s="3" t="s">
        <v>472</v>
      </c>
      <c r="C71" s="9" t="s">
        <v>76</v>
      </c>
      <c r="D71" s="9" t="s">
        <v>76</v>
      </c>
      <c r="E71" s="3">
        <v>4746514</v>
      </c>
      <c r="F71" s="3"/>
      <c r="G71" s="3"/>
      <c r="H71" s="3"/>
      <c r="I71" s="3">
        <f t="shared" si="0"/>
        <v>74</v>
      </c>
      <c r="J71" s="3">
        <f t="shared" si="1"/>
        <v>0</v>
      </c>
      <c r="K71" s="6">
        <v>0</v>
      </c>
      <c r="L71" s="3">
        <v>1</v>
      </c>
      <c r="M71" s="7">
        <v>44530</v>
      </c>
      <c r="N71" s="7">
        <v>17314</v>
      </c>
      <c r="O71" s="3" t="s">
        <v>106</v>
      </c>
      <c r="P71" s="1" t="s">
        <v>91</v>
      </c>
      <c r="Q71" s="3" t="s">
        <v>45</v>
      </c>
      <c r="R71" s="3"/>
      <c r="S71" s="3" t="s">
        <v>46</v>
      </c>
      <c r="Z71" s="1" t="s">
        <v>47</v>
      </c>
      <c r="AA71" s="1" t="s">
        <v>473</v>
      </c>
      <c r="AB71" s="1" t="s">
        <v>47</v>
      </c>
      <c r="AC71" s="1" t="s">
        <v>47</v>
      </c>
      <c r="AD71" s="1" t="s">
        <v>60</v>
      </c>
    </row>
    <row r="72" spans="1:35" ht="15.75" customHeight="1" x14ac:dyDescent="0.2">
      <c r="A72" s="4" t="s">
        <v>474</v>
      </c>
      <c r="B72" s="3" t="s">
        <v>475</v>
      </c>
      <c r="C72" s="9" t="s">
        <v>76</v>
      </c>
      <c r="D72" s="9" t="s">
        <v>76</v>
      </c>
      <c r="E72" s="3">
        <v>4889085</v>
      </c>
      <c r="F72" s="3" t="s">
        <v>51</v>
      </c>
      <c r="G72" s="3"/>
      <c r="H72" s="1">
        <v>20</v>
      </c>
      <c r="I72" s="3">
        <f t="shared" si="0"/>
        <v>27</v>
      </c>
      <c r="J72" s="3">
        <f t="shared" si="1"/>
        <v>1</v>
      </c>
      <c r="K72" s="6">
        <v>0</v>
      </c>
      <c r="L72" s="1">
        <v>1</v>
      </c>
      <c r="M72" s="7">
        <v>44538</v>
      </c>
      <c r="N72" s="7">
        <v>34323</v>
      </c>
      <c r="O72" s="3" t="s">
        <v>50</v>
      </c>
      <c r="P72" s="1" t="s">
        <v>44</v>
      </c>
      <c r="Q72" s="1" t="s">
        <v>51</v>
      </c>
      <c r="S72" s="3" t="s">
        <v>46</v>
      </c>
      <c r="Z72" s="1" t="s">
        <v>47</v>
      </c>
      <c r="AA72" s="1" t="s">
        <v>47</v>
      </c>
      <c r="AB72" s="1" t="s">
        <v>47</v>
      </c>
      <c r="AC72" s="1" t="s">
        <v>47</v>
      </c>
      <c r="AD72" s="1" t="s">
        <v>476</v>
      </c>
    </row>
    <row r="73" spans="1:35" ht="15.75" customHeight="1" x14ac:dyDescent="0.2">
      <c r="A73" s="8" t="s">
        <v>477</v>
      </c>
      <c r="B73" s="3" t="s">
        <v>478</v>
      </c>
      <c r="C73" s="9" t="s">
        <v>76</v>
      </c>
      <c r="D73" s="9" t="s">
        <v>76</v>
      </c>
      <c r="E73" s="1">
        <v>3654943</v>
      </c>
      <c r="F73" s="1" t="s">
        <v>51</v>
      </c>
      <c r="H73" s="1">
        <v>37</v>
      </c>
      <c r="I73" s="3">
        <f t="shared" si="0"/>
        <v>51</v>
      </c>
      <c r="J73" s="3">
        <f t="shared" si="1"/>
        <v>0</v>
      </c>
      <c r="K73" s="6">
        <v>0</v>
      </c>
      <c r="L73" s="1">
        <v>1</v>
      </c>
      <c r="M73" s="7">
        <v>44593</v>
      </c>
      <c r="N73" s="7">
        <v>25608</v>
      </c>
      <c r="O73" s="3" t="s">
        <v>50</v>
      </c>
      <c r="P73" s="1" t="s">
        <v>166</v>
      </c>
      <c r="Q73" s="1" t="s">
        <v>51</v>
      </c>
      <c r="S73" s="3" t="s">
        <v>47</v>
      </c>
      <c r="T73" s="8"/>
      <c r="U73" s="8"/>
      <c r="V73" s="8"/>
      <c r="W73" s="8"/>
      <c r="X73" s="8"/>
      <c r="Y73" s="8"/>
      <c r="Z73" s="1" t="s">
        <v>47</v>
      </c>
      <c r="AA73" s="1" t="s">
        <v>47</v>
      </c>
      <c r="AB73" s="1" t="s">
        <v>47</v>
      </c>
      <c r="AC73" s="1" t="s">
        <v>47</v>
      </c>
      <c r="AD73" s="1" t="s">
        <v>47</v>
      </c>
    </row>
    <row r="74" spans="1:35" ht="15.75" customHeight="1" x14ac:dyDescent="0.2">
      <c r="A74" s="8" t="s">
        <v>479</v>
      </c>
      <c r="B74" s="3" t="s">
        <v>480</v>
      </c>
      <c r="C74" s="9" t="s">
        <v>76</v>
      </c>
      <c r="D74" s="9" t="s">
        <v>76</v>
      </c>
      <c r="E74" s="1">
        <v>2846699</v>
      </c>
      <c r="F74" s="1" t="s">
        <v>51</v>
      </c>
      <c r="I74" s="3">
        <f t="shared" si="0"/>
        <v>56</v>
      </c>
      <c r="J74" s="3">
        <f t="shared" si="1"/>
        <v>0</v>
      </c>
      <c r="K74" s="6">
        <v>0</v>
      </c>
      <c r="L74" s="1">
        <v>1</v>
      </c>
      <c r="M74" s="7">
        <v>44634</v>
      </c>
      <c r="N74" s="7">
        <v>24105</v>
      </c>
      <c r="O74" s="3" t="s">
        <v>50</v>
      </c>
      <c r="P74" s="1" t="s">
        <v>44</v>
      </c>
      <c r="Q74" s="1" t="s">
        <v>45</v>
      </c>
      <c r="S74" s="3" t="s">
        <v>46</v>
      </c>
      <c r="T74" s="8"/>
      <c r="U74" s="8"/>
      <c r="V74" s="8"/>
      <c r="W74" s="8"/>
      <c r="X74" s="8"/>
      <c r="Y74" s="8"/>
      <c r="Z74" s="1" t="s">
        <v>47</v>
      </c>
      <c r="AA74" s="1" t="s">
        <v>47</v>
      </c>
      <c r="AB74" s="1" t="s">
        <v>47</v>
      </c>
      <c r="AC74" s="1" t="s">
        <v>47</v>
      </c>
      <c r="AD74" s="1" t="s">
        <v>481</v>
      </c>
      <c r="AE74" s="1" t="s">
        <v>347</v>
      </c>
      <c r="AF74" s="1" t="s">
        <v>482</v>
      </c>
      <c r="AG74" s="1" t="s">
        <v>483</v>
      </c>
      <c r="AH74" s="1" t="s">
        <v>484</v>
      </c>
      <c r="AI74" s="1" t="s">
        <v>485</v>
      </c>
    </row>
    <row r="75" spans="1:35" ht="15.75" customHeight="1" x14ac:dyDescent="0.2">
      <c r="A75" s="8" t="s">
        <v>486</v>
      </c>
      <c r="B75" s="3" t="s">
        <v>487</v>
      </c>
      <c r="C75" s="9" t="s">
        <v>76</v>
      </c>
      <c r="D75" s="9" t="s">
        <v>76</v>
      </c>
      <c r="E75" s="1">
        <v>1272632</v>
      </c>
      <c r="F75" s="1" t="s">
        <v>51</v>
      </c>
      <c r="H75" s="16"/>
      <c r="I75" s="3">
        <f t="shared" si="0"/>
        <v>59</v>
      </c>
      <c r="J75" s="3">
        <f t="shared" si="1"/>
        <v>0</v>
      </c>
      <c r="K75" s="6">
        <v>0</v>
      </c>
      <c r="L75" s="1">
        <v>1</v>
      </c>
      <c r="M75" s="7">
        <v>44652</v>
      </c>
      <c r="N75" s="7">
        <v>23095</v>
      </c>
      <c r="O75" s="3" t="s">
        <v>50</v>
      </c>
      <c r="P75" s="3" t="s">
        <v>67</v>
      </c>
      <c r="Q75" s="1" t="s">
        <v>45</v>
      </c>
      <c r="S75" s="3" t="s">
        <v>46</v>
      </c>
      <c r="Z75" s="1" t="s">
        <v>47</v>
      </c>
      <c r="AA75" s="1" t="s">
        <v>488</v>
      </c>
      <c r="AB75" s="1" t="s">
        <v>47</v>
      </c>
      <c r="AC75" s="1" t="s">
        <v>47</v>
      </c>
      <c r="AD75" s="1" t="s">
        <v>489</v>
      </c>
    </row>
    <row r="76" spans="1:35" ht="15.75" customHeight="1" x14ac:dyDescent="0.2">
      <c r="A76" s="8" t="s">
        <v>490</v>
      </c>
      <c r="B76" s="3" t="s">
        <v>491</v>
      </c>
      <c r="C76" s="9" t="s">
        <v>76</v>
      </c>
      <c r="D76" s="9" t="s">
        <v>76</v>
      </c>
      <c r="E76" s="1">
        <v>4779470</v>
      </c>
      <c r="H76" s="10" t="s">
        <v>492</v>
      </c>
      <c r="I76" s="3">
        <f t="shared" si="0"/>
        <v>25</v>
      </c>
      <c r="J76" s="3">
        <f t="shared" si="1"/>
        <v>1</v>
      </c>
      <c r="K76" s="6">
        <v>0</v>
      </c>
      <c r="L76" s="1">
        <v>1</v>
      </c>
      <c r="M76" s="7">
        <v>44656</v>
      </c>
      <c r="N76" s="7">
        <v>35504</v>
      </c>
      <c r="O76" s="3" t="s">
        <v>43</v>
      </c>
      <c r="P76" s="1" t="s">
        <v>166</v>
      </c>
      <c r="Q76" s="1" t="s">
        <v>45</v>
      </c>
      <c r="S76" s="3" t="s">
        <v>68</v>
      </c>
      <c r="Z76" s="1" t="s">
        <v>493</v>
      </c>
      <c r="AA76" s="1" t="s">
        <v>47</v>
      </c>
      <c r="AB76" s="1" t="s">
        <v>47</v>
      </c>
      <c r="AC76" s="1" t="s">
        <v>47</v>
      </c>
      <c r="AD76" s="1" t="s">
        <v>47</v>
      </c>
    </row>
    <row r="77" spans="1:35" ht="15.75" customHeight="1" x14ac:dyDescent="0.2">
      <c r="A77" s="8" t="s">
        <v>494</v>
      </c>
      <c r="B77" s="3" t="s">
        <v>495</v>
      </c>
      <c r="C77" s="9" t="s">
        <v>76</v>
      </c>
      <c r="D77" s="9" t="s">
        <v>76</v>
      </c>
      <c r="E77" s="1">
        <v>4285640</v>
      </c>
      <c r="F77" s="1" t="s">
        <v>51</v>
      </c>
      <c r="I77" s="3">
        <f t="shared" si="0"/>
        <v>43</v>
      </c>
      <c r="J77" s="3">
        <f t="shared" si="1"/>
        <v>0</v>
      </c>
      <c r="K77" s="6">
        <v>0</v>
      </c>
      <c r="L77" s="1">
        <v>1</v>
      </c>
      <c r="M77" s="7">
        <v>44697</v>
      </c>
      <c r="N77" s="7">
        <v>28984</v>
      </c>
      <c r="O77" s="3" t="s">
        <v>50</v>
      </c>
      <c r="P77" s="1" t="s">
        <v>44</v>
      </c>
      <c r="Q77" s="1" t="s">
        <v>45</v>
      </c>
      <c r="S77" s="3" t="s">
        <v>47</v>
      </c>
      <c r="T77" s="8"/>
      <c r="U77" s="8"/>
      <c r="V77" s="8"/>
      <c r="W77" s="8"/>
      <c r="X77" s="8"/>
      <c r="Y77" s="8"/>
      <c r="Z77" s="1" t="s">
        <v>47</v>
      </c>
      <c r="AA77" s="1" t="s">
        <v>46</v>
      </c>
      <c r="AB77" s="1" t="s">
        <v>47</v>
      </c>
      <c r="AC77" s="1" t="s">
        <v>47</v>
      </c>
      <c r="AD77" s="1" t="s">
        <v>47</v>
      </c>
    </row>
    <row r="78" spans="1:35" ht="15.75" customHeight="1" x14ac:dyDescent="0.2">
      <c r="A78" s="8" t="s">
        <v>496</v>
      </c>
      <c r="B78" s="3" t="s">
        <v>497</v>
      </c>
      <c r="C78" s="9" t="s">
        <v>76</v>
      </c>
      <c r="D78" s="9" t="s">
        <v>76</v>
      </c>
      <c r="E78" s="1">
        <v>4894675</v>
      </c>
      <c r="H78" s="1">
        <v>49</v>
      </c>
      <c r="I78" s="3">
        <f t="shared" si="0"/>
        <v>50</v>
      </c>
      <c r="J78" s="3">
        <f t="shared" si="1"/>
        <v>0</v>
      </c>
      <c r="K78" s="6">
        <v>0</v>
      </c>
      <c r="L78" s="1">
        <v>1</v>
      </c>
      <c r="M78" s="7">
        <v>44699</v>
      </c>
      <c r="N78" s="7">
        <v>26368</v>
      </c>
      <c r="O78" s="3" t="s">
        <v>106</v>
      </c>
      <c r="P78" s="1" t="s">
        <v>44</v>
      </c>
      <c r="Q78" s="1" t="s">
        <v>51</v>
      </c>
      <c r="S78" s="3" t="s">
        <v>47</v>
      </c>
      <c r="T78" s="8"/>
      <c r="U78" s="8"/>
      <c r="V78" s="8"/>
      <c r="W78" s="8"/>
      <c r="X78" s="8"/>
      <c r="Y78" s="8"/>
      <c r="Z78" s="1" t="s">
        <v>47</v>
      </c>
      <c r="AA78" s="1" t="s">
        <v>47</v>
      </c>
      <c r="AB78" s="1" t="s">
        <v>47</v>
      </c>
      <c r="AC78" s="1" t="s">
        <v>47</v>
      </c>
      <c r="AD78" s="1" t="s">
        <v>47</v>
      </c>
    </row>
    <row r="79" spans="1:35" ht="15.75" customHeight="1" x14ac:dyDescent="0.2">
      <c r="A79" s="8" t="s">
        <v>498</v>
      </c>
      <c r="B79" s="3" t="s">
        <v>499</v>
      </c>
      <c r="C79" s="9" t="s">
        <v>76</v>
      </c>
      <c r="D79" s="9" t="s">
        <v>76</v>
      </c>
      <c r="E79" s="1">
        <v>1312196</v>
      </c>
      <c r="I79" s="3">
        <f t="shared" si="0"/>
        <v>32</v>
      </c>
      <c r="J79" s="3">
        <f t="shared" si="1"/>
        <v>1</v>
      </c>
      <c r="K79" s="6">
        <v>1</v>
      </c>
      <c r="L79" s="1">
        <v>1</v>
      </c>
      <c r="M79" s="7">
        <v>44701</v>
      </c>
      <c r="N79" s="7">
        <v>32771</v>
      </c>
      <c r="O79" s="3" t="s">
        <v>106</v>
      </c>
      <c r="P79" s="1" t="s">
        <v>500</v>
      </c>
      <c r="Q79" s="1" t="s">
        <v>45</v>
      </c>
      <c r="S79" s="3" t="s">
        <v>47</v>
      </c>
      <c r="T79" s="8"/>
      <c r="U79" s="8"/>
      <c r="V79" s="8"/>
      <c r="W79" s="8"/>
      <c r="X79" s="8"/>
      <c r="Y79" s="8"/>
      <c r="Z79" s="1" t="s">
        <v>47</v>
      </c>
      <c r="AA79" s="1" t="s">
        <v>47</v>
      </c>
      <c r="AB79" s="1" t="s">
        <v>47</v>
      </c>
      <c r="AC79" s="1" t="s">
        <v>47</v>
      </c>
      <c r="AD79" s="1" t="s">
        <v>501</v>
      </c>
    </row>
    <row r="80" spans="1:35" ht="15.75" customHeight="1" x14ac:dyDescent="0.2">
      <c r="A80" s="8" t="s">
        <v>502</v>
      </c>
      <c r="B80" s="3" t="s">
        <v>503</v>
      </c>
      <c r="C80" s="9" t="s">
        <v>76</v>
      </c>
      <c r="D80" s="9" t="s">
        <v>76</v>
      </c>
      <c r="E80" s="1">
        <v>4973295</v>
      </c>
      <c r="F80" s="1" t="s">
        <v>51</v>
      </c>
      <c r="I80" s="3">
        <f t="shared" si="0"/>
        <v>30</v>
      </c>
      <c r="J80" s="3">
        <f t="shared" si="1"/>
        <v>1</v>
      </c>
      <c r="K80" s="6">
        <v>0</v>
      </c>
      <c r="L80" s="1">
        <v>1</v>
      </c>
      <c r="M80" s="7">
        <v>44711</v>
      </c>
      <c r="N80" s="7">
        <v>33749</v>
      </c>
      <c r="O80" s="3" t="s">
        <v>50</v>
      </c>
      <c r="P80" s="1" t="s">
        <v>166</v>
      </c>
      <c r="Q80" s="1" t="s">
        <v>45</v>
      </c>
      <c r="S80" s="3" t="s">
        <v>68</v>
      </c>
      <c r="Z80" s="1" t="s">
        <v>504</v>
      </c>
      <c r="AA80" s="1" t="s">
        <v>47</v>
      </c>
      <c r="AB80" s="1" t="s">
        <v>47</v>
      </c>
      <c r="AC80" s="1" t="s">
        <v>47</v>
      </c>
      <c r="AD80" s="1" t="s">
        <v>47</v>
      </c>
    </row>
    <row r="81" spans="1:83" ht="15.75" customHeight="1" x14ac:dyDescent="0.2">
      <c r="A81" s="8" t="s">
        <v>505</v>
      </c>
      <c r="B81" s="3" t="s">
        <v>506</v>
      </c>
      <c r="C81" s="9" t="s">
        <v>76</v>
      </c>
      <c r="D81" s="15" t="s">
        <v>76</v>
      </c>
      <c r="E81" s="3">
        <v>4967681</v>
      </c>
      <c r="F81" s="3"/>
      <c r="G81" s="3"/>
      <c r="H81" s="3"/>
      <c r="I81" s="3">
        <f t="shared" si="0"/>
        <v>61</v>
      </c>
      <c r="J81" s="3">
        <f t="shared" si="1"/>
        <v>0</v>
      </c>
      <c r="K81" s="6">
        <v>0</v>
      </c>
      <c r="L81" s="3">
        <v>0</v>
      </c>
      <c r="M81" s="7">
        <v>44718</v>
      </c>
      <c r="N81" s="7">
        <v>22158</v>
      </c>
      <c r="O81" s="3" t="s">
        <v>456</v>
      </c>
      <c r="P81" s="3" t="s">
        <v>507</v>
      </c>
      <c r="Q81" s="3" t="s">
        <v>45</v>
      </c>
      <c r="R81" s="3"/>
      <c r="S81" s="3" t="s">
        <v>47</v>
      </c>
      <c r="Z81" s="1" t="s">
        <v>47</v>
      </c>
      <c r="AA81" s="1" t="s">
        <v>47</v>
      </c>
      <c r="AB81" s="1" t="s">
        <v>47</v>
      </c>
      <c r="AC81" s="1" t="s">
        <v>47</v>
      </c>
      <c r="AD81" s="1" t="s">
        <v>47</v>
      </c>
    </row>
    <row r="82" spans="1:83" ht="15.75" customHeight="1" x14ac:dyDescent="0.2">
      <c r="A82" s="8" t="s">
        <v>508</v>
      </c>
      <c r="B82" s="3" t="s">
        <v>509</v>
      </c>
      <c r="C82" s="9" t="s">
        <v>76</v>
      </c>
      <c r="D82" s="9" t="s">
        <v>76</v>
      </c>
      <c r="E82" s="1">
        <v>7005937</v>
      </c>
      <c r="F82" s="1" t="s">
        <v>51</v>
      </c>
      <c r="I82" s="3">
        <f t="shared" si="0"/>
        <v>33</v>
      </c>
      <c r="J82" s="3">
        <f t="shared" si="1"/>
        <v>1</v>
      </c>
      <c r="K82" s="6">
        <v>0</v>
      </c>
      <c r="L82" s="1">
        <v>1</v>
      </c>
      <c r="M82" s="7">
        <v>44731</v>
      </c>
      <c r="N82" s="7">
        <v>32456</v>
      </c>
      <c r="O82" s="3" t="s">
        <v>43</v>
      </c>
      <c r="P82" s="1" t="s">
        <v>91</v>
      </c>
      <c r="Q82" s="1" t="s">
        <v>45</v>
      </c>
      <c r="S82" s="3" t="s">
        <v>46</v>
      </c>
      <c r="T82" s="8"/>
      <c r="U82" s="8"/>
      <c r="V82" s="8"/>
      <c r="W82" s="8"/>
      <c r="X82" s="8"/>
      <c r="Y82" s="8"/>
      <c r="Z82" s="1" t="s">
        <v>47</v>
      </c>
      <c r="AA82" s="1" t="s">
        <v>47</v>
      </c>
      <c r="AB82" s="1" t="s">
        <v>47</v>
      </c>
      <c r="AC82" s="1" t="s">
        <v>47</v>
      </c>
      <c r="AD82" s="1" t="s">
        <v>510</v>
      </c>
      <c r="AE82" s="1" t="s">
        <v>511</v>
      </c>
      <c r="AF82" s="1" t="s">
        <v>512</v>
      </c>
      <c r="AG82" s="1" t="s">
        <v>513</v>
      </c>
      <c r="AH82" s="1" t="s">
        <v>514</v>
      </c>
    </row>
    <row r="83" spans="1:83" ht="15.75" customHeight="1" x14ac:dyDescent="0.2">
      <c r="A83" s="8" t="s">
        <v>515</v>
      </c>
      <c r="B83" s="3" t="s">
        <v>516</v>
      </c>
      <c r="C83" s="9" t="s">
        <v>76</v>
      </c>
      <c r="D83" s="9" t="s">
        <v>76</v>
      </c>
      <c r="E83" s="1">
        <v>4021227</v>
      </c>
      <c r="F83" s="1" t="s">
        <v>51</v>
      </c>
      <c r="I83" s="3">
        <f t="shared" si="0"/>
        <v>47</v>
      </c>
      <c r="J83" s="3">
        <f t="shared" si="1"/>
        <v>0</v>
      </c>
      <c r="K83" s="6">
        <v>0</v>
      </c>
      <c r="L83" s="1">
        <v>1</v>
      </c>
      <c r="M83" s="7">
        <v>44739</v>
      </c>
      <c r="N83" s="7">
        <v>27399</v>
      </c>
      <c r="O83" s="3" t="s">
        <v>43</v>
      </c>
      <c r="P83" s="1" t="s">
        <v>44</v>
      </c>
      <c r="Q83" s="1" t="s">
        <v>45</v>
      </c>
      <c r="S83" s="3" t="s">
        <v>68</v>
      </c>
      <c r="T83" s="8"/>
      <c r="U83" s="8"/>
      <c r="V83" s="8"/>
      <c r="W83" s="8"/>
      <c r="X83" s="8"/>
      <c r="Y83" s="8"/>
      <c r="Z83" s="1" t="s">
        <v>47</v>
      </c>
      <c r="AA83" s="1" t="s">
        <v>47</v>
      </c>
      <c r="AB83" s="1" t="s">
        <v>47</v>
      </c>
      <c r="AC83" s="1" t="s">
        <v>47</v>
      </c>
      <c r="AD83" s="1" t="s">
        <v>517</v>
      </c>
      <c r="AE83" s="1" t="s">
        <v>518</v>
      </c>
      <c r="AF83" s="1" t="s">
        <v>519</v>
      </c>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5.75" customHeight="1" x14ac:dyDescent="0.2">
      <c r="A84" s="8" t="s">
        <v>520</v>
      </c>
      <c r="B84" s="3" t="s">
        <v>521</v>
      </c>
      <c r="C84" s="9" t="s">
        <v>76</v>
      </c>
      <c r="D84" s="9" t="s">
        <v>76</v>
      </c>
      <c r="E84" s="1">
        <v>7032998</v>
      </c>
      <c r="F84" s="1" t="s">
        <v>51</v>
      </c>
      <c r="I84" s="3">
        <f t="shared" si="0"/>
        <v>19</v>
      </c>
      <c r="J84" s="3">
        <f t="shared" si="1"/>
        <v>1</v>
      </c>
      <c r="K84" s="6">
        <v>0</v>
      </c>
      <c r="L84" s="1">
        <v>1</v>
      </c>
      <c r="M84" s="7">
        <v>44805</v>
      </c>
      <c r="N84" s="7">
        <v>37772</v>
      </c>
      <c r="O84" s="3" t="s">
        <v>43</v>
      </c>
      <c r="P84" s="1" t="s">
        <v>44</v>
      </c>
      <c r="Q84" s="1" t="s">
        <v>45</v>
      </c>
      <c r="S84" s="3" t="s">
        <v>46</v>
      </c>
      <c r="T84" s="8"/>
      <c r="U84" s="8"/>
      <c r="V84" s="8"/>
      <c r="W84" s="8"/>
      <c r="X84" s="8"/>
      <c r="Y84" s="8"/>
      <c r="Z84" s="1" t="s">
        <v>47</v>
      </c>
      <c r="AA84" s="1" t="s">
        <v>47</v>
      </c>
      <c r="AB84" s="1" t="s">
        <v>522</v>
      </c>
      <c r="AC84" s="1" t="s">
        <v>389</v>
      </c>
      <c r="AD84" s="1" t="s">
        <v>523</v>
      </c>
      <c r="AE84" s="1" t="s">
        <v>524</v>
      </c>
      <c r="AF84" s="1" t="s">
        <v>525</v>
      </c>
      <c r="AG84" s="1" t="s">
        <v>526</v>
      </c>
      <c r="AH84" s="1" t="s">
        <v>527</v>
      </c>
    </row>
    <row r="85" spans="1:83" ht="15.75" customHeight="1" x14ac:dyDescent="0.2">
      <c r="A85" s="8" t="s">
        <v>528</v>
      </c>
      <c r="B85" s="3" t="s">
        <v>529</v>
      </c>
      <c r="C85" s="9" t="s">
        <v>76</v>
      </c>
      <c r="D85" s="9" t="s">
        <v>76</v>
      </c>
      <c r="E85" s="3">
        <v>7041776</v>
      </c>
      <c r="F85" s="3" t="s">
        <v>51</v>
      </c>
      <c r="G85" s="3"/>
      <c r="H85" s="10" t="s">
        <v>530</v>
      </c>
      <c r="I85" s="3">
        <f t="shared" si="0"/>
        <v>65</v>
      </c>
      <c r="J85" s="3">
        <f t="shared" si="1"/>
        <v>0</v>
      </c>
      <c r="K85" s="6">
        <v>0</v>
      </c>
      <c r="L85" s="3">
        <v>0</v>
      </c>
      <c r="M85" s="7">
        <v>44824</v>
      </c>
      <c r="N85" s="7">
        <v>20860</v>
      </c>
      <c r="O85" s="3" t="s">
        <v>531</v>
      </c>
      <c r="P85" s="3" t="s">
        <v>507</v>
      </c>
      <c r="Q85" s="3" t="s">
        <v>45</v>
      </c>
      <c r="S85" s="3" t="s">
        <v>47</v>
      </c>
      <c r="T85" s="8"/>
      <c r="U85" s="8"/>
      <c r="V85" s="8"/>
      <c r="W85" s="8"/>
      <c r="X85" s="8"/>
      <c r="Y85" s="8"/>
      <c r="Z85" s="1" t="s">
        <v>47</v>
      </c>
      <c r="AA85" s="1" t="s">
        <v>47</v>
      </c>
      <c r="AB85" s="1" t="s">
        <v>47</v>
      </c>
      <c r="AC85" s="1" t="s">
        <v>47</v>
      </c>
      <c r="AD85" s="1" t="s">
        <v>532</v>
      </c>
    </row>
    <row r="86" spans="1:83" ht="15.75" customHeight="1" x14ac:dyDescent="0.2">
      <c r="A86" s="8" t="s">
        <v>533</v>
      </c>
      <c r="B86" s="3" t="s">
        <v>534</v>
      </c>
      <c r="C86" s="9" t="s">
        <v>76</v>
      </c>
      <c r="D86" s="9" t="s">
        <v>76</v>
      </c>
      <c r="E86" s="1">
        <v>4930265</v>
      </c>
      <c r="H86" s="10" t="s">
        <v>535</v>
      </c>
      <c r="I86" s="3">
        <f t="shared" si="0"/>
        <v>29</v>
      </c>
      <c r="J86" s="3">
        <f t="shared" si="1"/>
        <v>1</v>
      </c>
      <c r="K86" s="6">
        <v>0</v>
      </c>
      <c r="L86" s="1">
        <v>0</v>
      </c>
      <c r="M86" s="7">
        <v>44826</v>
      </c>
      <c r="N86" s="7">
        <v>34151</v>
      </c>
      <c r="O86" s="3" t="s">
        <v>531</v>
      </c>
      <c r="P86" s="1" t="s">
        <v>221</v>
      </c>
      <c r="Q86" s="1" t="s">
        <v>51</v>
      </c>
      <c r="S86" s="1" t="s">
        <v>47</v>
      </c>
      <c r="T86" s="1" t="s">
        <v>47</v>
      </c>
      <c r="U86" s="1" t="s">
        <v>47</v>
      </c>
      <c r="V86" s="1" t="s">
        <v>47</v>
      </c>
      <c r="W86" s="1" t="s">
        <v>47</v>
      </c>
      <c r="X86" s="8"/>
      <c r="Y86" s="8"/>
      <c r="Z86" s="1" t="s">
        <v>47</v>
      </c>
      <c r="AA86" s="1" t="s">
        <v>47</v>
      </c>
      <c r="AB86" s="1" t="s">
        <v>47</v>
      </c>
      <c r="AC86" s="1" t="s">
        <v>47</v>
      </c>
      <c r="AD86" s="1" t="s">
        <v>47</v>
      </c>
    </row>
    <row r="87" spans="1:83" ht="15.75" customHeight="1" x14ac:dyDescent="0.2">
      <c r="A87" s="8" t="s">
        <v>536</v>
      </c>
      <c r="B87" s="3" t="s">
        <v>537</v>
      </c>
      <c r="C87" s="3" t="s">
        <v>538</v>
      </c>
      <c r="D87" s="3" t="s">
        <v>54</v>
      </c>
      <c r="E87" s="1">
        <v>7048726</v>
      </c>
      <c r="F87" s="1" t="s">
        <v>51</v>
      </c>
      <c r="I87" s="3">
        <f t="shared" si="0"/>
        <v>56</v>
      </c>
      <c r="J87" s="3">
        <f t="shared" si="1"/>
        <v>0</v>
      </c>
      <c r="K87" s="6">
        <v>0</v>
      </c>
      <c r="L87" s="1">
        <v>1</v>
      </c>
      <c r="M87" s="7">
        <v>44838</v>
      </c>
      <c r="N87" s="7">
        <v>24214</v>
      </c>
      <c r="O87" s="3" t="s">
        <v>43</v>
      </c>
      <c r="P87" s="1" t="s">
        <v>44</v>
      </c>
      <c r="Q87" s="3" t="s">
        <v>45</v>
      </c>
      <c r="S87" s="3" t="s">
        <v>92</v>
      </c>
      <c r="Z87" s="1" t="s">
        <v>47</v>
      </c>
      <c r="AA87" s="1" t="s">
        <v>47</v>
      </c>
      <c r="AB87" s="1" t="s">
        <v>47</v>
      </c>
      <c r="AC87" s="1" t="s">
        <v>47</v>
      </c>
      <c r="AD87" s="1" t="s">
        <v>539</v>
      </c>
      <c r="AE87" s="1" t="s">
        <v>540</v>
      </c>
      <c r="AF87" s="1" t="s">
        <v>541</v>
      </c>
      <c r="AG87" s="1" t="s">
        <v>542</v>
      </c>
      <c r="AH87" s="1" t="s">
        <v>543</v>
      </c>
      <c r="AI87" s="1" t="s">
        <v>544</v>
      </c>
      <c r="AJ87" s="1" t="s">
        <v>545</v>
      </c>
      <c r="AK87" s="1" t="s">
        <v>546</v>
      </c>
      <c r="AL87" s="1" t="s">
        <v>547</v>
      </c>
    </row>
    <row r="88" spans="1:83" ht="15.75" customHeight="1" x14ac:dyDescent="0.2">
      <c r="A88" s="8" t="s">
        <v>548</v>
      </c>
      <c r="B88" s="3" t="s">
        <v>549</v>
      </c>
      <c r="C88" s="3"/>
      <c r="D88" s="3" t="s">
        <v>54</v>
      </c>
      <c r="E88" s="1">
        <v>7043540</v>
      </c>
      <c r="F88" s="1" t="s">
        <v>51</v>
      </c>
      <c r="I88" s="3">
        <f t="shared" si="0"/>
        <v>53</v>
      </c>
      <c r="J88" s="3">
        <f t="shared" si="1"/>
        <v>0</v>
      </c>
      <c r="K88" s="6">
        <v>0</v>
      </c>
      <c r="L88" s="1">
        <v>1</v>
      </c>
      <c r="M88" s="7">
        <v>44860</v>
      </c>
      <c r="N88" s="7">
        <v>25337</v>
      </c>
      <c r="O88" s="3" t="s">
        <v>50</v>
      </c>
      <c r="P88" s="1" t="s">
        <v>91</v>
      </c>
      <c r="Q88" s="1" t="s">
        <v>45</v>
      </c>
      <c r="S88" s="3" t="s">
        <v>68</v>
      </c>
      <c r="T88" s="8"/>
      <c r="U88" s="8"/>
      <c r="V88" s="8"/>
      <c r="W88" s="8"/>
      <c r="X88" s="8"/>
      <c r="Y88" s="8"/>
      <c r="Z88" s="1" t="s">
        <v>47</v>
      </c>
      <c r="AA88" s="1" t="s">
        <v>46</v>
      </c>
      <c r="AB88" s="1" t="s">
        <v>47</v>
      </c>
      <c r="AC88" s="1" t="s">
        <v>47</v>
      </c>
      <c r="AD88" s="1" t="s">
        <v>47</v>
      </c>
      <c r="AL88" s="1" t="s">
        <v>550</v>
      </c>
    </row>
    <row r="89" spans="1:83" ht="15.75" customHeight="1" x14ac:dyDescent="0.2">
      <c r="A89" s="8" t="s">
        <v>551</v>
      </c>
      <c r="B89" s="3" t="s">
        <v>552</v>
      </c>
      <c r="C89" s="3"/>
      <c r="D89" s="3" t="s">
        <v>54</v>
      </c>
      <c r="E89" s="1">
        <v>4587988</v>
      </c>
      <c r="F89" s="1" t="s">
        <v>51</v>
      </c>
      <c r="H89" s="1">
        <v>28</v>
      </c>
      <c r="I89" s="3">
        <f t="shared" si="0"/>
        <v>32</v>
      </c>
      <c r="J89" s="3">
        <f t="shared" si="1"/>
        <v>1</v>
      </c>
      <c r="K89" s="6">
        <v>0</v>
      </c>
      <c r="L89" s="1">
        <v>1</v>
      </c>
      <c r="M89" s="7">
        <v>44862</v>
      </c>
      <c r="N89" s="7">
        <v>33115</v>
      </c>
      <c r="O89" s="3" t="s">
        <v>50</v>
      </c>
      <c r="P89" s="1" t="s">
        <v>44</v>
      </c>
      <c r="Q89" s="1" t="s">
        <v>51</v>
      </c>
      <c r="R89" s="14"/>
      <c r="S89" s="1" t="s">
        <v>46</v>
      </c>
      <c r="Z89" s="1" t="s">
        <v>47</v>
      </c>
      <c r="AA89" s="1" t="s">
        <v>47</v>
      </c>
      <c r="AB89" s="1" t="s">
        <v>47</v>
      </c>
      <c r="AC89" s="1" t="s">
        <v>47</v>
      </c>
      <c r="AD89" s="1" t="s">
        <v>553</v>
      </c>
      <c r="AE89" s="1" t="s">
        <v>467</v>
      </c>
      <c r="AF89" s="1" t="s">
        <v>554</v>
      </c>
      <c r="AG89" s="17" t="s">
        <v>555</v>
      </c>
      <c r="AH89" s="3" t="s">
        <v>467</v>
      </c>
      <c r="AI89" s="18" t="s">
        <v>556</v>
      </c>
      <c r="AJ89" s="3" t="s">
        <v>557</v>
      </c>
      <c r="AK89" s="3" t="s">
        <v>558</v>
      </c>
      <c r="AL89" s="3" t="s">
        <v>559</v>
      </c>
      <c r="AM89" s="3" t="s">
        <v>560</v>
      </c>
      <c r="AN89" s="1" t="s">
        <v>561</v>
      </c>
      <c r="AO89" s="1" t="s">
        <v>562</v>
      </c>
      <c r="AP89" s="1" t="s">
        <v>563</v>
      </c>
    </row>
    <row r="90" spans="1:83" ht="15.75" customHeight="1" x14ac:dyDescent="0.2">
      <c r="A90" s="8" t="s">
        <v>564</v>
      </c>
      <c r="B90" s="3" t="s">
        <v>565</v>
      </c>
      <c r="C90" s="3"/>
      <c r="D90" s="3" t="s">
        <v>54</v>
      </c>
      <c r="E90" s="1">
        <v>4553909</v>
      </c>
      <c r="F90" s="1" t="s">
        <v>51</v>
      </c>
      <c r="I90" s="3">
        <f t="shared" si="0"/>
        <v>39</v>
      </c>
      <c r="J90" s="3">
        <f t="shared" si="1"/>
        <v>1</v>
      </c>
      <c r="K90" s="6">
        <v>0</v>
      </c>
      <c r="L90" s="1">
        <v>1</v>
      </c>
      <c r="M90" s="7">
        <v>44879</v>
      </c>
      <c r="N90" s="7">
        <v>30572</v>
      </c>
      <c r="O90" s="3" t="s">
        <v>50</v>
      </c>
      <c r="P90" s="1" t="s">
        <v>166</v>
      </c>
      <c r="Q90" s="1" t="s">
        <v>45</v>
      </c>
      <c r="S90" s="3" t="s">
        <v>68</v>
      </c>
      <c r="Z90" s="1" t="s">
        <v>566</v>
      </c>
      <c r="AA90" s="1" t="s">
        <v>47</v>
      </c>
      <c r="AB90" s="1" t="s">
        <v>47</v>
      </c>
      <c r="AC90" s="1" t="s">
        <v>47</v>
      </c>
      <c r="AD90" s="1" t="s">
        <v>47</v>
      </c>
    </row>
    <row r="91" spans="1:83" ht="15.75" customHeight="1" x14ac:dyDescent="0.2">
      <c r="A91" s="8" t="s">
        <v>567</v>
      </c>
      <c r="B91" s="3" t="s">
        <v>568</v>
      </c>
      <c r="C91" s="3"/>
      <c r="D91" s="3" t="s">
        <v>54</v>
      </c>
      <c r="E91" s="1">
        <v>3112758</v>
      </c>
      <c r="F91" s="1" t="s">
        <v>51</v>
      </c>
      <c r="I91" s="3">
        <f t="shared" si="0"/>
        <v>65</v>
      </c>
      <c r="J91" s="3">
        <f t="shared" si="1"/>
        <v>0</v>
      </c>
      <c r="K91" s="6">
        <v>0</v>
      </c>
      <c r="L91" s="1">
        <v>1</v>
      </c>
      <c r="M91" s="7">
        <v>44914</v>
      </c>
      <c r="N91" s="7">
        <v>20929</v>
      </c>
      <c r="O91" s="3" t="s">
        <v>43</v>
      </c>
      <c r="P91" s="1" t="s">
        <v>77</v>
      </c>
      <c r="Q91" s="1" t="s">
        <v>45</v>
      </c>
      <c r="S91" s="3" t="s">
        <v>47</v>
      </c>
      <c r="Z91" s="1" t="s">
        <v>569</v>
      </c>
      <c r="AA91" s="1" t="s">
        <v>46</v>
      </c>
      <c r="AB91" s="1" t="s">
        <v>47</v>
      </c>
      <c r="AC91" s="1" t="s">
        <v>47</v>
      </c>
      <c r="AD91" s="1" t="s">
        <v>47</v>
      </c>
    </row>
    <row r="92" spans="1:83" ht="15.75" customHeight="1" x14ac:dyDescent="0.2">
      <c r="A92" s="13" t="s">
        <v>570</v>
      </c>
      <c r="B92" s="3" t="s">
        <v>571</v>
      </c>
      <c r="C92" s="9"/>
      <c r="D92" s="9" t="s">
        <v>54</v>
      </c>
      <c r="E92" s="3">
        <v>4229983</v>
      </c>
      <c r="F92" s="3"/>
      <c r="G92" s="3"/>
      <c r="H92" s="3"/>
      <c r="I92" s="3">
        <f t="shared" si="0"/>
        <v>42</v>
      </c>
      <c r="J92" s="3">
        <f t="shared" si="1"/>
        <v>0</v>
      </c>
      <c r="K92" s="6">
        <v>0</v>
      </c>
      <c r="L92" s="3">
        <v>1</v>
      </c>
      <c r="M92" s="7">
        <v>44963</v>
      </c>
      <c r="N92" s="7">
        <v>29383</v>
      </c>
      <c r="O92" s="3" t="s">
        <v>50</v>
      </c>
      <c r="P92" s="3" t="s">
        <v>77</v>
      </c>
      <c r="Q92" s="3" t="s">
        <v>45</v>
      </c>
      <c r="R92" s="3"/>
      <c r="S92" s="3" t="s">
        <v>572</v>
      </c>
      <c r="Z92" s="1" t="s">
        <v>573</v>
      </c>
      <c r="AA92" s="1" t="s">
        <v>142</v>
      </c>
      <c r="AB92" s="1" t="s">
        <v>47</v>
      </c>
      <c r="AC92" s="1" t="s">
        <v>47</v>
      </c>
      <c r="AD92" s="1" t="s">
        <v>47</v>
      </c>
    </row>
    <row r="93" spans="1:83" ht="15.75" customHeight="1" x14ac:dyDescent="0.2">
      <c r="A93" s="13" t="s">
        <v>574</v>
      </c>
      <c r="B93" s="3" t="s">
        <v>575</v>
      </c>
      <c r="C93" s="9"/>
      <c r="D93" s="9" t="s">
        <v>54</v>
      </c>
      <c r="E93" s="3">
        <v>4434187</v>
      </c>
      <c r="F93" s="3" t="s">
        <v>51</v>
      </c>
      <c r="G93" s="3"/>
      <c r="H93" s="3"/>
      <c r="I93" s="3">
        <f t="shared" si="0"/>
        <v>44</v>
      </c>
      <c r="J93" s="3">
        <f t="shared" si="1"/>
        <v>0</v>
      </c>
      <c r="K93" s="6">
        <v>0</v>
      </c>
      <c r="L93" s="3">
        <v>1</v>
      </c>
      <c r="M93" s="7">
        <v>44963</v>
      </c>
      <c r="N93" s="7">
        <v>28786</v>
      </c>
      <c r="O93" s="3" t="s">
        <v>43</v>
      </c>
      <c r="P93" s="3" t="s">
        <v>77</v>
      </c>
      <c r="Q93" s="3" t="s">
        <v>45</v>
      </c>
      <c r="R93" s="3"/>
      <c r="S93" s="3" t="s">
        <v>68</v>
      </c>
      <c r="T93" s="8"/>
      <c r="U93" s="8"/>
      <c r="V93" s="8"/>
      <c r="W93" s="8"/>
      <c r="X93" s="8"/>
      <c r="Y93" s="8"/>
      <c r="Z93" s="1" t="s">
        <v>576</v>
      </c>
      <c r="AA93" s="1" t="s">
        <v>142</v>
      </c>
      <c r="AB93" s="1" t="s">
        <v>47</v>
      </c>
      <c r="AC93" s="1" t="s">
        <v>47</v>
      </c>
      <c r="AD93" s="1" t="s">
        <v>47</v>
      </c>
    </row>
    <row r="94" spans="1:83" ht="15.75" customHeight="1" x14ac:dyDescent="0.2">
      <c r="A94" s="13" t="s">
        <v>577</v>
      </c>
      <c r="B94" s="3" t="s">
        <v>578</v>
      </c>
      <c r="C94" s="9"/>
      <c r="D94" s="9" t="s">
        <v>54</v>
      </c>
      <c r="E94" s="3">
        <v>4288496</v>
      </c>
      <c r="F94" s="3"/>
      <c r="G94" s="3"/>
      <c r="H94" s="1">
        <v>34</v>
      </c>
      <c r="I94" s="3">
        <f t="shared" si="0"/>
        <v>42</v>
      </c>
      <c r="J94" s="3">
        <f t="shared" si="1"/>
        <v>0</v>
      </c>
      <c r="K94" s="6">
        <v>0</v>
      </c>
      <c r="L94" s="3">
        <v>1</v>
      </c>
      <c r="M94" s="7">
        <v>44972</v>
      </c>
      <c r="N94" s="7">
        <v>29377</v>
      </c>
      <c r="O94" s="3" t="s">
        <v>50</v>
      </c>
      <c r="P94" s="3" t="s">
        <v>77</v>
      </c>
      <c r="Q94" s="3" t="s">
        <v>51</v>
      </c>
      <c r="S94" s="3" t="s">
        <v>47</v>
      </c>
      <c r="T94" s="8"/>
      <c r="U94" s="8"/>
      <c r="V94" s="8"/>
      <c r="W94" s="8"/>
      <c r="X94" s="8"/>
      <c r="Y94" s="8"/>
      <c r="Z94" s="1" t="s">
        <v>579</v>
      </c>
      <c r="AA94" s="1" t="s">
        <v>142</v>
      </c>
      <c r="AB94" s="1" t="s">
        <v>47</v>
      </c>
      <c r="AC94" s="1" t="s">
        <v>47</v>
      </c>
      <c r="AD94" s="1" t="s">
        <v>47</v>
      </c>
    </row>
    <row r="95" spans="1:83" ht="15.75" customHeight="1" x14ac:dyDescent="0.2">
      <c r="A95" s="13" t="s">
        <v>580</v>
      </c>
      <c r="B95" s="3" t="s">
        <v>581</v>
      </c>
      <c r="C95" s="9"/>
      <c r="D95" s="9" t="s">
        <v>54</v>
      </c>
      <c r="E95" s="3">
        <v>3700523</v>
      </c>
      <c r="F95" s="3"/>
      <c r="G95" s="3"/>
      <c r="I95" s="3">
        <f t="shared" si="0"/>
        <v>39</v>
      </c>
      <c r="J95" s="3">
        <f t="shared" si="1"/>
        <v>1</v>
      </c>
      <c r="K95" s="6">
        <v>0</v>
      </c>
      <c r="L95" s="3">
        <v>1</v>
      </c>
      <c r="M95" s="7">
        <v>45000</v>
      </c>
      <c r="N95" s="7">
        <v>30543</v>
      </c>
      <c r="O95" s="3" t="s">
        <v>50</v>
      </c>
      <c r="P95" s="3" t="s">
        <v>166</v>
      </c>
      <c r="Q95" s="3" t="s">
        <v>45</v>
      </c>
      <c r="S95" s="3" t="s">
        <v>68</v>
      </c>
      <c r="Z95" s="1" t="s">
        <v>582</v>
      </c>
      <c r="AA95" s="1" t="s">
        <v>583</v>
      </c>
      <c r="AB95" s="1" t="s">
        <v>47</v>
      </c>
      <c r="AC95" s="1" t="s">
        <v>47</v>
      </c>
      <c r="AD95" s="1" t="s">
        <v>47</v>
      </c>
    </row>
    <row r="96" spans="1:83" ht="15.75" customHeight="1" x14ac:dyDescent="0.2">
      <c r="A96" s="13" t="s">
        <v>584</v>
      </c>
      <c r="B96" s="3" t="s">
        <v>585</v>
      </c>
      <c r="C96" s="9"/>
      <c r="D96" s="9" t="s">
        <v>54</v>
      </c>
      <c r="E96" s="3">
        <v>4968101</v>
      </c>
      <c r="F96" s="3" t="s">
        <v>51</v>
      </c>
      <c r="G96" s="3"/>
      <c r="H96" s="3"/>
      <c r="I96" s="3">
        <f t="shared" si="0"/>
        <v>51</v>
      </c>
      <c r="J96" s="3">
        <f t="shared" si="1"/>
        <v>0</v>
      </c>
      <c r="K96" s="6">
        <v>0</v>
      </c>
      <c r="L96" s="3">
        <v>1</v>
      </c>
      <c r="M96" s="7">
        <v>45012</v>
      </c>
      <c r="N96" s="7">
        <v>26323</v>
      </c>
      <c r="O96" s="3" t="s">
        <v>50</v>
      </c>
      <c r="P96" s="3" t="s">
        <v>166</v>
      </c>
      <c r="Q96" s="3" t="s">
        <v>45</v>
      </c>
      <c r="R96" s="19"/>
      <c r="S96" s="3" t="s">
        <v>68</v>
      </c>
      <c r="Z96" s="1" t="s">
        <v>586</v>
      </c>
      <c r="AA96" s="1" t="s">
        <v>142</v>
      </c>
      <c r="AB96" s="1" t="s">
        <v>47</v>
      </c>
      <c r="AC96" s="1" t="s">
        <v>47</v>
      </c>
      <c r="AD96" s="1" t="s">
        <v>47</v>
      </c>
    </row>
    <row r="97" spans="1:30" ht="15.75" customHeight="1" x14ac:dyDescent="0.2">
      <c r="A97" s="13" t="s">
        <v>587</v>
      </c>
      <c r="B97" s="1" t="s">
        <v>588</v>
      </c>
      <c r="C97" s="9"/>
      <c r="D97" s="9" t="s">
        <v>54</v>
      </c>
      <c r="E97" s="1">
        <v>7052170</v>
      </c>
      <c r="F97" s="1" t="s">
        <v>51</v>
      </c>
      <c r="H97" s="1">
        <v>17</v>
      </c>
      <c r="I97" s="3">
        <f t="shared" si="0"/>
        <v>26</v>
      </c>
      <c r="J97" s="3">
        <f t="shared" si="1"/>
        <v>1</v>
      </c>
      <c r="K97" s="1">
        <v>0</v>
      </c>
      <c r="L97" s="1">
        <v>1</v>
      </c>
      <c r="M97" s="7">
        <v>45064</v>
      </c>
      <c r="N97" s="7">
        <v>35209</v>
      </c>
      <c r="O97" s="1" t="s">
        <v>50</v>
      </c>
      <c r="P97" s="1" t="s">
        <v>67</v>
      </c>
      <c r="Q97" s="1" t="s">
        <v>51</v>
      </c>
      <c r="S97" s="3" t="s">
        <v>68</v>
      </c>
      <c r="Z97" s="1" t="s">
        <v>589</v>
      </c>
      <c r="AA97" s="1" t="s">
        <v>142</v>
      </c>
      <c r="AB97" s="1" t="s">
        <v>47</v>
      </c>
      <c r="AC97" s="1" t="s">
        <v>47</v>
      </c>
      <c r="AD97" s="1" t="s">
        <v>47</v>
      </c>
    </row>
    <row r="98" spans="1:30" ht="15.75" customHeight="1" x14ac:dyDescent="0.2">
      <c r="A98" s="13" t="s">
        <v>590</v>
      </c>
      <c r="B98" s="1" t="s">
        <v>591</v>
      </c>
      <c r="C98" s="9"/>
      <c r="D98" s="9" t="s">
        <v>54</v>
      </c>
      <c r="E98" s="1">
        <v>7151348</v>
      </c>
      <c r="I98" s="3">
        <f t="shared" si="0"/>
        <v>64</v>
      </c>
      <c r="J98" s="3">
        <f t="shared" si="1"/>
        <v>0</v>
      </c>
      <c r="K98" s="1">
        <v>0</v>
      </c>
      <c r="L98" s="1">
        <v>1</v>
      </c>
      <c r="M98" s="7">
        <v>45082</v>
      </c>
      <c r="N98" s="7">
        <v>21394</v>
      </c>
      <c r="O98" s="1" t="s">
        <v>50</v>
      </c>
      <c r="P98" s="1" t="s">
        <v>44</v>
      </c>
      <c r="Q98" s="1" t="s">
        <v>45</v>
      </c>
      <c r="S98" s="3" t="s">
        <v>68</v>
      </c>
      <c r="T98" s="8"/>
      <c r="U98" s="8"/>
      <c r="V98" s="8"/>
      <c r="W98" s="8"/>
      <c r="X98" s="8"/>
      <c r="Y98" s="8"/>
      <c r="Z98" s="1" t="s">
        <v>47</v>
      </c>
      <c r="AA98" s="1" t="s">
        <v>47</v>
      </c>
      <c r="AB98" s="1" t="s">
        <v>47</v>
      </c>
      <c r="AC98" s="1" t="s">
        <v>47</v>
      </c>
      <c r="AD98" s="1" t="s">
        <v>47</v>
      </c>
    </row>
    <row r="99" spans="1:30" ht="15.75" customHeight="1" x14ac:dyDescent="0.2">
      <c r="A99" s="13" t="s">
        <v>592</v>
      </c>
      <c r="B99" s="1" t="s">
        <v>593</v>
      </c>
      <c r="C99" s="9"/>
      <c r="D99" s="9" t="s">
        <v>54</v>
      </c>
      <c r="E99" s="1">
        <v>4420412</v>
      </c>
      <c r="F99" s="1" t="s">
        <v>51</v>
      </c>
      <c r="I99" s="1">
        <f t="shared" si="0"/>
        <v>48</v>
      </c>
      <c r="J99" s="1">
        <f t="shared" si="1"/>
        <v>0</v>
      </c>
      <c r="K99" s="1">
        <v>0</v>
      </c>
      <c r="L99" s="1">
        <v>1</v>
      </c>
      <c r="M99" s="7">
        <v>45126</v>
      </c>
      <c r="N99" s="7">
        <v>27372</v>
      </c>
      <c r="O99" s="1" t="s">
        <v>50</v>
      </c>
      <c r="P99" s="3" t="s">
        <v>77</v>
      </c>
      <c r="Q99" s="1" t="s">
        <v>45</v>
      </c>
      <c r="S99" s="1" t="s">
        <v>47</v>
      </c>
      <c r="Z99" s="1" t="s">
        <v>594</v>
      </c>
      <c r="AA99" s="1" t="s">
        <v>142</v>
      </c>
      <c r="AB99" s="1" t="s">
        <v>47</v>
      </c>
      <c r="AC99" s="1" t="s">
        <v>47</v>
      </c>
      <c r="AD99" s="1" t="s">
        <v>47</v>
      </c>
    </row>
    <row r="100" spans="1:30" ht="15.75" customHeight="1" x14ac:dyDescent="0.2">
      <c r="A100" s="13" t="s">
        <v>595</v>
      </c>
      <c r="B100" s="3" t="s">
        <v>596</v>
      </c>
      <c r="C100" s="9"/>
      <c r="D100" s="9" t="s">
        <v>54</v>
      </c>
      <c r="E100" s="3">
        <v>4821466</v>
      </c>
      <c r="F100" s="3" t="s">
        <v>51</v>
      </c>
      <c r="G100" s="3"/>
      <c r="H100" s="3"/>
      <c r="I100" s="3">
        <f t="shared" si="0"/>
        <v>29</v>
      </c>
      <c r="J100" s="3">
        <f t="shared" si="1"/>
        <v>1</v>
      </c>
      <c r="K100" s="3">
        <v>0</v>
      </c>
      <c r="L100" s="3">
        <v>1</v>
      </c>
      <c r="M100" s="7">
        <v>45138</v>
      </c>
      <c r="N100" s="7">
        <v>34414</v>
      </c>
      <c r="O100" s="3" t="s">
        <v>50</v>
      </c>
      <c r="P100" s="3" t="s">
        <v>91</v>
      </c>
      <c r="Q100" s="3" t="s">
        <v>45</v>
      </c>
      <c r="S100" s="1" t="s">
        <v>47</v>
      </c>
      <c r="Z100" s="1" t="s">
        <v>47</v>
      </c>
      <c r="AA100" s="1" t="s">
        <v>597</v>
      </c>
      <c r="AB100" s="1" t="s">
        <v>47</v>
      </c>
      <c r="AC100" s="1" t="s">
        <v>47</v>
      </c>
      <c r="AD100" s="1" t="s">
        <v>47</v>
      </c>
    </row>
    <row r="101" spans="1:30" ht="15.75" customHeight="1" x14ac:dyDescent="0.2">
      <c r="A101" s="13" t="s">
        <v>598</v>
      </c>
      <c r="B101" s="3" t="s">
        <v>599</v>
      </c>
      <c r="C101" s="9"/>
      <c r="D101" s="9" t="s">
        <v>54</v>
      </c>
      <c r="E101" s="3">
        <v>3980598</v>
      </c>
      <c r="F101" s="3"/>
      <c r="G101" s="3"/>
      <c r="H101" s="3">
        <v>41</v>
      </c>
      <c r="I101" s="3">
        <f t="shared" si="0"/>
        <v>53</v>
      </c>
      <c r="J101" s="3">
        <f t="shared" si="1"/>
        <v>0</v>
      </c>
      <c r="K101" s="3">
        <v>0</v>
      </c>
      <c r="L101" s="3">
        <v>1</v>
      </c>
      <c r="M101" s="7">
        <v>45138</v>
      </c>
      <c r="N101" s="7">
        <v>25636</v>
      </c>
      <c r="O101" s="3" t="s">
        <v>50</v>
      </c>
      <c r="P101" s="3" t="s">
        <v>166</v>
      </c>
      <c r="Q101" s="3" t="s">
        <v>51</v>
      </c>
      <c r="R101" s="3"/>
      <c r="S101" s="3" t="s">
        <v>47</v>
      </c>
      <c r="Z101" s="1" t="s">
        <v>600</v>
      </c>
      <c r="AA101" s="3" t="s">
        <v>47</v>
      </c>
      <c r="AB101" s="3" t="s">
        <v>47</v>
      </c>
      <c r="AC101" s="3" t="s">
        <v>47</v>
      </c>
      <c r="AD101" s="3" t="s">
        <v>47</v>
      </c>
    </row>
    <row r="102" spans="1:30" ht="15.75" customHeight="1" x14ac:dyDescent="0.2">
      <c r="A102" s="13" t="s">
        <v>601</v>
      </c>
      <c r="B102" s="3" t="s">
        <v>602</v>
      </c>
      <c r="C102" s="9"/>
      <c r="D102" s="9" t="s">
        <v>54</v>
      </c>
      <c r="E102" s="3">
        <v>2770017</v>
      </c>
      <c r="F102" s="3"/>
      <c r="G102" s="3"/>
      <c r="H102" s="3">
        <v>23</v>
      </c>
      <c r="I102" s="3">
        <f t="shared" si="0"/>
        <v>48</v>
      </c>
      <c r="J102" s="3">
        <f t="shared" si="1"/>
        <v>0</v>
      </c>
      <c r="K102" s="3">
        <v>0</v>
      </c>
      <c r="L102" s="3">
        <v>0</v>
      </c>
      <c r="M102" s="7">
        <v>45187</v>
      </c>
      <c r="N102" s="7">
        <v>27582</v>
      </c>
      <c r="O102" s="3" t="s">
        <v>456</v>
      </c>
      <c r="P102" s="3" t="s">
        <v>507</v>
      </c>
      <c r="Q102" s="3" t="s">
        <v>51</v>
      </c>
      <c r="R102" s="3"/>
      <c r="S102" s="3" t="s">
        <v>47</v>
      </c>
      <c r="Z102" s="1" t="s">
        <v>47</v>
      </c>
      <c r="AA102" s="1" t="s">
        <v>47</v>
      </c>
      <c r="AB102" s="1" t="s">
        <v>47</v>
      </c>
      <c r="AC102" s="1" t="s">
        <v>47</v>
      </c>
      <c r="AD102" s="1" t="s">
        <v>60</v>
      </c>
    </row>
    <row r="103" spans="1:30" ht="15.75" customHeight="1" x14ac:dyDescent="0.2">
      <c r="A103" s="13" t="s">
        <v>603</v>
      </c>
      <c r="B103" s="3" t="s">
        <v>604</v>
      </c>
      <c r="C103" s="9"/>
      <c r="D103" s="9" t="s">
        <v>54</v>
      </c>
      <c r="E103" s="3">
        <v>7160559</v>
      </c>
      <c r="F103" s="3"/>
      <c r="G103" s="3"/>
      <c r="H103" s="3"/>
      <c r="I103" s="3">
        <f t="shared" si="0"/>
        <v>19</v>
      </c>
      <c r="J103" s="3">
        <f t="shared" si="1"/>
        <v>1</v>
      </c>
      <c r="K103" s="3">
        <v>0</v>
      </c>
      <c r="L103" s="3">
        <v>1</v>
      </c>
      <c r="M103" s="7">
        <v>45195</v>
      </c>
      <c r="N103" s="7">
        <v>37947</v>
      </c>
      <c r="O103" s="3" t="s">
        <v>50</v>
      </c>
      <c r="P103" s="3" t="s">
        <v>67</v>
      </c>
      <c r="Q103" s="3" t="s">
        <v>45</v>
      </c>
      <c r="R103" s="3"/>
      <c r="S103" s="1" t="s">
        <v>47</v>
      </c>
      <c r="Z103" s="1" t="s">
        <v>47</v>
      </c>
      <c r="AA103" s="1" t="s">
        <v>142</v>
      </c>
      <c r="AB103" s="1" t="s">
        <v>47</v>
      </c>
      <c r="AC103" s="1" t="s">
        <v>47</v>
      </c>
      <c r="AD103" s="1" t="s">
        <v>47</v>
      </c>
    </row>
    <row r="104" spans="1:30" ht="15.75" customHeight="1" x14ac:dyDescent="0.2">
      <c r="A104" s="13" t="s">
        <v>605</v>
      </c>
      <c r="B104" s="3" t="s">
        <v>606</v>
      </c>
      <c r="C104" s="9"/>
      <c r="D104" s="9" t="s">
        <v>54</v>
      </c>
      <c r="E104" s="3">
        <v>7197219</v>
      </c>
      <c r="F104" s="3" t="s">
        <v>51</v>
      </c>
      <c r="G104" s="3"/>
      <c r="H104" s="3"/>
      <c r="I104" s="3">
        <f t="shared" si="0"/>
        <v>40</v>
      </c>
      <c r="J104" s="3">
        <f t="shared" si="1"/>
        <v>0</v>
      </c>
      <c r="K104" s="3">
        <v>0</v>
      </c>
      <c r="L104" s="3">
        <v>1</v>
      </c>
      <c r="M104" s="7">
        <v>45202</v>
      </c>
      <c r="N104" s="7">
        <v>30245</v>
      </c>
      <c r="O104" s="3" t="s">
        <v>50</v>
      </c>
      <c r="P104" s="3" t="s">
        <v>166</v>
      </c>
      <c r="Q104" s="3" t="s">
        <v>45</v>
      </c>
      <c r="S104" s="1" t="s">
        <v>47</v>
      </c>
      <c r="Z104" s="1" t="s">
        <v>607</v>
      </c>
      <c r="AA104" s="1" t="s">
        <v>608</v>
      </c>
      <c r="AB104" s="1" t="s">
        <v>47</v>
      </c>
      <c r="AC104" s="1" t="s">
        <v>47</v>
      </c>
      <c r="AD104" s="1" t="s">
        <v>47</v>
      </c>
    </row>
    <row r="105" spans="1:30" ht="15.75" customHeight="1" x14ac:dyDescent="0.2">
      <c r="A105" s="13" t="s">
        <v>609</v>
      </c>
      <c r="B105" s="3" t="s">
        <v>610</v>
      </c>
      <c r="C105" s="9"/>
      <c r="D105" s="9" t="s">
        <v>54</v>
      </c>
      <c r="E105" s="3">
        <v>7086068</v>
      </c>
      <c r="F105" s="3" t="s">
        <v>51</v>
      </c>
      <c r="G105" s="3"/>
      <c r="I105" s="3">
        <f t="shared" si="0"/>
        <v>20</v>
      </c>
      <c r="J105" s="3">
        <f t="shared" si="1"/>
        <v>1</v>
      </c>
      <c r="K105" s="3">
        <v>0</v>
      </c>
      <c r="L105" s="3">
        <v>1</v>
      </c>
      <c r="M105" s="7">
        <v>45204</v>
      </c>
      <c r="N105" s="7">
        <v>37547</v>
      </c>
      <c r="O105" s="3" t="s">
        <v>106</v>
      </c>
      <c r="P105" s="3" t="s">
        <v>67</v>
      </c>
      <c r="Q105" s="3" t="s">
        <v>45</v>
      </c>
      <c r="S105" s="1" t="s">
        <v>47</v>
      </c>
      <c r="T105" s="1" t="s">
        <v>47</v>
      </c>
      <c r="U105" s="1" t="s">
        <v>142</v>
      </c>
      <c r="V105" s="1" t="s">
        <v>47</v>
      </c>
      <c r="W105" s="1" t="s">
        <v>47</v>
      </c>
      <c r="X105" s="1" t="s">
        <v>47</v>
      </c>
      <c r="Y105" s="8"/>
      <c r="Z105" s="1" t="s">
        <v>47</v>
      </c>
      <c r="AA105" s="1" t="s">
        <v>142</v>
      </c>
      <c r="AB105" s="1" t="s">
        <v>47</v>
      </c>
      <c r="AC105" s="1" t="s">
        <v>47</v>
      </c>
      <c r="AD105" s="1" t="s">
        <v>47</v>
      </c>
    </row>
    <row r="106" spans="1:30" ht="15.75" customHeight="1" x14ac:dyDescent="0.2">
      <c r="A106" s="13" t="s">
        <v>611</v>
      </c>
      <c r="B106" s="3" t="s">
        <v>612</v>
      </c>
      <c r="C106" s="9"/>
      <c r="D106" s="9" t="s">
        <v>54</v>
      </c>
      <c r="E106" s="3">
        <v>7202866</v>
      </c>
      <c r="F106" s="3"/>
      <c r="G106" s="3"/>
      <c r="I106" s="3">
        <f t="shared" si="0"/>
        <v>58</v>
      </c>
      <c r="J106" s="3">
        <f t="shared" si="1"/>
        <v>0</v>
      </c>
      <c r="K106" s="3">
        <v>0</v>
      </c>
      <c r="L106" s="3">
        <v>1</v>
      </c>
      <c r="M106" s="7">
        <v>45209</v>
      </c>
      <c r="N106" s="7">
        <v>23779</v>
      </c>
      <c r="O106" s="3" t="s">
        <v>50</v>
      </c>
      <c r="P106" s="3" t="s">
        <v>77</v>
      </c>
      <c r="Q106" s="3" t="s">
        <v>45</v>
      </c>
      <c r="S106" s="1" t="s">
        <v>47</v>
      </c>
      <c r="Z106" s="1" t="s">
        <v>613</v>
      </c>
      <c r="AA106" s="1" t="s">
        <v>142</v>
      </c>
      <c r="AB106" s="1" t="s">
        <v>47</v>
      </c>
      <c r="AC106" s="1" t="s">
        <v>47</v>
      </c>
      <c r="AD106" s="1" t="s">
        <v>47</v>
      </c>
    </row>
    <row r="107" spans="1:30" ht="15.75" customHeight="1" x14ac:dyDescent="0.2">
      <c r="A107" s="13" t="s">
        <v>614</v>
      </c>
      <c r="B107" s="3" t="s">
        <v>615</v>
      </c>
      <c r="C107" s="9"/>
      <c r="D107" s="9" t="s">
        <v>54</v>
      </c>
      <c r="E107" s="3">
        <v>4051004</v>
      </c>
      <c r="F107" s="3" t="s">
        <v>51</v>
      </c>
      <c r="G107" s="3"/>
      <c r="H107" s="3"/>
      <c r="I107" s="3">
        <f t="shared" si="0"/>
        <v>43</v>
      </c>
      <c r="J107" s="3">
        <f t="shared" si="1"/>
        <v>0</v>
      </c>
      <c r="K107" s="3">
        <v>0</v>
      </c>
      <c r="L107" s="3">
        <v>1</v>
      </c>
      <c r="M107" s="7">
        <v>45216</v>
      </c>
      <c r="N107" s="7">
        <v>29179</v>
      </c>
      <c r="O107" s="3" t="s">
        <v>43</v>
      </c>
      <c r="P107" s="3" t="s">
        <v>67</v>
      </c>
      <c r="Q107" s="3" t="s">
        <v>45</v>
      </c>
      <c r="R107" s="3"/>
      <c r="S107" s="1" t="s">
        <v>47</v>
      </c>
      <c r="Z107" s="1" t="s">
        <v>47</v>
      </c>
      <c r="AA107" s="1" t="s">
        <v>142</v>
      </c>
      <c r="AB107" s="1" t="s">
        <v>47</v>
      </c>
      <c r="AC107" s="1" t="s">
        <v>47</v>
      </c>
      <c r="AD107" s="1" t="s">
        <v>47</v>
      </c>
    </row>
    <row r="108" spans="1:30" ht="15.75" customHeight="1" x14ac:dyDescent="0.2">
      <c r="A108" s="13" t="s">
        <v>616</v>
      </c>
      <c r="B108" s="3" t="s">
        <v>617</v>
      </c>
      <c r="C108" s="9"/>
      <c r="D108" s="9" t="s">
        <v>54</v>
      </c>
      <c r="E108" s="3">
        <v>3777854</v>
      </c>
      <c r="F108" s="3" t="s">
        <v>51</v>
      </c>
      <c r="G108" s="3"/>
      <c r="H108" s="3"/>
      <c r="I108" s="3">
        <f t="shared" si="0"/>
        <v>37</v>
      </c>
      <c r="J108" s="3">
        <f t="shared" si="1"/>
        <v>1</v>
      </c>
      <c r="K108" s="3">
        <v>0</v>
      </c>
      <c r="L108" s="3">
        <v>1</v>
      </c>
      <c r="M108" s="7">
        <v>45217</v>
      </c>
      <c r="N108" s="7">
        <v>31508</v>
      </c>
      <c r="O108" s="3" t="s">
        <v>50</v>
      </c>
      <c r="P108" s="3" t="s">
        <v>166</v>
      </c>
      <c r="Q108" s="3" t="s">
        <v>45</v>
      </c>
      <c r="R108" s="3"/>
      <c r="S108" s="3" t="s">
        <v>47</v>
      </c>
      <c r="Z108" s="1" t="s">
        <v>618</v>
      </c>
      <c r="AA108" s="1" t="s">
        <v>47</v>
      </c>
      <c r="AB108" s="1" t="s">
        <v>47</v>
      </c>
      <c r="AC108" s="1" t="s">
        <v>47</v>
      </c>
      <c r="AD108" s="1" t="s">
        <v>47</v>
      </c>
    </row>
    <row r="109" spans="1:30" ht="15.75" customHeight="1" x14ac:dyDescent="0.2">
      <c r="A109" s="13" t="s">
        <v>619</v>
      </c>
      <c r="B109" s="1" t="s">
        <v>620</v>
      </c>
      <c r="C109" s="9"/>
      <c r="D109" s="9" t="s">
        <v>54</v>
      </c>
      <c r="E109" s="1">
        <v>4467540</v>
      </c>
      <c r="H109" s="1">
        <v>23</v>
      </c>
      <c r="I109" s="3">
        <f t="shared" si="0"/>
        <v>29</v>
      </c>
      <c r="J109" s="3">
        <f t="shared" si="1"/>
        <v>1</v>
      </c>
      <c r="K109" s="1">
        <v>0</v>
      </c>
      <c r="L109" s="1">
        <v>1</v>
      </c>
      <c r="M109" s="7">
        <v>45251</v>
      </c>
      <c r="N109" s="7">
        <v>34471</v>
      </c>
      <c r="O109" s="1" t="s">
        <v>50</v>
      </c>
      <c r="P109" s="3" t="s">
        <v>44</v>
      </c>
      <c r="Q109" s="1" t="s">
        <v>51</v>
      </c>
      <c r="S109" s="3" t="s">
        <v>68</v>
      </c>
      <c r="Z109" s="1" t="s">
        <v>47</v>
      </c>
      <c r="AA109" s="1" t="s">
        <v>47</v>
      </c>
      <c r="AB109" s="1" t="s">
        <v>47</v>
      </c>
      <c r="AC109" s="1" t="s">
        <v>47</v>
      </c>
      <c r="AD109" s="1" t="s">
        <v>47</v>
      </c>
    </row>
    <row r="110" spans="1:30" ht="15.75" customHeight="1" x14ac:dyDescent="0.2">
      <c r="A110" s="13" t="s">
        <v>621</v>
      </c>
      <c r="B110" s="3" t="s">
        <v>622</v>
      </c>
      <c r="C110" s="9"/>
      <c r="D110" s="9" t="s">
        <v>54</v>
      </c>
      <c r="E110" s="3">
        <v>7130920</v>
      </c>
      <c r="F110" s="3"/>
      <c r="G110" s="3"/>
      <c r="I110" s="3">
        <f t="shared" si="0"/>
        <v>40</v>
      </c>
      <c r="J110" s="3">
        <f t="shared" si="1"/>
        <v>0</v>
      </c>
      <c r="K110" s="3">
        <v>0</v>
      </c>
      <c r="L110" s="3">
        <v>1</v>
      </c>
      <c r="M110" s="7">
        <v>45258</v>
      </c>
      <c r="N110" s="7">
        <v>30533</v>
      </c>
      <c r="O110" s="1" t="s">
        <v>50</v>
      </c>
      <c r="P110" s="3" t="s">
        <v>166</v>
      </c>
      <c r="Q110" s="3" t="s">
        <v>45</v>
      </c>
      <c r="S110" s="3" t="s">
        <v>68</v>
      </c>
      <c r="Z110" s="1" t="s">
        <v>623</v>
      </c>
      <c r="AA110" s="1" t="s">
        <v>142</v>
      </c>
      <c r="AB110" s="3" t="s">
        <v>47</v>
      </c>
      <c r="AC110" s="3" t="s">
        <v>47</v>
      </c>
      <c r="AD110" s="1" t="s">
        <v>624</v>
      </c>
    </row>
    <row r="111" spans="1:30" ht="15.75" customHeight="1" x14ac:dyDescent="0.2">
      <c r="A111" s="13" t="s">
        <v>625</v>
      </c>
      <c r="B111" s="3" t="s">
        <v>626</v>
      </c>
      <c r="C111" s="9"/>
      <c r="D111" s="9" t="s">
        <v>54</v>
      </c>
      <c r="E111" s="3">
        <v>3710380</v>
      </c>
      <c r="F111" s="3"/>
      <c r="G111" s="3"/>
      <c r="H111" s="3">
        <v>25</v>
      </c>
      <c r="I111" s="3">
        <f t="shared" si="0"/>
        <v>38</v>
      </c>
      <c r="J111" s="3">
        <f t="shared" si="1"/>
        <v>1</v>
      </c>
      <c r="K111" s="3">
        <v>0</v>
      </c>
      <c r="L111" s="3">
        <v>1</v>
      </c>
      <c r="M111" s="7">
        <v>45260</v>
      </c>
      <c r="N111" s="7">
        <v>31177</v>
      </c>
      <c r="O111" s="3" t="s">
        <v>50</v>
      </c>
      <c r="P111" s="3" t="s">
        <v>166</v>
      </c>
      <c r="Q111" s="3" t="s">
        <v>51</v>
      </c>
      <c r="R111" s="3"/>
      <c r="S111" s="3" t="s">
        <v>47</v>
      </c>
      <c r="Z111" s="1" t="s">
        <v>627</v>
      </c>
      <c r="AA111" s="3" t="s">
        <v>47</v>
      </c>
      <c r="AB111" s="3" t="s">
        <v>47</v>
      </c>
      <c r="AC111" s="3" t="s">
        <v>47</v>
      </c>
      <c r="AD111" s="3" t="s">
        <v>47</v>
      </c>
    </row>
    <row r="112" spans="1:30" ht="15.75" customHeight="1" x14ac:dyDescent="0.2">
      <c r="A112" s="13" t="s">
        <v>628</v>
      </c>
      <c r="B112" s="3" t="s">
        <v>629</v>
      </c>
      <c r="C112" s="9"/>
      <c r="D112" s="9" t="s">
        <v>42</v>
      </c>
      <c r="E112" s="3">
        <v>3803251</v>
      </c>
      <c r="F112" s="3"/>
      <c r="G112" s="3"/>
      <c r="H112" s="3">
        <v>39</v>
      </c>
      <c r="I112" s="3">
        <f t="shared" si="0"/>
        <v>53</v>
      </c>
      <c r="J112" s="3">
        <f t="shared" si="1"/>
        <v>0</v>
      </c>
      <c r="K112" s="3">
        <v>0</v>
      </c>
      <c r="L112" s="3">
        <v>1</v>
      </c>
      <c r="M112" s="7">
        <v>45264</v>
      </c>
      <c r="N112" s="7">
        <v>25567</v>
      </c>
      <c r="O112" s="3" t="s">
        <v>50</v>
      </c>
      <c r="P112" s="3" t="s">
        <v>166</v>
      </c>
      <c r="Q112" s="3" t="s">
        <v>51</v>
      </c>
      <c r="R112" s="3"/>
      <c r="S112" s="3" t="s">
        <v>47</v>
      </c>
      <c r="T112" s="1" t="s">
        <v>47</v>
      </c>
      <c r="U112" s="1" t="s">
        <v>47</v>
      </c>
      <c r="V112" s="1" t="s">
        <v>47</v>
      </c>
      <c r="W112" s="1" t="s">
        <v>47</v>
      </c>
      <c r="X112" s="1" t="s">
        <v>47</v>
      </c>
      <c r="Z112" s="1" t="s">
        <v>630</v>
      </c>
      <c r="AA112" s="1" t="s">
        <v>47</v>
      </c>
      <c r="AB112" s="1" t="s">
        <v>47</v>
      </c>
      <c r="AC112" s="1" t="s">
        <v>47</v>
      </c>
      <c r="AD112" s="1" t="s">
        <v>47</v>
      </c>
    </row>
    <row r="113" spans="1:33" ht="15.75" customHeight="1" x14ac:dyDescent="0.2">
      <c r="A113" s="13" t="s">
        <v>631</v>
      </c>
      <c r="B113" s="3" t="s">
        <v>632</v>
      </c>
      <c r="C113" s="9"/>
      <c r="D113" s="9" t="s">
        <v>42</v>
      </c>
      <c r="E113" s="3">
        <v>3052442</v>
      </c>
      <c r="F113" s="3" t="s">
        <v>51</v>
      </c>
      <c r="G113" s="3"/>
      <c r="H113" s="3">
        <v>34</v>
      </c>
      <c r="I113" s="3">
        <f t="shared" si="0"/>
        <v>41</v>
      </c>
      <c r="J113" s="3">
        <f t="shared" si="1"/>
        <v>0</v>
      </c>
      <c r="K113" s="3">
        <v>0</v>
      </c>
      <c r="L113" s="3">
        <v>1</v>
      </c>
      <c r="M113" s="7">
        <v>45272</v>
      </c>
      <c r="N113" s="7">
        <v>30171</v>
      </c>
      <c r="O113" s="3" t="s">
        <v>43</v>
      </c>
      <c r="P113" s="3" t="s">
        <v>44</v>
      </c>
      <c r="Q113" s="3" t="s">
        <v>51</v>
      </c>
      <c r="R113" s="3"/>
      <c r="S113" s="3" t="s">
        <v>68</v>
      </c>
      <c r="Z113" s="1" t="s">
        <v>47</v>
      </c>
      <c r="AA113" s="1" t="s">
        <v>47</v>
      </c>
      <c r="AB113" s="1" t="s">
        <v>47</v>
      </c>
      <c r="AC113" s="1" t="s">
        <v>47</v>
      </c>
      <c r="AD113" s="1" t="s">
        <v>47</v>
      </c>
    </row>
    <row r="114" spans="1:33" ht="15.75" customHeight="1" x14ac:dyDescent="0.2">
      <c r="A114" s="13" t="s">
        <v>633</v>
      </c>
      <c r="B114" s="3" t="s">
        <v>634</v>
      </c>
      <c r="C114" s="9"/>
      <c r="D114" s="9" t="s">
        <v>42</v>
      </c>
      <c r="E114" s="3">
        <v>7231252</v>
      </c>
      <c r="F114" s="3" t="s">
        <v>51</v>
      </c>
      <c r="G114" s="3"/>
      <c r="H114" s="3"/>
      <c r="I114" s="3">
        <f t="shared" si="0"/>
        <v>46</v>
      </c>
      <c r="J114" s="3">
        <f t="shared" si="1"/>
        <v>0</v>
      </c>
      <c r="K114" s="3">
        <v>0</v>
      </c>
      <c r="L114" s="3">
        <v>1</v>
      </c>
      <c r="M114" s="7">
        <v>45279</v>
      </c>
      <c r="N114" s="7">
        <v>28191</v>
      </c>
      <c r="O114" s="3" t="s">
        <v>151</v>
      </c>
      <c r="P114" s="3" t="s">
        <v>67</v>
      </c>
      <c r="Q114" s="3" t="s">
        <v>45</v>
      </c>
      <c r="R114" s="3"/>
      <c r="S114" s="3" t="s">
        <v>47</v>
      </c>
      <c r="Z114" s="1" t="s">
        <v>47</v>
      </c>
      <c r="AA114" s="1" t="s">
        <v>47</v>
      </c>
      <c r="AB114" s="1" t="s">
        <v>47</v>
      </c>
      <c r="AC114" s="1" t="s">
        <v>47</v>
      </c>
      <c r="AD114" s="1" t="s">
        <v>47</v>
      </c>
    </row>
    <row r="115" spans="1:33" ht="15.75" customHeight="1" x14ac:dyDescent="0.2">
      <c r="A115" s="8" t="s">
        <v>635</v>
      </c>
      <c r="B115" s="3" t="s">
        <v>636</v>
      </c>
      <c r="D115" s="1" t="s">
        <v>42</v>
      </c>
      <c r="E115" s="3">
        <v>7245734</v>
      </c>
      <c r="F115" s="3"/>
      <c r="G115" s="3"/>
      <c r="H115" s="3"/>
      <c r="I115" s="3">
        <f t="shared" si="0"/>
        <v>52</v>
      </c>
      <c r="J115" s="3">
        <f t="shared" si="1"/>
        <v>0</v>
      </c>
      <c r="K115" s="3">
        <v>0</v>
      </c>
      <c r="L115" s="3">
        <v>1</v>
      </c>
      <c r="M115" s="7">
        <v>45303</v>
      </c>
      <c r="N115" s="7">
        <v>26058</v>
      </c>
      <c r="O115" s="3" t="s">
        <v>50</v>
      </c>
      <c r="P115" s="3" t="s">
        <v>44</v>
      </c>
      <c r="Q115" s="3" t="s">
        <v>45</v>
      </c>
      <c r="R115" s="3" t="s">
        <v>637</v>
      </c>
      <c r="S115" s="3" t="s">
        <v>46</v>
      </c>
      <c r="Z115" s="1" t="s">
        <v>47</v>
      </c>
      <c r="AA115" s="1" t="s">
        <v>46</v>
      </c>
      <c r="AB115" s="1" t="s">
        <v>47</v>
      </c>
      <c r="AC115" s="1" t="s">
        <v>47</v>
      </c>
      <c r="AD115" s="1" t="s">
        <v>638</v>
      </c>
      <c r="AE115" s="1" t="s">
        <v>639</v>
      </c>
      <c r="AF115" s="1" t="s">
        <v>640</v>
      </c>
      <c r="AG115" s="1" t="s">
        <v>641</v>
      </c>
    </row>
    <row r="116" spans="1:33" ht="15.75" customHeight="1" x14ac:dyDescent="0.2">
      <c r="A116" s="8" t="s">
        <v>642</v>
      </c>
      <c r="B116" s="3" t="s">
        <v>643</v>
      </c>
      <c r="D116" s="1" t="s">
        <v>42</v>
      </c>
      <c r="E116" s="3">
        <v>4636921</v>
      </c>
      <c r="F116" s="3" t="s">
        <v>51</v>
      </c>
      <c r="G116" s="3" t="s">
        <v>644</v>
      </c>
      <c r="H116" s="3"/>
      <c r="I116" s="3">
        <f t="shared" si="0"/>
        <v>30</v>
      </c>
      <c r="J116" s="3">
        <f t="shared" si="1"/>
        <v>1</v>
      </c>
      <c r="K116" s="3">
        <v>0</v>
      </c>
      <c r="L116" s="3">
        <v>1</v>
      </c>
      <c r="M116" s="7">
        <v>45307</v>
      </c>
      <c r="N116" s="7">
        <v>34045</v>
      </c>
      <c r="O116" s="3" t="s">
        <v>50</v>
      </c>
      <c r="P116" s="3" t="s">
        <v>44</v>
      </c>
      <c r="Q116" s="3" t="s">
        <v>45</v>
      </c>
      <c r="R116" s="3"/>
      <c r="S116" s="3" t="s">
        <v>68</v>
      </c>
      <c r="Z116" s="1" t="s">
        <v>47</v>
      </c>
      <c r="AA116" s="1" t="s">
        <v>47</v>
      </c>
      <c r="AB116" s="1" t="s">
        <v>47</v>
      </c>
      <c r="AC116" s="1" t="s">
        <v>47</v>
      </c>
      <c r="AD116" s="1" t="s">
        <v>47</v>
      </c>
    </row>
    <row r="117" spans="1:33" ht="15.75" customHeight="1" x14ac:dyDescent="0.2">
      <c r="A117" s="8" t="s">
        <v>645</v>
      </c>
      <c r="B117" s="3" t="s">
        <v>646</v>
      </c>
      <c r="D117" s="1" t="s">
        <v>42</v>
      </c>
      <c r="E117" s="3">
        <v>1164600</v>
      </c>
      <c r="F117" s="3" t="s">
        <v>51</v>
      </c>
      <c r="G117" s="3" t="s">
        <v>644</v>
      </c>
      <c r="H117" s="3">
        <v>37</v>
      </c>
      <c r="I117" s="3">
        <f t="shared" si="0"/>
        <v>47</v>
      </c>
      <c r="J117" s="3">
        <f t="shared" si="1"/>
        <v>0</v>
      </c>
      <c r="K117" s="3">
        <v>0</v>
      </c>
      <c r="L117" s="3">
        <v>1</v>
      </c>
      <c r="M117" s="7">
        <v>45327</v>
      </c>
      <c r="N117" s="7">
        <v>27885</v>
      </c>
      <c r="O117" s="3" t="s">
        <v>50</v>
      </c>
      <c r="P117" s="3" t="s">
        <v>166</v>
      </c>
      <c r="Q117" s="3" t="s">
        <v>51</v>
      </c>
      <c r="R117" s="3"/>
      <c r="S117" s="3" t="s">
        <v>47</v>
      </c>
      <c r="Z117" s="1" t="s">
        <v>647</v>
      </c>
      <c r="AA117" s="1" t="s">
        <v>47</v>
      </c>
      <c r="AB117" s="1" t="s">
        <v>47</v>
      </c>
      <c r="AC117" s="1" t="s">
        <v>47</v>
      </c>
      <c r="AD117" s="1" t="s">
        <v>47</v>
      </c>
    </row>
    <row r="118" spans="1:33" ht="15.75" customHeight="1" x14ac:dyDescent="0.2">
      <c r="A118" s="8" t="s">
        <v>648</v>
      </c>
      <c r="B118" s="3" t="s">
        <v>649</v>
      </c>
      <c r="D118" s="1" t="s">
        <v>42</v>
      </c>
      <c r="E118" s="3">
        <v>7267535</v>
      </c>
      <c r="F118" s="3" t="s">
        <v>51</v>
      </c>
      <c r="G118" s="3" t="s">
        <v>644</v>
      </c>
      <c r="H118" s="3"/>
      <c r="I118" s="3">
        <f t="shared" si="0"/>
        <v>29</v>
      </c>
      <c r="J118" s="3">
        <f t="shared" si="1"/>
        <v>1</v>
      </c>
      <c r="K118" s="3">
        <v>0</v>
      </c>
      <c r="L118" s="3">
        <v>1</v>
      </c>
      <c r="M118" s="7">
        <v>45415</v>
      </c>
      <c r="N118" s="7">
        <v>34677</v>
      </c>
      <c r="O118" s="3" t="s">
        <v>50</v>
      </c>
      <c r="P118" s="3" t="s">
        <v>44</v>
      </c>
      <c r="Q118" s="3" t="s">
        <v>45</v>
      </c>
      <c r="R118" s="3"/>
      <c r="S118" s="3" t="s">
        <v>68</v>
      </c>
      <c r="Z118" s="1" t="s">
        <v>47</v>
      </c>
      <c r="AA118" s="1" t="s">
        <v>47</v>
      </c>
      <c r="AB118" s="1" t="s">
        <v>47</v>
      </c>
      <c r="AC118" s="1" t="s">
        <v>47</v>
      </c>
      <c r="AD118" s="1" t="s">
        <v>650</v>
      </c>
      <c r="AE118" s="1" t="s">
        <v>434</v>
      </c>
      <c r="AF118" s="1" t="s">
        <v>651</v>
      </c>
    </row>
    <row r="119" spans="1:33" ht="15.75" customHeight="1" x14ac:dyDescent="0.2">
      <c r="A119" s="8" t="s">
        <v>652</v>
      </c>
      <c r="B119" s="1" t="s">
        <v>653</v>
      </c>
      <c r="D119" s="1" t="s">
        <v>42</v>
      </c>
      <c r="E119" s="3">
        <v>4690500</v>
      </c>
      <c r="F119" s="3"/>
      <c r="G119" s="3" t="s">
        <v>654</v>
      </c>
      <c r="I119" s="3">
        <f t="shared" si="0"/>
        <v>34</v>
      </c>
      <c r="J119" s="3">
        <f t="shared" si="1"/>
        <v>1</v>
      </c>
      <c r="K119" s="3">
        <v>0</v>
      </c>
      <c r="L119" s="3">
        <v>1</v>
      </c>
      <c r="M119" s="7">
        <v>45365</v>
      </c>
      <c r="N119" s="7">
        <v>32825</v>
      </c>
      <c r="O119" s="3" t="s">
        <v>106</v>
      </c>
      <c r="P119" s="3" t="s">
        <v>77</v>
      </c>
      <c r="Q119" s="3" t="s">
        <v>45</v>
      </c>
      <c r="S119" s="3" t="s">
        <v>68</v>
      </c>
      <c r="Z119" s="1" t="s">
        <v>655</v>
      </c>
      <c r="AA119" s="1" t="s">
        <v>46</v>
      </c>
      <c r="AB119" s="1" t="s">
        <v>47</v>
      </c>
      <c r="AC119" s="1" t="s">
        <v>47</v>
      </c>
      <c r="AD119" s="1" t="s">
        <v>47</v>
      </c>
    </row>
    <row r="120" spans="1:33" ht="15.75" customHeight="1" x14ac:dyDescent="0.2">
      <c r="A120" s="8" t="s">
        <v>656</v>
      </c>
      <c r="B120" s="1" t="s">
        <v>657</v>
      </c>
      <c r="D120" s="1" t="s">
        <v>42</v>
      </c>
      <c r="E120" s="3">
        <v>7175295</v>
      </c>
      <c r="F120" s="3" t="s">
        <v>51</v>
      </c>
      <c r="G120" s="3" t="s">
        <v>654</v>
      </c>
      <c r="I120" s="3">
        <f t="shared" si="0"/>
        <v>33</v>
      </c>
      <c r="J120" s="3">
        <f t="shared" si="1"/>
        <v>1</v>
      </c>
      <c r="K120" s="3">
        <v>0</v>
      </c>
      <c r="L120" s="3">
        <v>1</v>
      </c>
      <c r="M120" s="7">
        <v>45366</v>
      </c>
      <c r="N120" s="7">
        <v>33103</v>
      </c>
      <c r="O120" s="3" t="s">
        <v>177</v>
      </c>
      <c r="P120" s="1" t="s">
        <v>91</v>
      </c>
      <c r="Q120" s="3" t="s">
        <v>45</v>
      </c>
      <c r="S120" s="3" t="s">
        <v>68</v>
      </c>
      <c r="T120" s="8"/>
      <c r="U120" s="8"/>
      <c r="V120" s="8"/>
      <c r="W120" s="8"/>
      <c r="X120" s="8"/>
      <c r="Y120" s="8"/>
      <c r="Z120" s="1" t="s">
        <v>47</v>
      </c>
      <c r="AA120" s="1" t="s">
        <v>658</v>
      </c>
      <c r="AB120" s="1" t="s">
        <v>47</v>
      </c>
      <c r="AC120" s="1" t="s">
        <v>47</v>
      </c>
      <c r="AD120" s="1" t="s">
        <v>47</v>
      </c>
    </row>
    <row r="121" spans="1:33" ht="15.75" customHeight="1" x14ac:dyDescent="0.2">
      <c r="A121" s="8" t="s">
        <v>659</v>
      </c>
      <c r="B121" s="3" t="s">
        <v>660</v>
      </c>
      <c r="D121" s="1" t="s">
        <v>42</v>
      </c>
      <c r="E121" s="3">
        <v>3879460</v>
      </c>
      <c r="F121" s="3" t="s">
        <v>51</v>
      </c>
      <c r="G121" s="3" t="s">
        <v>654</v>
      </c>
      <c r="H121" s="3"/>
      <c r="I121" s="3">
        <f t="shared" si="0"/>
        <v>30</v>
      </c>
      <c r="J121" s="3">
        <f t="shared" si="1"/>
        <v>1</v>
      </c>
      <c r="K121" s="3">
        <v>0</v>
      </c>
      <c r="L121" s="3">
        <v>1</v>
      </c>
      <c r="M121" s="7">
        <v>45378</v>
      </c>
      <c r="N121" s="7">
        <v>34402</v>
      </c>
      <c r="O121" s="3" t="s">
        <v>106</v>
      </c>
      <c r="P121" s="3" t="s">
        <v>67</v>
      </c>
      <c r="Q121" s="3" t="s">
        <v>45</v>
      </c>
      <c r="R121" s="3"/>
      <c r="S121" s="1" t="s">
        <v>47</v>
      </c>
      <c r="Z121" s="1" t="s">
        <v>47</v>
      </c>
      <c r="AA121" s="1" t="s">
        <v>46</v>
      </c>
      <c r="AB121" s="1" t="s">
        <v>47</v>
      </c>
      <c r="AC121" s="1" t="s">
        <v>47</v>
      </c>
      <c r="AD121" s="1" t="s">
        <v>47</v>
      </c>
    </row>
    <row r="122" spans="1:33" ht="15.75" customHeight="1" x14ac:dyDescent="0.2">
      <c r="A122" s="8" t="s">
        <v>661</v>
      </c>
      <c r="B122" s="3" t="s">
        <v>662</v>
      </c>
      <c r="D122" s="1" t="s">
        <v>42</v>
      </c>
      <c r="E122" s="3">
        <v>7167145</v>
      </c>
      <c r="F122" s="3" t="s">
        <v>51</v>
      </c>
      <c r="G122" s="3" t="s">
        <v>654</v>
      </c>
      <c r="H122" s="3"/>
      <c r="I122" s="3">
        <f t="shared" si="0"/>
        <v>46</v>
      </c>
      <c r="J122" s="3">
        <f t="shared" si="1"/>
        <v>0</v>
      </c>
      <c r="K122" s="3">
        <v>0</v>
      </c>
      <c r="L122" s="3">
        <v>1</v>
      </c>
      <c r="M122" s="7">
        <v>45379</v>
      </c>
      <c r="N122" s="7">
        <v>28315</v>
      </c>
      <c r="O122" s="3" t="s">
        <v>106</v>
      </c>
      <c r="P122" s="3" t="s">
        <v>67</v>
      </c>
      <c r="Q122" s="3" t="s">
        <v>45</v>
      </c>
      <c r="R122" s="3"/>
      <c r="S122" s="1" t="s">
        <v>68</v>
      </c>
      <c r="T122" s="8"/>
      <c r="U122" s="8"/>
      <c r="V122" s="8"/>
      <c r="W122" s="8"/>
      <c r="X122" s="8"/>
      <c r="Y122" s="8"/>
      <c r="Z122" s="1" t="s">
        <v>47</v>
      </c>
      <c r="AA122" s="1" t="s">
        <v>663</v>
      </c>
      <c r="AB122" s="1" t="s">
        <v>47</v>
      </c>
      <c r="AC122" s="1" t="s">
        <v>47</v>
      </c>
      <c r="AD122" s="1" t="s">
        <v>664</v>
      </c>
    </row>
    <row r="123" spans="1:33" ht="15.75" customHeight="1" x14ac:dyDescent="0.2">
      <c r="A123" s="8" t="s">
        <v>665</v>
      </c>
      <c r="B123" s="3" t="s">
        <v>666</v>
      </c>
      <c r="D123" s="1" t="s">
        <v>42</v>
      </c>
      <c r="E123" s="3">
        <v>7279562</v>
      </c>
      <c r="F123" s="3" t="s">
        <v>51</v>
      </c>
      <c r="G123" s="3" t="s">
        <v>644</v>
      </c>
      <c r="I123" s="3">
        <f t="shared" si="0"/>
        <v>31</v>
      </c>
      <c r="J123" s="3">
        <f t="shared" si="1"/>
        <v>1</v>
      </c>
      <c r="K123" s="3">
        <v>0</v>
      </c>
      <c r="L123" s="3">
        <v>1</v>
      </c>
      <c r="M123" s="7">
        <v>45390</v>
      </c>
      <c r="N123" s="7">
        <v>33744</v>
      </c>
      <c r="O123" s="3" t="s">
        <v>177</v>
      </c>
      <c r="P123" s="3" t="s">
        <v>67</v>
      </c>
      <c r="Q123" s="3" t="s">
        <v>45</v>
      </c>
      <c r="S123" s="3" t="s">
        <v>68</v>
      </c>
      <c r="Z123" s="1" t="s">
        <v>47</v>
      </c>
      <c r="AA123" s="1" t="s">
        <v>46</v>
      </c>
      <c r="AB123" s="1" t="s">
        <v>47</v>
      </c>
      <c r="AC123" s="1" t="s">
        <v>47</v>
      </c>
      <c r="AD123" s="1" t="s">
        <v>47</v>
      </c>
    </row>
    <row r="124" spans="1:33" ht="15.75" customHeight="1" x14ac:dyDescent="0.2">
      <c r="A124" s="8" t="s">
        <v>667</v>
      </c>
      <c r="B124" s="3" t="s">
        <v>668</v>
      </c>
      <c r="D124" s="1" t="s">
        <v>42</v>
      </c>
      <c r="E124" s="1">
        <v>1313954</v>
      </c>
      <c r="F124" s="1" t="s">
        <v>51</v>
      </c>
      <c r="G124" s="1" t="s">
        <v>654</v>
      </c>
      <c r="H124" s="1">
        <v>41</v>
      </c>
      <c r="I124" s="3">
        <f t="shared" si="0"/>
        <v>57</v>
      </c>
      <c r="J124" s="3">
        <f t="shared" si="1"/>
        <v>0</v>
      </c>
      <c r="K124" s="1">
        <v>0</v>
      </c>
      <c r="L124" s="1">
        <v>1</v>
      </c>
      <c r="M124" s="7">
        <v>45392</v>
      </c>
      <c r="N124" s="7">
        <v>24380</v>
      </c>
      <c r="O124" s="1" t="s">
        <v>50</v>
      </c>
      <c r="P124" s="1" t="s">
        <v>166</v>
      </c>
      <c r="Q124" s="1" t="s">
        <v>51</v>
      </c>
      <c r="R124" s="3"/>
      <c r="S124" s="1" t="s">
        <v>47</v>
      </c>
      <c r="Z124" s="1" t="s">
        <v>167</v>
      </c>
      <c r="AA124" s="1" t="s">
        <v>47</v>
      </c>
      <c r="AB124" s="1" t="s">
        <v>47</v>
      </c>
      <c r="AC124" s="1" t="s">
        <v>47</v>
      </c>
      <c r="AD124" s="1" t="s">
        <v>47</v>
      </c>
    </row>
    <row r="125" spans="1:33" ht="15.75" customHeight="1" x14ac:dyDescent="0.2">
      <c r="A125" s="8" t="s">
        <v>669</v>
      </c>
      <c r="B125" s="3" t="s">
        <v>670</v>
      </c>
      <c r="D125" s="1" t="s">
        <v>42</v>
      </c>
      <c r="E125" s="1">
        <v>7275647</v>
      </c>
      <c r="G125" s="1" t="s">
        <v>644</v>
      </c>
      <c r="I125" s="3">
        <f t="shared" si="0"/>
        <v>37</v>
      </c>
      <c r="J125" s="3">
        <f t="shared" si="1"/>
        <v>1</v>
      </c>
      <c r="K125" s="1">
        <v>0</v>
      </c>
      <c r="L125" s="1">
        <v>1</v>
      </c>
      <c r="M125" s="7">
        <v>45404</v>
      </c>
      <c r="N125" s="7">
        <v>31797</v>
      </c>
      <c r="O125" s="1" t="s">
        <v>671</v>
      </c>
      <c r="P125" s="1" t="s">
        <v>166</v>
      </c>
      <c r="Q125" s="1" t="s">
        <v>51</v>
      </c>
      <c r="S125" s="1" t="s">
        <v>47</v>
      </c>
      <c r="Z125" s="1" t="s">
        <v>672</v>
      </c>
      <c r="AA125" s="1" t="s">
        <v>47</v>
      </c>
      <c r="AB125" s="1" t="s">
        <v>47</v>
      </c>
      <c r="AC125" s="1" t="s">
        <v>47</v>
      </c>
      <c r="AD125" s="1" t="s">
        <v>47</v>
      </c>
    </row>
    <row r="126" spans="1:33" ht="15.75" customHeight="1" x14ac:dyDescent="0.2">
      <c r="A126" s="8" t="s">
        <v>673</v>
      </c>
      <c r="B126" s="11" t="s">
        <v>674</v>
      </c>
      <c r="D126" s="1" t="s">
        <v>42</v>
      </c>
      <c r="E126" s="11">
        <v>7289013</v>
      </c>
      <c r="F126" s="11"/>
      <c r="G126" s="11" t="s">
        <v>644</v>
      </c>
      <c r="H126" s="11"/>
      <c r="I126" s="11">
        <f t="shared" si="0"/>
        <v>39</v>
      </c>
      <c r="J126" s="11">
        <f t="shared" si="1"/>
        <v>1</v>
      </c>
      <c r="K126" s="11">
        <v>0</v>
      </c>
      <c r="L126" s="11">
        <v>1</v>
      </c>
      <c r="M126" s="20">
        <v>45412</v>
      </c>
      <c r="N126" s="20">
        <v>31090</v>
      </c>
      <c r="O126" s="11" t="s">
        <v>43</v>
      </c>
      <c r="P126" s="11" t="s">
        <v>44</v>
      </c>
      <c r="Q126" s="11" t="s">
        <v>45</v>
      </c>
      <c r="S126" s="3" t="s">
        <v>68</v>
      </c>
      <c r="Z126" s="1" t="s">
        <v>47</v>
      </c>
      <c r="AA126" s="1" t="s">
        <v>47</v>
      </c>
      <c r="AB126" s="1" t="s">
        <v>47</v>
      </c>
      <c r="AC126" s="1" t="s">
        <v>47</v>
      </c>
      <c r="AD126" s="1" t="s">
        <v>47</v>
      </c>
    </row>
    <row r="127" spans="1:33" ht="15.75" customHeight="1" x14ac:dyDescent="0.2">
      <c r="A127" s="8" t="s">
        <v>675</v>
      </c>
      <c r="B127" s="3" t="s">
        <v>676</v>
      </c>
      <c r="D127" s="1" t="s">
        <v>42</v>
      </c>
      <c r="E127" s="3">
        <v>7242562</v>
      </c>
      <c r="F127" s="3"/>
      <c r="G127" s="3" t="s">
        <v>654</v>
      </c>
      <c r="H127" s="3"/>
      <c r="I127" s="3">
        <f t="shared" si="0"/>
        <v>36</v>
      </c>
      <c r="J127" s="3">
        <f t="shared" si="1"/>
        <v>1</v>
      </c>
      <c r="K127" s="3">
        <v>0</v>
      </c>
      <c r="L127" s="3">
        <v>1</v>
      </c>
      <c r="M127" s="7">
        <v>45420</v>
      </c>
      <c r="N127" s="7">
        <v>32047</v>
      </c>
      <c r="O127" s="3" t="s">
        <v>106</v>
      </c>
      <c r="P127" s="3" t="s">
        <v>67</v>
      </c>
      <c r="Q127" s="3" t="s">
        <v>45</v>
      </c>
      <c r="R127" s="3"/>
      <c r="S127" s="1" t="s">
        <v>47</v>
      </c>
      <c r="Z127" s="1" t="s">
        <v>47</v>
      </c>
      <c r="AA127" s="1" t="s">
        <v>46</v>
      </c>
      <c r="AB127" s="1" t="s">
        <v>47</v>
      </c>
      <c r="AC127" s="1" t="s">
        <v>47</v>
      </c>
      <c r="AD127" s="1" t="s">
        <v>47</v>
      </c>
    </row>
    <row r="128" spans="1:33" ht="15.75" customHeight="1" x14ac:dyDescent="0.2">
      <c r="A128" s="8" t="s">
        <v>677</v>
      </c>
      <c r="B128" s="1" t="s">
        <v>678</v>
      </c>
      <c r="D128" s="1" t="s">
        <v>42</v>
      </c>
      <c r="E128" s="1">
        <v>3697960</v>
      </c>
      <c r="G128" s="1" t="s">
        <v>654</v>
      </c>
      <c r="H128" s="1">
        <v>46</v>
      </c>
      <c r="I128" s="3">
        <f t="shared" si="0"/>
        <v>62</v>
      </c>
      <c r="J128" s="3">
        <f t="shared" si="1"/>
        <v>0</v>
      </c>
      <c r="K128" s="1">
        <v>0</v>
      </c>
      <c r="L128" s="1">
        <v>1</v>
      </c>
      <c r="M128" s="7">
        <v>45426</v>
      </c>
      <c r="N128" s="7">
        <v>22668</v>
      </c>
      <c r="O128" s="1" t="s">
        <v>50</v>
      </c>
      <c r="P128" s="1" t="s">
        <v>166</v>
      </c>
      <c r="Q128" s="1" t="s">
        <v>51</v>
      </c>
      <c r="S128" s="3" t="s">
        <v>68</v>
      </c>
      <c r="Z128" s="1" t="s">
        <v>679</v>
      </c>
      <c r="AA128" s="1" t="s">
        <v>47</v>
      </c>
      <c r="AB128" s="1" t="s">
        <v>47</v>
      </c>
      <c r="AC128" s="1" t="s">
        <v>47</v>
      </c>
      <c r="AD128" s="1" t="s">
        <v>47</v>
      </c>
    </row>
    <row r="129" spans="1:37" ht="15.75" customHeight="1" x14ac:dyDescent="0.2">
      <c r="A129" s="8" t="s">
        <v>680</v>
      </c>
      <c r="B129" s="1" t="s">
        <v>681</v>
      </c>
      <c r="D129" s="1" t="s">
        <v>42</v>
      </c>
      <c r="E129" s="1">
        <v>2774509</v>
      </c>
      <c r="F129" s="1" t="s">
        <v>51</v>
      </c>
      <c r="G129" s="1" t="s">
        <v>654</v>
      </c>
      <c r="I129" s="3">
        <f t="shared" si="0"/>
        <v>61</v>
      </c>
      <c r="J129" s="3">
        <f t="shared" si="1"/>
        <v>0</v>
      </c>
      <c r="K129" s="1">
        <v>0</v>
      </c>
      <c r="L129" s="1">
        <v>1</v>
      </c>
      <c r="M129" s="7">
        <v>45429</v>
      </c>
      <c r="N129" s="7">
        <v>23141</v>
      </c>
      <c r="O129" s="1" t="s">
        <v>50</v>
      </c>
      <c r="P129" s="1" t="s">
        <v>166</v>
      </c>
      <c r="Q129" s="1" t="s">
        <v>45</v>
      </c>
      <c r="S129" s="3" t="s">
        <v>68</v>
      </c>
      <c r="Z129" s="3" t="s">
        <v>682</v>
      </c>
      <c r="AA129" s="1" t="s">
        <v>47</v>
      </c>
      <c r="AB129" s="1" t="s">
        <v>47</v>
      </c>
      <c r="AC129" s="1" t="s">
        <v>47</v>
      </c>
      <c r="AD129" s="1" t="s">
        <v>47</v>
      </c>
    </row>
    <row r="130" spans="1:37" ht="15.75" customHeight="1" x14ac:dyDescent="0.2">
      <c r="A130" s="8" t="s">
        <v>683</v>
      </c>
      <c r="B130" s="1" t="s">
        <v>684</v>
      </c>
      <c r="D130" s="1" t="s">
        <v>42</v>
      </c>
      <c r="E130" s="1">
        <v>7271892</v>
      </c>
      <c r="G130" s="1" t="s">
        <v>654</v>
      </c>
      <c r="I130" s="3">
        <f t="shared" si="0"/>
        <v>39</v>
      </c>
      <c r="J130" s="3">
        <f t="shared" si="1"/>
        <v>1</v>
      </c>
      <c r="K130" s="1">
        <v>0</v>
      </c>
      <c r="L130" s="1">
        <v>1</v>
      </c>
      <c r="M130" s="7">
        <v>45434</v>
      </c>
      <c r="N130" s="7">
        <v>30882</v>
      </c>
      <c r="O130" s="1" t="s">
        <v>50</v>
      </c>
      <c r="P130" s="3" t="s">
        <v>77</v>
      </c>
      <c r="Q130" s="1" t="s">
        <v>45</v>
      </c>
      <c r="S130" s="1" t="s">
        <v>47</v>
      </c>
      <c r="Z130" s="3" t="s">
        <v>685</v>
      </c>
      <c r="AA130" s="1" t="s">
        <v>46</v>
      </c>
      <c r="AB130" s="1" t="s">
        <v>47</v>
      </c>
      <c r="AC130" s="1" t="s">
        <v>47</v>
      </c>
      <c r="AD130" s="1" t="s">
        <v>47</v>
      </c>
    </row>
    <row r="131" spans="1:37" ht="15.75" customHeight="1" x14ac:dyDescent="0.2">
      <c r="A131" s="8" t="s">
        <v>686</v>
      </c>
      <c r="B131" s="3" t="s">
        <v>687</v>
      </c>
      <c r="D131" s="1" t="s">
        <v>42</v>
      </c>
      <c r="E131" s="3">
        <v>7277987</v>
      </c>
      <c r="F131" s="3" t="s">
        <v>51</v>
      </c>
      <c r="G131" s="3" t="s">
        <v>654</v>
      </c>
      <c r="H131" s="3"/>
      <c r="I131" s="3">
        <f t="shared" si="0"/>
        <v>36</v>
      </c>
      <c r="J131" s="3">
        <f t="shared" si="1"/>
        <v>1</v>
      </c>
      <c r="K131" s="3">
        <v>0</v>
      </c>
      <c r="L131" s="3">
        <v>1</v>
      </c>
      <c r="M131" s="7">
        <v>45435</v>
      </c>
      <c r="N131" s="7">
        <v>32080</v>
      </c>
      <c r="O131" s="3" t="s">
        <v>50</v>
      </c>
      <c r="P131" s="3" t="s">
        <v>67</v>
      </c>
      <c r="Q131" s="3" t="s">
        <v>45</v>
      </c>
      <c r="R131" s="3"/>
      <c r="S131" s="1" t="s">
        <v>47</v>
      </c>
      <c r="Z131" s="1" t="s">
        <v>47</v>
      </c>
      <c r="AA131" s="3" t="s">
        <v>688</v>
      </c>
      <c r="AB131" s="1" t="s">
        <v>47</v>
      </c>
      <c r="AC131" s="1" t="s">
        <v>47</v>
      </c>
      <c r="AD131" s="1" t="s">
        <v>47</v>
      </c>
    </row>
    <row r="132" spans="1:37" ht="15.75" customHeight="1" x14ac:dyDescent="0.2">
      <c r="A132" s="13" t="s">
        <v>689</v>
      </c>
      <c r="B132" s="3" t="s">
        <v>690</v>
      </c>
      <c r="C132" s="9"/>
      <c r="D132" s="9" t="s">
        <v>54</v>
      </c>
      <c r="E132" s="1">
        <v>696576</v>
      </c>
      <c r="H132" s="10" t="s">
        <v>422</v>
      </c>
      <c r="I132" s="3">
        <f t="shared" si="0"/>
        <v>68</v>
      </c>
      <c r="J132" s="3">
        <f t="shared" si="1"/>
        <v>0</v>
      </c>
      <c r="K132" s="6">
        <v>1</v>
      </c>
      <c r="L132" s="3">
        <v>0</v>
      </c>
      <c r="M132" s="7">
        <v>44942</v>
      </c>
      <c r="N132" s="7">
        <v>20027</v>
      </c>
      <c r="O132" s="3" t="s">
        <v>50</v>
      </c>
      <c r="P132" s="3" t="s">
        <v>221</v>
      </c>
      <c r="Q132" s="1" t="s">
        <v>45</v>
      </c>
      <c r="S132" s="3" t="s">
        <v>47</v>
      </c>
      <c r="Z132" s="1" t="s">
        <v>47</v>
      </c>
      <c r="AA132" s="1" t="s">
        <v>691</v>
      </c>
      <c r="AB132" s="1" t="s">
        <v>47</v>
      </c>
      <c r="AC132" s="1" t="s">
        <v>47</v>
      </c>
      <c r="AD132" s="1" t="s">
        <v>60</v>
      </c>
    </row>
    <row r="133" spans="1:37" ht="15.75" customHeight="1" x14ac:dyDescent="0.2">
      <c r="A133" s="13" t="s">
        <v>692</v>
      </c>
      <c r="B133" s="3" t="s">
        <v>693</v>
      </c>
      <c r="C133" s="9"/>
      <c r="D133" s="9" t="s">
        <v>54</v>
      </c>
      <c r="E133" s="3">
        <v>7010487</v>
      </c>
      <c r="F133" s="3" t="s">
        <v>51</v>
      </c>
      <c r="G133" s="3"/>
      <c r="I133" s="3">
        <f t="shared" si="0"/>
        <v>74</v>
      </c>
      <c r="J133" s="3">
        <f t="shared" si="1"/>
        <v>0</v>
      </c>
      <c r="K133" s="6">
        <v>0</v>
      </c>
      <c r="L133" s="3">
        <v>1</v>
      </c>
      <c r="M133" s="7">
        <v>44943</v>
      </c>
      <c r="N133" s="7">
        <v>17684</v>
      </c>
      <c r="O133" s="3" t="s">
        <v>50</v>
      </c>
      <c r="P133" s="3" t="s">
        <v>44</v>
      </c>
      <c r="Q133" s="3" t="s">
        <v>45</v>
      </c>
      <c r="S133" s="3" t="s">
        <v>46</v>
      </c>
      <c r="Z133" s="1" t="s">
        <v>47</v>
      </c>
      <c r="AA133" s="1" t="s">
        <v>47</v>
      </c>
      <c r="AB133" s="1" t="s">
        <v>47</v>
      </c>
      <c r="AC133" s="1" t="s">
        <v>47</v>
      </c>
      <c r="AD133" s="1" t="s">
        <v>694</v>
      </c>
      <c r="AE133" s="1" t="s">
        <v>695</v>
      </c>
      <c r="AF133" s="1" t="s">
        <v>696</v>
      </c>
      <c r="AG133" s="1" t="s">
        <v>697</v>
      </c>
      <c r="AH133" s="1" t="s">
        <v>698</v>
      </c>
      <c r="AI133" s="1" t="s">
        <v>699</v>
      </c>
    </row>
    <row r="134" spans="1:37" ht="15.75" customHeight="1" x14ac:dyDescent="0.2">
      <c r="A134" s="13" t="s">
        <v>700</v>
      </c>
      <c r="B134" s="1" t="s">
        <v>701</v>
      </c>
      <c r="C134" s="9"/>
      <c r="D134" s="9" t="s">
        <v>54</v>
      </c>
      <c r="E134" s="1">
        <v>4928756</v>
      </c>
      <c r="H134" s="1">
        <v>6</v>
      </c>
      <c r="I134" s="3">
        <f t="shared" si="0"/>
        <v>19</v>
      </c>
      <c r="J134" s="3">
        <f t="shared" si="1"/>
        <v>1</v>
      </c>
      <c r="K134" s="6">
        <v>0</v>
      </c>
      <c r="L134" s="1">
        <v>0</v>
      </c>
      <c r="M134" s="7">
        <v>44944</v>
      </c>
      <c r="N134" s="7">
        <v>37737</v>
      </c>
      <c r="O134" s="3" t="s">
        <v>99</v>
      </c>
      <c r="P134" s="1" t="s">
        <v>221</v>
      </c>
      <c r="Q134" s="1" t="s">
        <v>51</v>
      </c>
      <c r="S134" s="3" t="s">
        <v>47</v>
      </c>
      <c r="Z134" s="1" t="s">
        <v>47</v>
      </c>
      <c r="AA134" s="1" t="s">
        <v>47</v>
      </c>
      <c r="AB134" s="1" t="s">
        <v>47</v>
      </c>
      <c r="AC134" s="1" t="s">
        <v>47</v>
      </c>
      <c r="AD134" s="1" t="s">
        <v>702</v>
      </c>
    </row>
    <row r="135" spans="1:37" ht="15.75" customHeight="1" x14ac:dyDescent="0.2">
      <c r="A135" s="13" t="s">
        <v>703</v>
      </c>
      <c r="B135" s="1" t="s">
        <v>704</v>
      </c>
      <c r="C135" s="9"/>
      <c r="D135" s="9" t="s">
        <v>54</v>
      </c>
      <c r="E135" s="1">
        <v>7092260</v>
      </c>
      <c r="I135" s="3">
        <f t="shared" si="0"/>
        <v>65</v>
      </c>
      <c r="J135" s="3">
        <f t="shared" si="1"/>
        <v>0</v>
      </c>
      <c r="K135" s="6">
        <v>0</v>
      </c>
      <c r="L135" s="1">
        <v>1</v>
      </c>
      <c r="M135" s="7">
        <v>44946</v>
      </c>
      <c r="N135" s="7">
        <v>20904</v>
      </c>
      <c r="O135" s="3" t="s">
        <v>151</v>
      </c>
      <c r="P135" s="1" t="s">
        <v>44</v>
      </c>
      <c r="Q135" s="1" t="s">
        <v>45</v>
      </c>
      <c r="S135" s="3" t="s">
        <v>92</v>
      </c>
      <c r="Z135" s="1" t="s">
        <v>47</v>
      </c>
      <c r="AA135" s="1" t="s">
        <v>47</v>
      </c>
      <c r="AB135" s="1" t="s">
        <v>47</v>
      </c>
      <c r="AC135" s="1" t="s">
        <v>47</v>
      </c>
      <c r="AD135" s="1" t="s">
        <v>705</v>
      </c>
      <c r="AE135" s="1" t="s">
        <v>706</v>
      </c>
      <c r="AF135" s="1" t="s">
        <v>707</v>
      </c>
    </row>
    <row r="136" spans="1:37" ht="15.75" customHeight="1" x14ac:dyDescent="0.2">
      <c r="A136" s="13" t="s">
        <v>708</v>
      </c>
      <c r="B136" s="3" t="s">
        <v>709</v>
      </c>
      <c r="C136" s="9"/>
      <c r="D136" s="9" t="s">
        <v>54</v>
      </c>
      <c r="E136" s="3">
        <v>2777656</v>
      </c>
      <c r="F136" s="3" t="s">
        <v>51</v>
      </c>
      <c r="G136" s="3"/>
      <c r="H136" s="3"/>
      <c r="I136" s="3">
        <f t="shared" si="0"/>
        <v>71</v>
      </c>
      <c r="J136" s="3">
        <f t="shared" si="1"/>
        <v>0</v>
      </c>
      <c r="K136" s="6">
        <v>0</v>
      </c>
      <c r="L136" s="3">
        <v>1</v>
      </c>
      <c r="M136" s="7">
        <v>44959</v>
      </c>
      <c r="N136" s="7">
        <v>18769</v>
      </c>
      <c r="O136" s="3" t="s">
        <v>90</v>
      </c>
      <c r="P136" s="3" t="s">
        <v>44</v>
      </c>
      <c r="Q136" s="3" t="s">
        <v>45</v>
      </c>
      <c r="R136" s="3"/>
      <c r="S136" s="3" t="s">
        <v>46</v>
      </c>
      <c r="Z136" s="1" t="s">
        <v>47</v>
      </c>
      <c r="AA136" s="1" t="s">
        <v>47</v>
      </c>
      <c r="AB136" s="1" t="s">
        <v>710</v>
      </c>
      <c r="AC136" s="1" t="s">
        <v>711</v>
      </c>
      <c r="AD136" s="1" t="s">
        <v>712</v>
      </c>
      <c r="AF136" s="1" t="s">
        <v>713</v>
      </c>
      <c r="AG136" s="1" t="s">
        <v>714</v>
      </c>
    </row>
    <row r="137" spans="1:37" ht="15.75" customHeight="1" x14ac:dyDescent="0.2">
      <c r="A137" s="13" t="s">
        <v>715</v>
      </c>
      <c r="B137" s="3" t="s">
        <v>716</v>
      </c>
      <c r="C137" s="9"/>
      <c r="D137" s="9" t="s">
        <v>54</v>
      </c>
      <c r="E137" s="3">
        <v>7102968</v>
      </c>
      <c r="F137" s="3" t="s">
        <v>51</v>
      </c>
      <c r="G137" s="3"/>
      <c r="H137" s="3"/>
      <c r="I137" s="3">
        <f t="shared" si="0"/>
        <v>46</v>
      </c>
      <c r="J137" s="3">
        <f t="shared" si="1"/>
        <v>0</v>
      </c>
      <c r="K137" s="6">
        <v>0</v>
      </c>
      <c r="L137" s="3">
        <v>1</v>
      </c>
      <c r="M137" s="7">
        <v>44966</v>
      </c>
      <c r="N137" s="7">
        <v>27907</v>
      </c>
      <c r="O137" s="3" t="s">
        <v>50</v>
      </c>
      <c r="P137" s="3" t="s">
        <v>44</v>
      </c>
      <c r="Q137" s="3" t="s">
        <v>45</v>
      </c>
      <c r="R137" s="3"/>
      <c r="S137" s="3" t="s">
        <v>46</v>
      </c>
      <c r="Z137" s="1" t="s">
        <v>47</v>
      </c>
      <c r="AA137" s="1" t="s">
        <v>47</v>
      </c>
      <c r="AB137" s="1" t="s">
        <v>47</v>
      </c>
      <c r="AC137" s="1" t="s">
        <v>47</v>
      </c>
      <c r="AD137" s="1" t="s">
        <v>717</v>
      </c>
      <c r="AE137" s="1" t="s">
        <v>718</v>
      </c>
      <c r="AF137" s="1" t="s">
        <v>719</v>
      </c>
    </row>
    <row r="138" spans="1:37" ht="15.75" customHeight="1" x14ac:dyDescent="0.2">
      <c r="A138" s="13" t="s">
        <v>720</v>
      </c>
      <c r="B138" s="3" t="s">
        <v>721</v>
      </c>
      <c r="C138" s="9"/>
      <c r="D138" s="9" t="s">
        <v>54</v>
      </c>
      <c r="E138" s="3">
        <v>7040425</v>
      </c>
      <c r="F138" s="3"/>
      <c r="G138" s="3"/>
      <c r="H138" s="1">
        <v>12</v>
      </c>
      <c r="I138" s="3">
        <f t="shared" si="0"/>
        <v>25</v>
      </c>
      <c r="J138" s="3">
        <f t="shared" si="1"/>
        <v>1</v>
      </c>
      <c r="K138" s="6">
        <v>0</v>
      </c>
      <c r="L138" s="3">
        <v>1</v>
      </c>
      <c r="M138" s="7">
        <v>44973</v>
      </c>
      <c r="N138" s="7">
        <v>35727</v>
      </c>
      <c r="O138" s="3" t="s">
        <v>50</v>
      </c>
      <c r="P138" s="3" t="s">
        <v>67</v>
      </c>
      <c r="Q138" s="3" t="s">
        <v>45</v>
      </c>
      <c r="S138" s="3" t="s">
        <v>46</v>
      </c>
      <c r="Z138" s="1" t="s">
        <v>47</v>
      </c>
      <c r="AA138" s="1" t="s">
        <v>142</v>
      </c>
      <c r="AB138" s="1" t="s">
        <v>47</v>
      </c>
      <c r="AC138" s="1" t="s">
        <v>47</v>
      </c>
      <c r="AD138" s="1" t="s">
        <v>722</v>
      </c>
      <c r="AE138" s="1" t="s">
        <v>723</v>
      </c>
      <c r="AF138" s="1" t="s">
        <v>724</v>
      </c>
    </row>
    <row r="139" spans="1:37" ht="15.75" customHeight="1" x14ac:dyDescent="0.2">
      <c r="A139" s="13" t="s">
        <v>725</v>
      </c>
      <c r="B139" s="3" t="s">
        <v>726</v>
      </c>
      <c r="C139" s="9"/>
      <c r="D139" s="9" t="s">
        <v>54</v>
      </c>
      <c r="E139" s="3">
        <v>7073529</v>
      </c>
      <c r="F139" s="3" t="s">
        <v>51</v>
      </c>
      <c r="G139" s="3"/>
      <c r="I139" s="3">
        <f t="shared" si="0"/>
        <v>32</v>
      </c>
      <c r="J139" s="3">
        <f t="shared" si="1"/>
        <v>1</v>
      </c>
      <c r="K139" s="6">
        <v>0</v>
      </c>
      <c r="L139" s="3">
        <v>1</v>
      </c>
      <c r="M139" s="7">
        <v>44974</v>
      </c>
      <c r="N139" s="7">
        <v>33255</v>
      </c>
      <c r="O139" s="3" t="s">
        <v>43</v>
      </c>
      <c r="P139" s="3" t="s">
        <v>44</v>
      </c>
      <c r="Q139" s="3" t="s">
        <v>45</v>
      </c>
      <c r="S139" s="3" t="s">
        <v>47</v>
      </c>
      <c r="Z139" s="1" t="s">
        <v>47</v>
      </c>
      <c r="AA139" s="1" t="s">
        <v>727</v>
      </c>
      <c r="AB139" s="1" t="s">
        <v>47</v>
      </c>
      <c r="AC139" s="1" t="s">
        <v>47</v>
      </c>
      <c r="AD139" s="1" t="s">
        <v>728</v>
      </c>
      <c r="AE139" s="1" t="s">
        <v>729</v>
      </c>
      <c r="AF139" s="1" t="s">
        <v>730</v>
      </c>
      <c r="AG139" s="1" t="s">
        <v>731</v>
      </c>
    </row>
    <row r="140" spans="1:37" ht="15.75" customHeight="1" x14ac:dyDescent="0.2">
      <c r="A140" s="13" t="s">
        <v>732</v>
      </c>
      <c r="B140" s="3" t="s">
        <v>733</v>
      </c>
      <c r="C140" s="9"/>
      <c r="D140" s="9" t="s">
        <v>54</v>
      </c>
      <c r="E140" s="3">
        <v>7030599</v>
      </c>
      <c r="F140" s="3" t="s">
        <v>51</v>
      </c>
      <c r="G140" s="3"/>
      <c r="I140" s="3">
        <f t="shared" si="0"/>
        <v>48</v>
      </c>
      <c r="J140" s="3">
        <f t="shared" si="1"/>
        <v>0</v>
      </c>
      <c r="K140" s="6">
        <v>0</v>
      </c>
      <c r="L140" s="3">
        <v>1</v>
      </c>
      <c r="M140" s="7">
        <v>44978</v>
      </c>
      <c r="N140" s="7">
        <v>27400</v>
      </c>
      <c r="O140" s="3" t="s">
        <v>50</v>
      </c>
      <c r="P140" s="3" t="s">
        <v>44</v>
      </c>
      <c r="Q140" s="3" t="s">
        <v>45</v>
      </c>
      <c r="S140" s="3" t="s">
        <v>46</v>
      </c>
      <c r="Z140" s="1" t="s">
        <v>47</v>
      </c>
      <c r="AA140" s="1" t="s">
        <v>47</v>
      </c>
      <c r="AB140" s="1" t="s">
        <v>47</v>
      </c>
      <c r="AC140" s="1" t="s">
        <v>47</v>
      </c>
      <c r="AD140" s="1" t="s">
        <v>278</v>
      </c>
    </row>
    <row r="141" spans="1:37" ht="15.75" customHeight="1" x14ac:dyDescent="0.2">
      <c r="A141" s="13" t="s">
        <v>734</v>
      </c>
      <c r="B141" s="3" t="s">
        <v>735</v>
      </c>
      <c r="C141" s="9"/>
      <c r="D141" s="9" t="s">
        <v>54</v>
      </c>
      <c r="E141" s="3">
        <v>4863979</v>
      </c>
      <c r="F141" s="3" t="s">
        <v>51</v>
      </c>
      <c r="G141" s="3"/>
      <c r="I141" s="3">
        <f t="shared" si="0"/>
        <v>69</v>
      </c>
      <c r="J141" s="3">
        <f t="shared" si="1"/>
        <v>0</v>
      </c>
      <c r="K141" s="6">
        <v>0</v>
      </c>
      <c r="L141" s="3">
        <v>1</v>
      </c>
      <c r="M141" s="7">
        <v>44981</v>
      </c>
      <c r="N141" s="7">
        <v>19521</v>
      </c>
      <c r="O141" s="3" t="s">
        <v>151</v>
      </c>
      <c r="P141" s="3" t="s">
        <v>67</v>
      </c>
      <c r="Q141" s="3" t="s">
        <v>45</v>
      </c>
      <c r="S141" s="3" t="s">
        <v>46</v>
      </c>
      <c r="Z141" s="1" t="s">
        <v>47</v>
      </c>
      <c r="AA141" s="1" t="s">
        <v>47</v>
      </c>
      <c r="AB141" s="1" t="s">
        <v>47</v>
      </c>
      <c r="AC141" s="1" t="s">
        <v>47</v>
      </c>
      <c r="AD141" s="1" t="s">
        <v>736</v>
      </c>
      <c r="AE141" s="1" t="s">
        <v>391</v>
      </c>
    </row>
    <row r="142" spans="1:37" ht="15.75" customHeight="1" x14ac:dyDescent="0.2">
      <c r="A142" s="13" t="s">
        <v>737</v>
      </c>
      <c r="B142" s="3" t="s">
        <v>738</v>
      </c>
      <c r="C142" s="9"/>
      <c r="D142" s="9" t="s">
        <v>54</v>
      </c>
      <c r="E142" s="3">
        <v>3669762</v>
      </c>
      <c r="F142" s="3" t="s">
        <v>51</v>
      </c>
      <c r="G142" s="3"/>
      <c r="H142" s="1">
        <v>45</v>
      </c>
      <c r="I142" s="3">
        <f t="shared" si="0"/>
        <v>61</v>
      </c>
      <c r="J142" s="3">
        <f t="shared" si="1"/>
        <v>0</v>
      </c>
      <c r="K142" s="6">
        <v>0</v>
      </c>
      <c r="L142" s="3">
        <v>1</v>
      </c>
      <c r="M142" s="7">
        <v>44988</v>
      </c>
      <c r="N142" s="7">
        <v>22583</v>
      </c>
      <c r="O142" s="3" t="s">
        <v>50</v>
      </c>
      <c r="P142" s="3" t="s">
        <v>166</v>
      </c>
      <c r="Q142" s="3" t="s">
        <v>51</v>
      </c>
      <c r="S142" s="3" t="s">
        <v>68</v>
      </c>
      <c r="Z142" s="1" t="s">
        <v>47</v>
      </c>
      <c r="AA142" s="1" t="s">
        <v>47</v>
      </c>
      <c r="AB142" s="1" t="s">
        <v>47</v>
      </c>
      <c r="AC142" s="1" t="s">
        <v>47</v>
      </c>
      <c r="AD142" s="1" t="s">
        <v>739</v>
      </c>
      <c r="AE142" s="1" t="s">
        <v>740</v>
      </c>
      <c r="AF142" s="1" t="s">
        <v>741</v>
      </c>
      <c r="AG142" s="1" t="s">
        <v>742</v>
      </c>
      <c r="AH142" s="1" t="s">
        <v>743</v>
      </c>
      <c r="AI142" s="1" t="s">
        <v>744</v>
      </c>
      <c r="AJ142" s="1" t="s">
        <v>745</v>
      </c>
      <c r="AK142" s="1" t="s">
        <v>746</v>
      </c>
    </row>
    <row r="143" spans="1:37" ht="15.75" customHeight="1" x14ac:dyDescent="0.2">
      <c r="A143" s="13" t="s">
        <v>747</v>
      </c>
      <c r="B143" s="3" t="s">
        <v>748</v>
      </c>
      <c r="C143" s="9"/>
      <c r="D143" s="9" t="s">
        <v>54</v>
      </c>
      <c r="E143" s="3">
        <v>7116300</v>
      </c>
      <c r="F143" s="3" t="s">
        <v>51</v>
      </c>
      <c r="G143" s="3"/>
      <c r="I143" s="3">
        <f t="shared" si="0"/>
        <v>58</v>
      </c>
      <c r="J143" s="3">
        <f t="shared" si="1"/>
        <v>0</v>
      </c>
      <c r="K143" s="6">
        <v>0</v>
      </c>
      <c r="L143" s="3">
        <v>1</v>
      </c>
      <c r="M143" s="7">
        <v>44991</v>
      </c>
      <c r="N143" s="7">
        <v>23487</v>
      </c>
      <c r="O143" s="3" t="s">
        <v>50</v>
      </c>
      <c r="P143" s="3" t="s">
        <v>67</v>
      </c>
      <c r="Q143" s="3" t="s">
        <v>45</v>
      </c>
      <c r="S143" s="3" t="s">
        <v>47</v>
      </c>
      <c r="Z143" s="1" t="s">
        <v>47</v>
      </c>
      <c r="AA143" s="1" t="s">
        <v>47</v>
      </c>
      <c r="AB143" s="1" t="s">
        <v>47</v>
      </c>
      <c r="AC143" s="1" t="s">
        <v>47</v>
      </c>
      <c r="AD143" s="1" t="s">
        <v>749</v>
      </c>
      <c r="AE143" s="1" t="s">
        <v>750</v>
      </c>
      <c r="AF143" s="1" t="s">
        <v>751</v>
      </c>
    </row>
    <row r="144" spans="1:37" ht="15.75" customHeight="1" x14ac:dyDescent="0.2">
      <c r="A144" s="13" t="s">
        <v>752</v>
      </c>
      <c r="B144" s="3" t="s">
        <v>753</v>
      </c>
      <c r="C144" s="9"/>
      <c r="D144" s="9" t="s">
        <v>54</v>
      </c>
      <c r="E144" s="3">
        <v>7124879</v>
      </c>
      <c r="F144" s="3" t="s">
        <v>51</v>
      </c>
      <c r="G144" s="3"/>
      <c r="I144" s="3">
        <f t="shared" si="0"/>
        <v>60</v>
      </c>
      <c r="J144" s="3">
        <f t="shared" si="1"/>
        <v>0</v>
      </c>
      <c r="K144" s="6">
        <v>0</v>
      </c>
      <c r="L144" s="3">
        <v>1</v>
      </c>
      <c r="M144" s="7">
        <v>45014</v>
      </c>
      <c r="N144" s="7">
        <v>23051</v>
      </c>
      <c r="O144" s="3" t="s">
        <v>43</v>
      </c>
      <c r="P144" s="3" t="s">
        <v>44</v>
      </c>
      <c r="Q144" s="3" t="s">
        <v>45</v>
      </c>
      <c r="S144" s="3" t="s">
        <v>47</v>
      </c>
      <c r="Z144" s="1" t="s">
        <v>47</v>
      </c>
      <c r="AA144" s="1" t="s">
        <v>47</v>
      </c>
      <c r="AB144" s="1" t="s">
        <v>47</v>
      </c>
      <c r="AC144" s="1" t="s">
        <v>47</v>
      </c>
      <c r="AD144" s="1" t="s">
        <v>754</v>
      </c>
      <c r="AE144" s="1" t="s">
        <v>755</v>
      </c>
      <c r="AF144" s="1" t="s">
        <v>756</v>
      </c>
      <c r="AG144" s="1" t="s">
        <v>757</v>
      </c>
      <c r="AH144" s="1" t="s">
        <v>758</v>
      </c>
    </row>
    <row r="145" spans="1:83" ht="15.75" customHeight="1" x14ac:dyDescent="0.2">
      <c r="A145" s="13" t="s">
        <v>759</v>
      </c>
      <c r="B145" s="3" t="s">
        <v>760</v>
      </c>
      <c r="C145" s="9"/>
      <c r="D145" s="9" t="s">
        <v>54</v>
      </c>
      <c r="E145" s="3">
        <v>4737963</v>
      </c>
      <c r="F145" s="3" t="s">
        <v>51</v>
      </c>
      <c r="G145" s="3"/>
      <c r="I145" s="3">
        <f t="shared" si="0"/>
        <v>62</v>
      </c>
      <c r="J145" s="3">
        <f t="shared" si="1"/>
        <v>0</v>
      </c>
      <c r="K145" s="6">
        <v>0</v>
      </c>
      <c r="L145" s="3">
        <v>1</v>
      </c>
      <c r="M145" s="7">
        <v>45021</v>
      </c>
      <c r="N145" s="7">
        <v>22196</v>
      </c>
      <c r="O145" s="3" t="s">
        <v>50</v>
      </c>
      <c r="P145" s="3" t="s">
        <v>44</v>
      </c>
      <c r="Q145" s="3" t="s">
        <v>45</v>
      </c>
      <c r="S145" s="3" t="s">
        <v>68</v>
      </c>
      <c r="Z145" s="1" t="s">
        <v>47</v>
      </c>
      <c r="AA145" s="1" t="s">
        <v>47</v>
      </c>
      <c r="AB145" s="1" t="s">
        <v>47</v>
      </c>
      <c r="AC145" s="1" t="s">
        <v>47</v>
      </c>
      <c r="AD145" s="1" t="s">
        <v>761</v>
      </c>
      <c r="AE145" s="1" t="s">
        <v>762</v>
      </c>
      <c r="AF145" s="1" t="s">
        <v>763</v>
      </c>
    </row>
    <row r="146" spans="1:83" ht="15.75" customHeight="1" x14ac:dyDescent="0.2">
      <c r="A146" s="13" t="s">
        <v>764</v>
      </c>
      <c r="B146" s="3" t="s">
        <v>765</v>
      </c>
      <c r="C146" s="9"/>
      <c r="D146" s="9" t="s">
        <v>54</v>
      </c>
      <c r="E146" s="3">
        <v>4918796</v>
      </c>
      <c r="F146" s="3"/>
      <c r="G146" s="3"/>
      <c r="I146" s="3">
        <f t="shared" si="0"/>
        <v>26</v>
      </c>
      <c r="J146" s="3">
        <f t="shared" si="1"/>
        <v>1</v>
      </c>
      <c r="K146" s="6">
        <v>0</v>
      </c>
      <c r="L146" s="3">
        <v>0</v>
      </c>
      <c r="M146" s="7">
        <v>45032</v>
      </c>
      <c r="N146" s="7">
        <v>35503</v>
      </c>
      <c r="O146" s="3" t="s">
        <v>99</v>
      </c>
      <c r="P146" s="3" t="s">
        <v>221</v>
      </c>
      <c r="Q146" s="3" t="s">
        <v>45</v>
      </c>
      <c r="S146" s="3" t="s">
        <v>47</v>
      </c>
      <c r="Z146" s="1" t="s">
        <v>47</v>
      </c>
      <c r="AA146" s="1" t="s">
        <v>47</v>
      </c>
      <c r="AB146" s="1" t="s">
        <v>47</v>
      </c>
      <c r="AC146" s="1" t="s">
        <v>47</v>
      </c>
      <c r="AD146" s="1" t="s">
        <v>60</v>
      </c>
    </row>
    <row r="147" spans="1:83" ht="15.75" customHeight="1" x14ac:dyDescent="0.2">
      <c r="A147" s="13" t="s">
        <v>766</v>
      </c>
      <c r="B147" s="3" t="s">
        <v>767</v>
      </c>
      <c r="C147" s="9"/>
      <c r="D147" s="9" t="s">
        <v>54</v>
      </c>
      <c r="E147" s="3">
        <v>7138664</v>
      </c>
      <c r="F147" s="3" t="s">
        <v>51</v>
      </c>
      <c r="G147" s="3"/>
      <c r="H147" s="3"/>
      <c r="I147" s="3">
        <f t="shared" si="0"/>
        <v>41</v>
      </c>
      <c r="J147" s="3">
        <f t="shared" si="1"/>
        <v>0</v>
      </c>
      <c r="K147" s="6">
        <v>0</v>
      </c>
      <c r="L147" s="3">
        <v>1</v>
      </c>
      <c r="M147" s="7">
        <v>45050</v>
      </c>
      <c r="N147" s="7">
        <v>30013</v>
      </c>
      <c r="O147" s="3" t="s">
        <v>106</v>
      </c>
      <c r="P147" s="3" t="s">
        <v>44</v>
      </c>
      <c r="Q147" s="3" t="s">
        <v>45</v>
      </c>
      <c r="R147" s="3"/>
      <c r="S147" s="3" t="s">
        <v>46</v>
      </c>
      <c r="Z147" s="1" t="s">
        <v>47</v>
      </c>
      <c r="AA147" s="1" t="s">
        <v>768</v>
      </c>
      <c r="AB147" s="1" t="s">
        <v>47</v>
      </c>
      <c r="AC147" s="1" t="s">
        <v>47</v>
      </c>
      <c r="AD147" s="1" t="s">
        <v>769</v>
      </c>
      <c r="AE147" s="1" t="s">
        <v>770</v>
      </c>
      <c r="AF147" s="1" t="s">
        <v>771</v>
      </c>
    </row>
    <row r="148" spans="1:83" ht="15.75" customHeight="1" x14ac:dyDescent="0.2">
      <c r="A148" s="13" t="s">
        <v>772</v>
      </c>
      <c r="B148" s="1" t="s">
        <v>773</v>
      </c>
      <c r="C148" s="9"/>
      <c r="D148" s="9" t="s">
        <v>54</v>
      </c>
      <c r="E148" s="1">
        <v>2809170</v>
      </c>
      <c r="F148" s="1" t="s">
        <v>51</v>
      </c>
      <c r="H148" s="1">
        <v>42</v>
      </c>
      <c r="I148" s="1">
        <f t="shared" si="0"/>
        <v>65</v>
      </c>
      <c r="J148" s="1">
        <f t="shared" si="1"/>
        <v>0</v>
      </c>
      <c r="K148" s="1">
        <v>0</v>
      </c>
      <c r="L148" s="1">
        <v>1</v>
      </c>
      <c r="M148" s="7">
        <v>45062</v>
      </c>
      <c r="N148" s="7">
        <v>21104</v>
      </c>
      <c r="O148" s="1" t="s">
        <v>50</v>
      </c>
      <c r="P148" s="1" t="s">
        <v>166</v>
      </c>
      <c r="Q148" s="1" t="s">
        <v>51</v>
      </c>
      <c r="S148" s="3" t="s">
        <v>68</v>
      </c>
      <c r="Z148" s="1" t="s">
        <v>774</v>
      </c>
      <c r="AA148" s="1" t="s">
        <v>47</v>
      </c>
      <c r="AB148" s="1" t="s">
        <v>47</v>
      </c>
      <c r="AC148" s="1" t="s">
        <v>47</v>
      </c>
      <c r="AD148" s="1" t="s">
        <v>729</v>
      </c>
      <c r="AE148" s="1" t="s">
        <v>775</v>
      </c>
      <c r="AF148" s="1" t="s">
        <v>776</v>
      </c>
      <c r="AG148" s="1" t="s">
        <v>777</v>
      </c>
      <c r="AH148" s="1" t="s">
        <v>778</v>
      </c>
    </row>
    <row r="149" spans="1:83" ht="15.75" customHeight="1" x14ac:dyDescent="0.2">
      <c r="A149" s="13" t="s">
        <v>779</v>
      </c>
      <c r="B149" s="1" t="s">
        <v>780</v>
      </c>
      <c r="C149" s="9"/>
      <c r="D149" s="9" t="s">
        <v>54</v>
      </c>
      <c r="E149" s="1">
        <v>4805179</v>
      </c>
      <c r="H149" s="10" t="s">
        <v>781</v>
      </c>
      <c r="I149" s="3">
        <f t="shared" si="0"/>
        <v>35</v>
      </c>
      <c r="J149" s="3">
        <f t="shared" si="1"/>
        <v>1</v>
      </c>
      <c r="K149" s="1">
        <v>1</v>
      </c>
      <c r="L149" s="1">
        <v>1</v>
      </c>
      <c r="M149" s="7">
        <v>45064</v>
      </c>
      <c r="N149" s="7">
        <v>32143</v>
      </c>
      <c r="O149" s="1" t="s">
        <v>106</v>
      </c>
      <c r="P149" s="1" t="s">
        <v>141</v>
      </c>
      <c r="Q149" s="1" t="s">
        <v>45</v>
      </c>
      <c r="S149" s="3" t="s">
        <v>46</v>
      </c>
      <c r="Z149" s="1" t="s">
        <v>47</v>
      </c>
      <c r="AA149" s="1" t="s">
        <v>142</v>
      </c>
      <c r="AB149" s="1" t="s">
        <v>47</v>
      </c>
      <c r="AC149" s="1" t="s">
        <v>47</v>
      </c>
      <c r="AD149" s="1" t="s">
        <v>60</v>
      </c>
    </row>
    <row r="150" spans="1:83" ht="15.75" customHeight="1" x14ac:dyDescent="0.2">
      <c r="A150" s="13" t="s">
        <v>782</v>
      </c>
      <c r="B150" s="1" t="s">
        <v>783</v>
      </c>
      <c r="C150" s="9"/>
      <c r="D150" s="9" t="s">
        <v>54</v>
      </c>
      <c r="E150" s="1">
        <v>4064076</v>
      </c>
      <c r="H150" s="1">
        <v>34</v>
      </c>
      <c r="I150" s="3">
        <f t="shared" si="0"/>
        <v>45</v>
      </c>
      <c r="J150" s="3">
        <f t="shared" si="1"/>
        <v>0</v>
      </c>
      <c r="K150" s="1">
        <v>0</v>
      </c>
      <c r="L150" s="1">
        <v>1</v>
      </c>
      <c r="M150" s="7">
        <v>45069</v>
      </c>
      <c r="N150" s="7">
        <v>28584</v>
      </c>
      <c r="O150" s="1" t="s">
        <v>43</v>
      </c>
      <c r="P150" s="1" t="s">
        <v>44</v>
      </c>
      <c r="Q150" s="1" t="s">
        <v>51</v>
      </c>
      <c r="S150" s="3" t="s">
        <v>68</v>
      </c>
      <c r="Z150" s="1" t="s">
        <v>784</v>
      </c>
      <c r="AA150" s="1" t="s">
        <v>785</v>
      </c>
      <c r="AB150" s="1" t="s">
        <v>47</v>
      </c>
      <c r="AC150" s="1" t="s">
        <v>47</v>
      </c>
      <c r="AD150" s="1" t="s">
        <v>786</v>
      </c>
      <c r="AE150" s="1" t="s">
        <v>787</v>
      </c>
      <c r="AF150" s="1" t="s">
        <v>739</v>
      </c>
      <c r="AG150" s="1" t="s">
        <v>788</v>
      </c>
      <c r="AH150" s="1" t="s">
        <v>789</v>
      </c>
      <c r="AI150" s="1" t="s">
        <v>790</v>
      </c>
      <c r="AJ150" s="1" t="s">
        <v>791</v>
      </c>
      <c r="AK150" s="1" t="s">
        <v>792</v>
      </c>
      <c r="AL150" s="1" t="s">
        <v>793</v>
      </c>
      <c r="AM150" s="1" t="s">
        <v>794</v>
      </c>
      <c r="AN150" s="1" t="s">
        <v>795</v>
      </c>
      <c r="AO150" s="1" t="s">
        <v>796</v>
      </c>
    </row>
    <row r="151" spans="1:83" ht="15.75" customHeight="1" x14ac:dyDescent="0.2">
      <c r="A151" s="13" t="s">
        <v>797</v>
      </c>
      <c r="B151" s="1" t="s">
        <v>798</v>
      </c>
      <c r="C151" s="9"/>
      <c r="D151" s="9" t="s">
        <v>54</v>
      </c>
      <c r="E151" s="1">
        <v>7145082</v>
      </c>
      <c r="F151" s="1" t="s">
        <v>51</v>
      </c>
      <c r="I151" s="3">
        <f t="shared" si="0"/>
        <v>43</v>
      </c>
      <c r="J151" s="3">
        <f t="shared" si="1"/>
        <v>0</v>
      </c>
      <c r="K151" s="1">
        <v>0</v>
      </c>
      <c r="L151" s="1">
        <v>0</v>
      </c>
      <c r="M151" s="7">
        <v>45070</v>
      </c>
      <c r="N151" s="7">
        <v>29176</v>
      </c>
      <c r="O151" s="1" t="s">
        <v>50</v>
      </c>
      <c r="P151" s="1" t="s">
        <v>799</v>
      </c>
      <c r="Q151" s="1" t="s">
        <v>45</v>
      </c>
      <c r="S151" s="3" t="s">
        <v>47</v>
      </c>
      <c r="Z151" s="1" t="s">
        <v>47</v>
      </c>
      <c r="AA151" s="1" t="s">
        <v>47</v>
      </c>
      <c r="AB151" s="1" t="s">
        <v>47</v>
      </c>
      <c r="AC151" s="1" t="s">
        <v>47</v>
      </c>
      <c r="AD151" s="1" t="s">
        <v>800</v>
      </c>
      <c r="AE151" s="1" t="s">
        <v>801</v>
      </c>
      <c r="AF151" s="1" t="s">
        <v>802</v>
      </c>
    </row>
    <row r="152" spans="1:83" ht="15.75" customHeight="1" x14ac:dyDescent="0.2">
      <c r="A152" s="13" t="s">
        <v>803</v>
      </c>
      <c r="B152" s="1" t="s">
        <v>804</v>
      </c>
      <c r="C152" s="9"/>
      <c r="D152" s="9" t="s">
        <v>54</v>
      </c>
      <c r="E152" s="1">
        <v>4791200</v>
      </c>
      <c r="F152" s="1" t="s">
        <v>51</v>
      </c>
      <c r="I152" s="3">
        <f t="shared" si="0"/>
        <v>29</v>
      </c>
      <c r="J152" s="3">
        <f t="shared" si="1"/>
        <v>1</v>
      </c>
      <c r="K152" s="1">
        <v>0</v>
      </c>
      <c r="L152" s="1">
        <v>1</v>
      </c>
      <c r="M152" s="7">
        <v>45092</v>
      </c>
      <c r="N152" s="7">
        <v>34268</v>
      </c>
      <c r="O152" s="1" t="s">
        <v>43</v>
      </c>
      <c r="P152" s="3" t="s">
        <v>91</v>
      </c>
      <c r="Q152" s="1" t="s">
        <v>45</v>
      </c>
      <c r="S152" s="3" t="s">
        <v>68</v>
      </c>
      <c r="Z152" s="1" t="s">
        <v>47</v>
      </c>
      <c r="AA152" s="1" t="s">
        <v>46</v>
      </c>
      <c r="AB152" s="1" t="s">
        <v>47</v>
      </c>
      <c r="AC152" s="1" t="s">
        <v>47</v>
      </c>
      <c r="AD152" s="1" t="s">
        <v>805</v>
      </c>
      <c r="AE152" s="1" t="s">
        <v>624</v>
      </c>
      <c r="AF152" s="1" t="s">
        <v>806</v>
      </c>
    </row>
    <row r="153" spans="1:83" ht="15.75" customHeight="1" x14ac:dyDescent="0.2">
      <c r="A153" s="21" t="s">
        <v>807</v>
      </c>
      <c r="B153" s="18" t="s">
        <v>808</v>
      </c>
      <c r="C153" s="22"/>
      <c r="D153" s="22" t="s">
        <v>54</v>
      </c>
      <c r="E153" s="18">
        <v>7160356</v>
      </c>
      <c r="F153" s="18" t="s">
        <v>51</v>
      </c>
      <c r="G153" s="18"/>
      <c r="H153" s="18"/>
      <c r="I153" s="18">
        <f t="shared" si="0"/>
        <v>49</v>
      </c>
      <c r="J153" s="18">
        <f t="shared" si="1"/>
        <v>0</v>
      </c>
      <c r="K153" s="18">
        <v>0</v>
      </c>
      <c r="L153" s="18">
        <v>1</v>
      </c>
      <c r="M153" s="23">
        <v>45099</v>
      </c>
      <c r="N153" s="23">
        <v>27198</v>
      </c>
      <c r="O153" s="18" t="s">
        <v>50</v>
      </c>
      <c r="P153" s="18" t="s">
        <v>44</v>
      </c>
      <c r="Q153" s="18" t="s">
        <v>45</v>
      </c>
      <c r="R153" s="18"/>
      <c r="S153" s="18" t="s">
        <v>68</v>
      </c>
      <c r="T153" s="18"/>
      <c r="U153" s="18"/>
      <c r="V153" s="18"/>
      <c r="W153" s="18"/>
      <c r="X153" s="18"/>
      <c r="Y153" s="18"/>
      <c r="Z153" s="18" t="s">
        <v>47</v>
      </c>
      <c r="AA153" s="18" t="s">
        <v>47</v>
      </c>
      <c r="AB153" s="18" t="s">
        <v>47</v>
      </c>
      <c r="AC153" s="18" t="s">
        <v>47</v>
      </c>
      <c r="AD153" s="18" t="s">
        <v>809</v>
      </c>
      <c r="AE153" s="18" t="s">
        <v>810</v>
      </c>
      <c r="AF153" s="18" t="s">
        <v>811</v>
      </c>
      <c r="AG153" s="18" t="s">
        <v>812</v>
      </c>
      <c r="AH153" s="18" t="s">
        <v>813</v>
      </c>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row>
    <row r="154" spans="1:83" ht="15.75" customHeight="1" x14ac:dyDescent="0.2">
      <c r="A154" s="21" t="s">
        <v>814</v>
      </c>
      <c r="B154" s="18" t="s">
        <v>815</v>
      </c>
      <c r="C154" s="22"/>
      <c r="D154" s="22" t="s">
        <v>54</v>
      </c>
      <c r="E154" s="18">
        <v>7161463</v>
      </c>
      <c r="F154" s="18" t="s">
        <v>51</v>
      </c>
      <c r="G154" s="18"/>
      <c r="H154" s="18"/>
      <c r="I154" s="18">
        <f t="shared" si="0"/>
        <v>62</v>
      </c>
      <c r="J154" s="18">
        <f t="shared" si="1"/>
        <v>0</v>
      </c>
      <c r="K154" s="18">
        <v>0</v>
      </c>
      <c r="L154" s="18">
        <v>1</v>
      </c>
      <c r="M154" s="23">
        <v>45100</v>
      </c>
      <c r="N154" s="23">
        <v>22231</v>
      </c>
      <c r="O154" s="18" t="s">
        <v>50</v>
      </c>
      <c r="P154" s="18" t="s">
        <v>44</v>
      </c>
      <c r="Q154" s="18" t="s">
        <v>45</v>
      </c>
      <c r="R154" s="18"/>
      <c r="S154" s="18" t="s">
        <v>68</v>
      </c>
      <c r="T154" s="18"/>
      <c r="U154" s="18"/>
      <c r="V154" s="18"/>
      <c r="W154" s="18"/>
      <c r="X154" s="18"/>
      <c r="Y154" s="18"/>
      <c r="Z154" s="18" t="s">
        <v>47</v>
      </c>
      <c r="AA154" s="18" t="s">
        <v>47</v>
      </c>
      <c r="AB154" s="18" t="s">
        <v>47</v>
      </c>
      <c r="AC154" s="18" t="s">
        <v>47</v>
      </c>
      <c r="AD154" s="18" t="s">
        <v>754</v>
      </c>
      <c r="AE154" s="18" t="s">
        <v>694</v>
      </c>
      <c r="AF154" s="18" t="s">
        <v>695</v>
      </c>
      <c r="AG154" s="18" t="s">
        <v>816</v>
      </c>
      <c r="AH154" s="18" t="s">
        <v>817</v>
      </c>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row>
    <row r="155" spans="1:83" ht="15.75" customHeight="1" x14ac:dyDescent="0.2">
      <c r="A155" s="13" t="s">
        <v>818</v>
      </c>
      <c r="B155" s="1" t="s">
        <v>819</v>
      </c>
      <c r="C155" s="9"/>
      <c r="D155" s="9" t="s">
        <v>54</v>
      </c>
      <c r="E155" s="1">
        <v>7159958</v>
      </c>
      <c r="F155" s="1" t="s">
        <v>51</v>
      </c>
      <c r="I155" s="3">
        <f t="shared" si="0"/>
        <v>54</v>
      </c>
      <c r="J155" s="3">
        <f t="shared" si="1"/>
        <v>0</v>
      </c>
      <c r="K155" s="1">
        <v>0</v>
      </c>
      <c r="L155" s="1">
        <v>1</v>
      </c>
      <c r="M155" s="7">
        <v>45103</v>
      </c>
      <c r="N155" s="7">
        <v>25306</v>
      </c>
      <c r="O155" s="1" t="s">
        <v>50</v>
      </c>
      <c r="P155" s="1" t="s">
        <v>44</v>
      </c>
      <c r="Q155" s="1" t="s">
        <v>45</v>
      </c>
      <c r="S155" s="3" t="s">
        <v>68</v>
      </c>
      <c r="Z155" s="1" t="s">
        <v>47</v>
      </c>
      <c r="AA155" s="1" t="s">
        <v>47</v>
      </c>
      <c r="AB155" s="1" t="s">
        <v>47</v>
      </c>
      <c r="AC155" s="1" t="s">
        <v>47</v>
      </c>
      <c r="AD155" s="18" t="s">
        <v>820</v>
      </c>
      <c r="AE155" s="18" t="s">
        <v>821</v>
      </c>
      <c r="AF155" s="18" t="s">
        <v>822</v>
      </c>
      <c r="AG155" s="18" t="s">
        <v>823</v>
      </c>
      <c r="AH155" s="18" t="s">
        <v>824</v>
      </c>
    </row>
    <row r="156" spans="1:83" ht="15.75" customHeight="1" x14ac:dyDescent="0.2">
      <c r="A156" s="13" t="s">
        <v>825</v>
      </c>
      <c r="B156" s="3" t="s">
        <v>826</v>
      </c>
      <c r="C156" s="9"/>
      <c r="D156" s="9" t="s">
        <v>42</v>
      </c>
      <c r="E156" s="3">
        <v>3000946</v>
      </c>
      <c r="F156" s="3" t="s">
        <v>51</v>
      </c>
      <c r="G156" s="3"/>
      <c r="H156" s="3">
        <v>24</v>
      </c>
      <c r="I156" s="3">
        <f t="shared" si="0"/>
        <v>44</v>
      </c>
      <c r="J156" s="3">
        <f t="shared" si="1"/>
        <v>0</v>
      </c>
      <c r="K156" s="3">
        <v>0</v>
      </c>
      <c r="L156" s="3">
        <v>1</v>
      </c>
      <c r="M156" s="7">
        <v>45135</v>
      </c>
      <c r="N156" s="7">
        <v>28749</v>
      </c>
      <c r="O156" s="3" t="s">
        <v>50</v>
      </c>
      <c r="P156" s="3" t="s">
        <v>44</v>
      </c>
      <c r="Q156" s="3" t="s">
        <v>51</v>
      </c>
      <c r="R156" s="3"/>
      <c r="S156" s="3" t="s">
        <v>68</v>
      </c>
      <c r="Z156" s="1" t="s">
        <v>47</v>
      </c>
      <c r="AA156" s="1" t="s">
        <v>47</v>
      </c>
      <c r="AB156" s="1" t="s">
        <v>47</v>
      </c>
      <c r="AC156" s="1" t="s">
        <v>47</v>
      </c>
      <c r="AD156" s="1" t="s">
        <v>409</v>
      </c>
      <c r="AE156" s="1" t="s">
        <v>827</v>
      </c>
      <c r="AF156" s="1" t="s">
        <v>828</v>
      </c>
      <c r="AG156" s="1" t="s">
        <v>829</v>
      </c>
      <c r="AH156" s="1" t="s">
        <v>830</v>
      </c>
      <c r="AI156" s="1" t="s">
        <v>831</v>
      </c>
    </row>
    <row r="157" spans="1:83" ht="15.75" customHeight="1" x14ac:dyDescent="0.2">
      <c r="A157" s="13" t="s">
        <v>832</v>
      </c>
      <c r="B157" s="3" t="s">
        <v>833</v>
      </c>
      <c r="C157" s="9"/>
      <c r="D157" s="9" t="s">
        <v>42</v>
      </c>
      <c r="E157" s="3">
        <v>2210524</v>
      </c>
      <c r="F157" s="3" t="s">
        <v>51</v>
      </c>
      <c r="G157" s="3"/>
      <c r="H157" s="3">
        <v>33</v>
      </c>
      <c r="I157" s="3">
        <f t="shared" si="0"/>
        <v>53</v>
      </c>
      <c r="J157" s="3">
        <f t="shared" si="1"/>
        <v>0</v>
      </c>
      <c r="K157" s="6">
        <v>0</v>
      </c>
      <c r="L157" s="3">
        <v>1</v>
      </c>
      <c r="M157" s="7">
        <v>44943</v>
      </c>
      <c r="N157" s="7">
        <v>25544</v>
      </c>
      <c r="O157" s="3" t="s">
        <v>50</v>
      </c>
      <c r="P157" s="3" t="s">
        <v>44</v>
      </c>
      <c r="Q157" s="3" t="s">
        <v>51</v>
      </c>
      <c r="R157" s="1" t="s">
        <v>834</v>
      </c>
      <c r="S157" s="3" t="s">
        <v>68</v>
      </c>
      <c r="Z157" s="1" t="s">
        <v>47</v>
      </c>
      <c r="AA157" s="1" t="s">
        <v>47</v>
      </c>
      <c r="AB157" s="1" t="s">
        <v>47</v>
      </c>
      <c r="AC157" s="1" t="s">
        <v>47</v>
      </c>
      <c r="AD157" s="1" t="s">
        <v>347</v>
      </c>
      <c r="AE157" s="1" t="s">
        <v>624</v>
      </c>
      <c r="AF157" s="1" t="s">
        <v>835</v>
      </c>
      <c r="AG157" s="1" t="s">
        <v>836</v>
      </c>
      <c r="AH157" s="1" t="s">
        <v>837</v>
      </c>
      <c r="AI157" s="1" t="s">
        <v>838</v>
      </c>
      <c r="AP157" s="1" t="s">
        <v>839</v>
      </c>
    </row>
    <row r="158" spans="1:83" ht="15.75" customHeight="1" x14ac:dyDescent="0.2">
      <c r="A158" s="13" t="s">
        <v>840</v>
      </c>
      <c r="B158" s="3" t="s">
        <v>841</v>
      </c>
      <c r="C158" s="9"/>
      <c r="D158" s="9" t="s">
        <v>42</v>
      </c>
      <c r="E158" s="3">
        <v>3763791</v>
      </c>
      <c r="F158" s="3"/>
      <c r="G158" s="3"/>
      <c r="H158" s="1">
        <v>50</v>
      </c>
      <c r="I158" s="3">
        <f t="shared" si="0"/>
        <v>65</v>
      </c>
      <c r="J158" s="3">
        <f t="shared" si="1"/>
        <v>0</v>
      </c>
      <c r="K158" s="6">
        <v>0</v>
      </c>
      <c r="L158" s="3">
        <v>1</v>
      </c>
      <c r="M158" s="7">
        <v>45020</v>
      </c>
      <c r="N158" s="7">
        <v>21223</v>
      </c>
      <c r="O158" s="3" t="s">
        <v>50</v>
      </c>
      <c r="P158" s="3" t="s">
        <v>44</v>
      </c>
      <c r="Q158" s="3" t="s">
        <v>45</v>
      </c>
      <c r="S158" s="3" t="s">
        <v>68</v>
      </c>
      <c r="Z158" s="1" t="s">
        <v>47</v>
      </c>
      <c r="AA158" s="1" t="s">
        <v>47</v>
      </c>
      <c r="AB158" s="1" t="s">
        <v>842</v>
      </c>
      <c r="AC158" s="1" t="s">
        <v>843</v>
      </c>
      <c r="AD158" s="1" t="s">
        <v>754</v>
      </c>
      <c r="AE158" s="1" t="s">
        <v>844</v>
      </c>
      <c r="AF158" s="1" t="s">
        <v>300</v>
      </c>
      <c r="AG158" s="1" t="s">
        <v>845</v>
      </c>
      <c r="AH158" s="1" t="s">
        <v>755</v>
      </c>
      <c r="AI158" s="1" t="s">
        <v>739</v>
      </c>
      <c r="AJ158" s="1" t="s">
        <v>846</v>
      </c>
      <c r="AK158" s="1" t="s">
        <v>847</v>
      </c>
    </row>
    <row r="159" spans="1:83" ht="15.75" customHeight="1" x14ac:dyDescent="0.2">
      <c r="A159" s="13" t="s">
        <v>848</v>
      </c>
      <c r="B159" s="3" t="s">
        <v>849</v>
      </c>
      <c r="C159" s="9"/>
      <c r="D159" s="9" t="s">
        <v>42</v>
      </c>
      <c r="E159" s="3">
        <v>7130657</v>
      </c>
      <c r="F159" s="3" t="s">
        <v>51</v>
      </c>
      <c r="G159" s="3"/>
      <c r="I159" s="3">
        <f t="shared" si="0"/>
        <v>45</v>
      </c>
      <c r="J159" s="3">
        <f t="shared" si="1"/>
        <v>0</v>
      </c>
      <c r="K159" s="6">
        <v>0</v>
      </c>
      <c r="L159" s="3">
        <v>1</v>
      </c>
      <c r="M159" s="7">
        <v>45030</v>
      </c>
      <c r="N159" s="7">
        <v>28432</v>
      </c>
      <c r="O159" s="3" t="s">
        <v>106</v>
      </c>
      <c r="P159" s="3" t="s">
        <v>44</v>
      </c>
      <c r="Q159" s="3" t="s">
        <v>45</v>
      </c>
      <c r="S159" s="3" t="s">
        <v>46</v>
      </c>
      <c r="Z159" s="1" t="s">
        <v>47</v>
      </c>
      <c r="AA159" s="1" t="s">
        <v>47</v>
      </c>
      <c r="AB159" s="1" t="s">
        <v>47</v>
      </c>
      <c r="AC159" s="1" t="s">
        <v>47</v>
      </c>
      <c r="AD159" s="1" t="s">
        <v>347</v>
      </c>
      <c r="AE159" s="1" t="s">
        <v>850</v>
      </c>
      <c r="AF159" s="1" t="s">
        <v>851</v>
      </c>
      <c r="AG159" s="1" t="s">
        <v>852</v>
      </c>
      <c r="AH159" s="1" t="s">
        <v>853</v>
      </c>
      <c r="AI159" s="1" t="s">
        <v>854</v>
      </c>
    </row>
    <row r="160" spans="1:83" ht="15.75" customHeight="1" x14ac:dyDescent="0.2">
      <c r="A160" s="13" t="s">
        <v>855</v>
      </c>
      <c r="B160" s="3" t="s">
        <v>856</v>
      </c>
      <c r="C160" s="9"/>
      <c r="D160" s="9" t="s">
        <v>42</v>
      </c>
      <c r="E160" s="3">
        <v>7130052</v>
      </c>
      <c r="F160" s="3" t="s">
        <v>51</v>
      </c>
      <c r="G160" s="3"/>
      <c r="I160" s="3">
        <f t="shared" si="0"/>
        <v>41</v>
      </c>
      <c r="J160" s="3">
        <f t="shared" si="1"/>
        <v>0</v>
      </c>
      <c r="K160" s="6">
        <v>0</v>
      </c>
      <c r="L160" s="3">
        <v>1</v>
      </c>
      <c r="M160" s="7">
        <v>45036</v>
      </c>
      <c r="N160" s="7">
        <v>29774</v>
      </c>
      <c r="O160" s="3" t="s">
        <v>106</v>
      </c>
      <c r="P160" s="3" t="s">
        <v>91</v>
      </c>
      <c r="Q160" s="3" t="s">
        <v>45</v>
      </c>
      <c r="S160" s="3" t="s">
        <v>572</v>
      </c>
      <c r="Z160" s="1" t="s">
        <v>47</v>
      </c>
      <c r="AA160" s="1" t="s">
        <v>47</v>
      </c>
      <c r="AB160" s="1" t="s">
        <v>47</v>
      </c>
      <c r="AC160" s="1" t="s">
        <v>857</v>
      </c>
      <c r="AD160" s="1" t="s">
        <v>858</v>
      </c>
    </row>
    <row r="161" spans="1:39" ht="15.75" customHeight="1" x14ac:dyDescent="0.2">
      <c r="A161" s="13" t="s">
        <v>859</v>
      </c>
      <c r="B161" s="3" t="s">
        <v>860</v>
      </c>
      <c r="C161" s="9"/>
      <c r="D161" s="9" t="s">
        <v>42</v>
      </c>
      <c r="E161" s="3">
        <v>7135357</v>
      </c>
      <c r="F161" s="3" t="s">
        <v>51</v>
      </c>
      <c r="G161" s="3"/>
      <c r="H161" s="3"/>
      <c r="I161" s="3">
        <f t="shared" si="0"/>
        <v>58</v>
      </c>
      <c r="J161" s="3">
        <f t="shared" si="1"/>
        <v>0</v>
      </c>
      <c r="K161" s="6">
        <v>0</v>
      </c>
      <c r="L161" s="3">
        <v>1</v>
      </c>
      <c r="M161" s="7">
        <v>45040</v>
      </c>
      <c r="N161" s="7">
        <v>23733</v>
      </c>
      <c r="O161" s="3" t="s">
        <v>106</v>
      </c>
      <c r="P161" s="3" t="s">
        <v>44</v>
      </c>
      <c r="Q161" s="3" t="s">
        <v>45</v>
      </c>
      <c r="R161" s="19"/>
      <c r="S161" s="3" t="s">
        <v>46</v>
      </c>
      <c r="Z161" s="1" t="s">
        <v>47</v>
      </c>
      <c r="AA161" s="1" t="s">
        <v>861</v>
      </c>
      <c r="AB161" s="1" t="s">
        <v>47</v>
      </c>
      <c r="AC161" s="1" t="s">
        <v>47</v>
      </c>
      <c r="AD161" s="1" t="s">
        <v>862</v>
      </c>
    </row>
    <row r="162" spans="1:39" ht="15.75" customHeight="1" x14ac:dyDescent="0.2">
      <c r="A162" s="13" t="s">
        <v>863</v>
      </c>
      <c r="B162" s="3" t="s">
        <v>864</v>
      </c>
      <c r="C162" s="9"/>
      <c r="D162" s="9" t="s">
        <v>42</v>
      </c>
      <c r="E162" s="3">
        <v>4094480</v>
      </c>
      <c r="F162" s="3"/>
      <c r="G162" s="3"/>
      <c r="I162" s="3">
        <f t="shared" si="0"/>
        <v>53</v>
      </c>
      <c r="J162" s="3">
        <f t="shared" si="1"/>
        <v>0</v>
      </c>
      <c r="K162" s="6">
        <v>0</v>
      </c>
      <c r="L162" s="3">
        <v>1</v>
      </c>
      <c r="M162" s="7">
        <v>45041</v>
      </c>
      <c r="N162" s="7">
        <v>25375</v>
      </c>
      <c r="O162" s="3" t="s">
        <v>50</v>
      </c>
      <c r="P162" s="3" t="s">
        <v>44</v>
      </c>
      <c r="Q162" s="3" t="s">
        <v>45</v>
      </c>
      <c r="S162" s="3" t="s">
        <v>46</v>
      </c>
      <c r="Z162" s="1" t="s">
        <v>47</v>
      </c>
      <c r="AA162" s="1" t="s">
        <v>47</v>
      </c>
      <c r="AB162" s="1" t="s">
        <v>47</v>
      </c>
      <c r="AC162" s="1" t="s">
        <v>47</v>
      </c>
      <c r="AD162" s="1" t="s">
        <v>865</v>
      </c>
      <c r="AE162" s="1" t="s">
        <v>866</v>
      </c>
    </row>
    <row r="163" spans="1:39" ht="15.75" customHeight="1" x14ac:dyDescent="0.2">
      <c r="A163" s="13" t="s">
        <v>867</v>
      </c>
      <c r="B163" s="3" t="s">
        <v>868</v>
      </c>
      <c r="C163" s="9"/>
      <c r="D163" s="9" t="s">
        <v>42</v>
      </c>
      <c r="E163" s="3">
        <v>7134541</v>
      </c>
      <c r="F163" s="3" t="s">
        <v>51</v>
      </c>
      <c r="G163" s="3"/>
      <c r="I163" s="3">
        <f t="shared" si="0"/>
        <v>47</v>
      </c>
      <c r="J163" s="3">
        <f t="shared" si="1"/>
        <v>0</v>
      </c>
      <c r="K163" s="6">
        <v>0</v>
      </c>
      <c r="L163" s="3">
        <v>1</v>
      </c>
      <c r="M163" s="7">
        <v>45042</v>
      </c>
      <c r="N163" s="7">
        <v>27541</v>
      </c>
      <c r="O163" s="3" t="s">
        <v>50</v>
      </c>
      <c r="P163" s="3" t="s">
        <v>44</v>
      </c>
      <c r="Q163" s="3" t="s">
        <v>45</v>
      </c>
      <c r="S163" s="3" t="s">
        <v>68</v>
      </c>
      <c r="Z163" s="1" t="s">
        <v>47</v>
      </c>
      <c r="AA163" s="1" t="s">
        <v>47</v>
      </c>
      <c r="AB163" s="1" t="s">
        <v>47</v>
      </c>
      <c r="AC163" s="1" t="s">
        <v>47</v>
      </c>
      <c r="AD163" s="1" t="s">
        <v>869</v>
      </c>
      <c r="AE163" s="1" t="s">
        <v>870</v>
      </c>
      <c r="AF163" s="1" t="s">
        <v>871</v>
      </c>
      <c r="AG163" s="1" t="s">
        <v>872</v>
      </c>
      <c r="AH163" s="1" t="s">
        <v>873</v>
      </c>
    </row>
    <row r="164" spans="1:39" ht="15.75" customHeight="1" x14ac:dyDescent="0.2">
      <c r="A164" s="13" t="s">
        <v>874</v>
      </c>
      <c r="B164" s="3" t="s">
        <v>875</v>
      </c>
      <c r="C164" s="9"/>
      <c r="D164" s="9" t="s">
        <v>42</v>
      </c>
      <c r="E164" s="3">
        <v>7131159</v>
      </c>
      <c r="F164" s="3" t="s">
        <v>51</v>
      </c>
      <c r="G164" s="3"/>
      <c r="I164" s="3">
        <f t="shared" si="0"/>
        <v>47</v>
      </c>
      <c r="J164" s="3">
        <f t="shared" si="1"/>
        <v>0</v>
      </c>
      <c r="K164" s="6">
        <v>0</v>
      </c>
      <c r="L164" s="3">
        <v>1</v>
      </c>
      <c r="M164" s="7">
        <v>45043</v>
      </c>
      <c r="N164" s="7">
        <v>27851</v>
      </c>
      <c r="O164" s="3" t="s">
        <v>106</v>
      </c>
      <c r="P164" s="1" t="s">
        <v>44</v>
      </c>
      <c r="Q164" s="3" t="s">
        <v>51</v>
      </c>
      <c r="S164" s="3" t="s">
        <v>47</v>
      </c>
      <c r="Z164" s="1" t="s">
        <v>47</v>
      </c>
      <c r="AA164" s="1" t="s">
        <v>47</v>
      </c>
      <c r="AB164" s="1" t="s">
        <v>47</v>
      </c>
      <c r="AC164" s="1" t="s">
        <v>47</v>
      </c>
      <c r="AD164" s="1" t="s">
        <v>870</v>
      </c>
      <c r="AE164" s="1" t="s">
        <v>754</v>
      </c>
      <c r="AF164" s="1" t="s">
        <v>876</v>
      </c>
      <c r="AG164" s="1" t="s">
        <v>877</v>
      </c>
      <c r="AH164" s="1" t="s">
        <v>878</v>
      </c>
      <c r="AI164" s="1" t="s">
        <v>879</v>
      </c>
      <c r="AJ164" s="1" t="s">
        <v>880</v>
      </c>
    </row>
    <row r="165" spans="1:39" ht="15.75" customHeight="1" x14ac:dyDescent="0.2">
      <c r="A165" s="13" t="s">
        <v>881</v>
      </c>
      <c r="B165" s="3" t="s">
        <v>882</v>
      </c>
      <c r="C165" s="9"/>
      <c r="D165" s="9" t="s">
        <v>42</v>
      </c>
      <c r="E165" s="3">
        <v>7136349</v>
      </c>
      <c r="F165" s="3" t="s">
        <v>51</v>
      </c>
      <c r="G165" s="3"/>
      <c r="I165" s="3">
        <f t="shared" si="0"/>
        <v>44</v>
      </c>
      <c r="J165" s="3">
        <f t="shared" si="1"/>
        <v>0</v>
      </c>
      <c r="K165" s="6">
        <v>0</v>
      </c>
      <c r="L165" s="3">
        <v>1</v>
      </c>
      <c r="M165" s="7">
        <v>45047</v>
      </c>
      <c r="N165" s="7">
        <v>28888</v>
      </c>
      <c r="O165" s="3" t="s">
        <v>50</v>
      </c>
      <c r="P165" s="1" t="s">
        <v>44</v>
      </c>
      <c r="Q165" s="3" t="s">
        <v>45</v>
      </c>
      <c r="S165" s="3" t="s">
        <v>46</v>
      </c>
      <c r="Z165" s="1" t="s">
        <v>47</v>
      </c>
      <c r="AA165" s="1" t="s">
        <v>47</v>
      </c>
      <c r="AB165" s="1" t="s">
        <v>47</v>
      </c>
      <c r="AC165" s="1" t="s">
        <v>47</v>
      </c>
      <c r="AD165" s="1" t="s">
        <v>754</v>
      </c>
      <c r="AE165" s="1" t="s">
        <v>883</v>
      </c>
      <c r="AF165" s="1" t="s">
        <v>884</v>
      </c>
    </row>
    <row r="166" spans="1:39" ht="15.75" customHeight="1" x14ac:dyDescent="0.2">
      <c r="A166" s="13" t="s">
        <v>885</v>
      </c>
      <c r="B166" s="1" t="s">
        <v>886</v>
      </c>
      <c r="C166" s="9"/>
      <c r="D166" s="9" t="s">
        <v>42</v>
      </c>
      <c r="E166" s="1">
        <v>4291310</v>
      </c>
      <c r="F166" s="1" t="s">
        <v>51</v>
      </c>
      <c r="I166" s="1">
        <f t="shared" si="0"/>
        <v>41</v>
      </c>
      <c r="J166" s="1">
        <f t="shared" si="1"/>
        <v>0</v>
      </c>
      <c r="K166" s="1">
        <v>0</v>
      </c>
      <c r="L166" s="1">
        <v>1</v>
      </c>
      <c r="M166" s="7">
        <v>45062</v>
      </c>
      <c r="N166" s="7">
        <v>29727</v>
      </c>
      <c r="O166" s="1" t="s">
        <v>43</v>
      </c>
      <c r="P166" s="1" t="s">
        <v>44</v>
      </c>
      <c r="Q166" s="1" t="s">
        <v>45</v>
      </c>
      <c r="S166" s="3" t="s">
        <v>46</v>
      </c>
      <c r="Z166" s="1" t="s">
        <v>47</v>
      </c>
      <c r="AA166" s="1" t="s">
        <v>47</v>
      </c>
      <c r="AB166" s="1" t="s">
        <v>47</v>
      </c>
      <c r="AC166" s="1" t="s">
        <v>47</v>
      </c>
      <c r="AD166" s="1" t="s">
        <v>887</v>
      </c>
      <c r="AE166" s="1" t="s">
        <v>754</v>
      </c>
      <c r="AF166" s="1" t="s">
        <v>870</v>
      </c>
      <c r="AG166" s="1" t="s">
        <v>694</v>
      </c>
      <c r="AH166" s="1" t="s">
        <v>877</v>
      </c>
    </row>
    <row r="167" spans="1:39" ht="15.75" customHeight="1" x14ac:dyDescent="0.2">
      <c r="A167" s="13" t="s">
        <v>888</v>
      </c>
      <c r="B167" s="3" t="s">
        <v>889</v>
      </c>
      <c r="C167" s="9"/>
      <c r="D167" s="9" t="s">
        <v>42</v>
      </c>
      <c r="E167" s="3">
        <v>3931735</v>
      </c>
      <c r="F167" s="3" t="s">
        <v>51</v>
      </c>
      <c r="G167" s="3"/>
      <c r="H167" s="3"/>
      <c r="I167" s="3">
        <f t="shared" si="0"/>
        <v>37</v>
      </c>
      <c r="J167" s="3">
        <f t="shared" si="1"/>
        <v>1</v>
      </c>
      <c r="K167" s="6">
        <v>0</v>
      </c>
      <c r="L167" s="3">
        <v>1</v>
      </c>
      <c r="M167" s="7">
        <v>45063</v>
      </c>
      <c r="N167" s="7">
        <v>31440</v>
      </c>
      <c r="O167" s="3" t="s">
        <v>106</v>
      </c>
      <c r="P167" s="3" t="s">
        <v>44</v>
      </c>
      <c r="Q167" s="3" t="s">
        <v>45</v>
      </c>
      <c r="S167" s="3" t="s">
        <v>68</v>
      </c>
      <c r="Z167" s="1" t="s">
        <v>47</v>
      </c>
      <c r="AA167" s="1" t="s">
        <v>47</v>
      </c>
      <c r="AB167" s="1" t="s">
        <v>47</v>
      </c>
      <c r="AC167" s="1" t="s">
        <v>47</v>
      </c>
      <c r="AD167" s="1" t="s">
        <v>890</v>
      </c>
      <c r="AE167" s="1" t="s">
        <v>870</v>
      </c>
      <c r="AF167" s="1" t="s">
        <v>891</v>
      </c>
    </row>
    <row r="168" spans="1:39" ht="15.75" customHeight="1" x14ac:dyDescent="0.2">
      <c r="A168" s="13" t="s">
        <v>892</v>
      </c>
      <c r="B168" s="1" t="s">
        <v>893</v>
      </c>
      <c r="C168" s="9"/>
      <c r="D168" s="9" t="s">
        <v>42</v>
      </c>
      <c r="E168" s="1">
        <v>7092234</v>
      </c>
      <c r="I168" s="3">
        <f t="shared" si="0"/>
        <v>39</v>
      </c>
      <c r="J168" s="3">
        <f t="shared" si="1"/>
        <v>1</v>
      </c>
      <c r="K168" s="1">
        <v>0</v>
      </c>
      <c r="L168" s="1">
        <v>1</v>
      </c>
      <c r="M168" s="7">
        <v>45092</v>
      </c>
      <c r="N168" s="7">
        <v>30612</v>
      </c>
      <c r="O168" s="1" t="s">
        <v>106</v>
      </c>
      <c r="P168" s="1" t="s">
        <v>44</v>
      </c>
      <c r="Q168" s="1" t="s">
        <v>45</v>
      </c>
      <c r="S168" s="3" t="s">
        <v>46</v>
      </c>
      <c r="Z168" s="1" t="s">
        <v>47</v>
      </c>
      <c r="AA168" s="1" t="s">
        <v>47</v>
      </c>
      <c r="AB168" s="1" t="s">
        <v>47</v>
      </c>
      <c r="AC168" s="1" t="s">
        <v>47</v>
      </c>
      <c r="AD168" s="1" t="s">
        <v>894</v>
      </c>
    </row>
    <row r="169" spans="1:39" ht="15.75" customHeight="1" x14ac:dyDescent="0.2">
      <c r="A169" s="13" t="s">
        <v>895</v>
      </c>
      <c r="B169" s="1" t="s">
        <v>896</v>
      </c>
      <c r="C169" s="9"/>
      <c r="D169" s="9" t="s">
        <v>42</v>
      </c>
      <c r="E169" s="1">
        <v>7157326</v>
      </c>
      <c r="F169" s="1" t="s">
        <v>51</v>
      </c>
      <c r="I169" s="3">
        <f t="shared" si="0"/>
        <v>69</v>
      </c>
      <c r="J169" s="3">
        <f t="shared" si="1"/>
        <v>0</v>
      </c>
      <c r="K169" s="1">
        <v>0</v>
      </c>
      <c r="L169" s="1">
        <v>1</v>
      </c>
      <c r="M169" s="7">
        <v>45094</v>
      </c>
      <c r="N169" s="7">
        <v>19562</v>
      </c>
      <c r="O169" s="1" t="s">
        <v>106</v>
      </c>
      <c r="P169" s="1" t="s">
        <v>91</v>
      </c>
      <c r="Q169" s="1" t="s">
        <v>45</v>
      </c>
      <c r="S169" s="3" t="s">
        <v>46</v>
      </c>
      <c r="Z169" s="1" t="s">
        <v>47</v>
      </c>
      <c r="AA169" s="1" t="s">
        <v>47</v>
      </c>
      <c r="AB169" s="1" t="s">
        <v>47</v>
      </c>
      <c r="AC169" s="1" t="s">
        <v>47</v>
      </c>
      <c r="AD169" s="1" t="s">
        <v>897</v>
      </c>
      <c r="AE169" s="1" t="s">
        <v>870</v>
      </c>
      <c r="AF169" s="1" t="s">
        <v>898</v>
      </c>
      <c r="AG169" s="1" t="s">
        <v>899</v>
      </c>
      <c r="AH169" s="1" t="s">
        <v>900</v>
      </c>
      <c r="AI169" s="1" t="s">
        <v>901</v>
      </c>
    </row>
    <row r="170" spans="1:39" ht="15.75" customHeight="1" x14ac:dyDescent="0.2">
      <c r="A170" s="13" t="s">
        <v>902</v>
      </c>
      <c r="B170" s="3" t="s">
        <v>903</v>
      </c>
      <c r="C170" s="9"/>
      <c r="D170" s="9" t="s">
        <v>42</v>
      </c>
      <c r="E170" s="3">
        <v>7161340</v>
      </c>
      <c r="F170" s="3" t="s">
        <v>51</v>
      </c>
      <c r="G170" s="3"/>
      <c r="H170" s="3"/>
      <c r="I170" s="3">
        <f t="shared" si="0"/>
        <v>45</v>
      </c>
      <c r="J170" s="3">
        <f t="shared" si="1"/>
        <v>0</v>
      </c>
      <c r="K170" s="3">
        <v>0</v>
      </c>
      <c r="L170" s="3">
        <v>1</v>
      </c>
      <c r="M170" s="7">
        <v>45123</v>
      </c>
      <c r="N170" s="7">
        <v>28340</v>
      </c>
      <c r="O170" s="3" t="s">
        <v>50</v>
      </c>
      <c r="P170" s="3" t="s">
        <v>44</v>
      </c>
      <c r="Q170" s="3" t="s">
        <v>45</v>
      </c>
      <c r="R170" s="19"/>
      <c r="S170" s="3" t="s">
        <v>92</v>
      </c>
      <c r="Z170" s="1" t="s">
        <v>47</v>
      </c>
      <c r="AA170" s="1" t="s">
        <v>47</v>
      </c>
      <c r="AB170" s="1" t="s">
        <v>47</v>
      </c>
      <c r="AC170" s="1" t="s">
        <v>47</v>
      </c>
      <c r="AD170" s="1" t="s">
        <v>870</v>
      </c>
      <c r="AE170" s="1" t="s">
        <v>754</v>
      </c>
    </row>
    <row r="171" spans="1:39" ht="15.75" customHeight="1" x14ac:dyDescent="0.2">
      <c r="A171" s="13" t="s">
        <v>904</v>
      </c>
      <c r="B171" s="3" t="s">
        <v>905</v>
      </c>
      <c r="C171" s="9"/>
      <c r="D171" s="9" t="s">
        <v>42</v>
      </c>
      <c r="E171" s="3">
        <v>7170042</v>
      </c>
      <c r="F171" s="3" t="s">
        <v>51</v>
      </c>
      <c r="G171" s="3"/>
      <c r="H171" s="3"/>
      <c r="I171" s="3">
        <f t="shared" si="0"/>
        <v>49</v>
      </c>
      <c r="J171" s="3">
        <f t="shared" si="1"/>
        <v>0</v>
      </c>
      <c r="K171" s="3">
        <v>0</v>
      </c>
      <c r="L171" s="3">
        <v>1</v>
      </c>
      <c r="M171" s="7">
        <v>45124</v>
      </c>
      <c r="N171" s="7">
        <v>27182</v>
      </c>
      <c r="O171" s="3" t="s">
        <v>50</v>
      </c>
      <c r="P171" s="3" t="s">
        <v>44</v>
      </c>
      <c r="Q171" s="3" t="s">
        <v>45</v>
      </c>
      <c r="R171" s="19"/>
      <c r="S171" s="3" t="s">
        <v>68</v>
      </c>
      <c r="Z171" s="1" t="s">
        <v>47</v>
      </c>
      <c r="AA171" s="1" t="s">
        <v>47</v>
      </c>
      <c r="AB171" s="1" t="s">
        <v>47</v>
      </c>
      <c r="AC171" s="1" t="s">
        <v>47</v>
      </c>
      <c r="AD171" s="1" t="s">
        <v>754</v>
      </c>
      <c r="AE171" s="1" t="s">
        <v>694</v>
      </c>
      <c r="AF171" s="1" t="s">
        <v>695</v>
      </c>
      <c r="AG171" s="1" t="s">
        <v>906</v>
      </c>
      <c r="AH171" s="1" t="s">
        <v>907</v>
      </c>
    </row>
    <row r="172" spans="1:39" ht="15.75" customHeight="1" x14ac:dyDescent="0.2">
      <c r="A172" s="13" t="s">
        <v>908</v>
      </c>
      <c r="B172" s="1" t="s">
        <v>909</v>
      </c>
      <c r="C172" s="9"/>
      <c r="D172" s="9" t="s">
        <v>42</v>
      </c>
      <c r="E172" s="1">
        <v>4559425</v>
      </c>
      <c r="F172" s="1" t="s">
        <v>51</v>
      </c>
      <c r="I172" s="1">
        <f t="shared" si="0"/>
        <v>35</v>
      </c>
      <c r="J172" s="1">
        <f t="shared" si="1"/>
        <v>1</v>
      </c>
      <c r="K172" s="1">
        <v>0</v>
      </c>
      <c r="L172" s="1">
        <v>1</v>
      </c>
      <c r="M172" s="7">
        <v>45125</v>
      </c>
      <c r="N172" s="7">
        <v>32281</v>
      </c>
      <c r="O172" s="1" t="s">
        <v>106</v>
      </c>
      <c r="P172" s="3" t="s">
        <v>44</v>
      </c>
      <c r="Q172" s="1" t="s">
        <v>45</v>
      </c>
      <c r="S172" s="3" t="s">
        <v>68</v>
      </c>
      <c r="Z172" s="1" t="s">
        <v>47</v>
      </c>
      <c r="AA172" s="1" t="s">
        <v>47</v>
      </c>
      <c r="AB172" s="1" t="s">
        <v>47</v>
      </c>
      <c r="AC172" s="1" t="s">
        <v>47</v>
      </c>
      <c r="AD172" s="1" t="s">
        <v>910</v>
      </c>
      <c r="AE172" s="1" t="s">
        <v>911</v>
      </c>
      <c r="AF172" s="1" t="s">
        <v>912</v>
      </c>
      <c r="AG172" s="1" t="s">
        <v>913</v>
      </c>
    </row>
    <row r="173" spans="1:39" ht="15.75" customHeight="1" x14ac:dyDescent="0.2">
      <c r="A173" s="13" t="s">
        <v>914</v>
      </c>
      <c r="B173" s="3" t="s">
        <v>915</v>
      </c>
      <c r="C173" s="9"/>
      <c r="D173" s="9" t="s">
        <v>42</v>
      </c>
      <c r="E173" s="3">
        <v>4518621</v>
      </c>
      <c r="F173" s="3" t="s">
        <v>51</v>
      </c>
      <c r="G173" s="3"/>
      <c r="H173" s="3">
        <v>37</v>
      </c>
      <c r="I173" s="3">
        <f t="shared" si="0"/>
        <v>42</v>
      </c>
      <c r="J173" s="3">
        <f t="shared" si="1"/>
        <v>0</v>
      </c>
      <c r="K173" s="3">
        <v>0</v>
      </c>
      <c r="L173" s="3">
        <v>1</v>
      </c>
      <c r="M173" s="7">
        <v>45133</v>
      </c>
      <c r="N173" s="7">
        <v>29626</v>
      </c>
      <c r="O173" s="3" t="s">
        <v>50</v>
      </c>
      <c r="P173" s="3" t="s">
        <v>44</v>
      </c>
      <c r="Q173" s="3" t="s">
        <v>51</v>
      </c>
      <c r="R173" s="3"/>
      <c r="S173" s="3"/>
      <c r="Z173" s="1" t="s">
        <v>47</v>
      </c>
      <c r="AA173" s="1" t="s">
        <v>47</v>
      </c>
      <c r="AB173" s="1" t="s">
        <v>47</v>
      </c>
      <c r="AC173" s="1" t="s">
        <v>47</v>
      </c>
      <c r="AD173" s="1" t="s">
        <v>916</v>
      </c>
      <c r="AE173" s="1" t="s">
        <v>917</v>
      </c>
      <c r="AF173" s="1" t="s">
        <v>918</v>
      </c>
      <c r="AG173" s="1" t="s">
        <v>919</v>
      </c>
      <c r="AH173" s="1" t="s">
        <v>920</v>
      </c>
      <c r="AI173" s="1" t="s">
        <v>921</v>
      </c>
      <c r="AJ173" s="1" t="s">
        <v>922</v>
      </c>
      <c r="AK173" s="1" t="s">
        <v>923</v>
      </c>
      <c r="AL173" s="1" t="s">
        <v>924</v>
      </c>
      <c r="AM173" s="1" t="s">
        <v>925</v>
      </c>
    </row>
    <row r="174" spans="1:39" ht="15.75" customHeight="1" x14ac:dyDescent="0.2">
      <c r="A174" s="13" t="s">
        <v>926</v>
      </c>
      <c r="B174" s="3" t="s">
        <v>927</v>
      </c>
      <c r="C174" s="9"/>
      <c r="D174" s="9" t="s">
        <v>42</v>
      </c>
      <c r="E174" s="3">
        <v>7172105</v>
      </c>
      <c r="F174" s="3"/>
      <c r="G174" s="3"/>
      <c r="H174" s="3"/>
      <c r="I174" s="3">
        <f t="shared" si="0"/>
        <v>57</v>
      </c>
      <c r="J174" s="3">
        <f t="shared" si="1"/>
        <v>0</v>
      </c>
      <c r="K174" s="3">
        <v>0</v>
      </c>
      <c r="L174" s="3">
        <v>1</v>
      </c>
      <c r="M174" s="7">
        <v>45134</v>
      </c>
      <c r="N174" s="7">
        <v>23976</v>
      </c>
      <c r="O174" s="3" t="s">
        <v>106</v>
      </c>
      <c r="P174" s="3" t="s">
        <v>44</v>
      </c>
      <c r="Q174" s="3" t="s">
        <v>45</v>
      </c>
      <c r="R174" s="3"/>
      <c r="S174" s="3" t="s">
        <v>46</v>
      </c>
      <c r="Z174" s="1" t="s">
        <v>47</v>
      </c>
      <c r="AA174" s="1" t="s">
        <v>47</v>
      </c>
      <c r="AB174" s="1" t="s">
        <v>47</v>
      </c>
      <c r="AC174" s="1" t="s">
        <v>47</v>
      </c>
      <c r="AD174" s="1" t="s">
        <v>928</v>
      </c>
      <c r="AE174" s="1" t="s">
        <v>754</v>
      </c>
      <c r="AF174" s="1" t="s">
        <v>870</v>
      </c>
    </row>
    <row r="175" spans="1:39" ht="15.75" customHeight="1" x14ac:dyDescent="0.2">
      <c r="A175" s="13" t="s">
        <v>929</v>
      </c>
      <c r="B175" s="3" t="s">
        <v>930</v>
      </c>
      <c r="C175" s="9"/>
      <c r="D175" s="9" t="s">
        <v>42</v>
      </c>
      <c r="E175" s="3">
        <v>7176921</v>
      </c>
      <c r="F175" s="3"/>
      <c r="G175" s="3"/>
      <c r="H175" s="3"/>
      <c r="I175" s="3">
        <f t="shared" si="0"/>
        <v>32</v>
      </c>
      <c r="J175" s="3">
        <f t="shared" si="1"/>
        <v>1</v>
      </c>
      <c r="K175" s="3">
        <v>0</v>
      </c>
      <c r="L175" s="3">
        <v>0</v>
      </c>
      <c r="M175" s="7">
        <v>45138</v>
      </c>
      <c r="N175" s="7">
        <v>33413</v>
      </c>
      <c r="O175" s="3" t="s">
        <v>99</v>
      </c>
      <c r="P175" s="3" t="s">
        <v>931</v>
      </c>
      <c r="Q175" s="3" t="s">
        <v>45</v>
      </c>
      <c r="R175" s="3"/>
      <c r="S175" s="3" t="s">
        <v>92</v>
      </c>
      <c r="Z175" s="1" t="s">
        <v>47</v>
      </c>
      <c r="AA175" s="1" t="s">
        <v>932</v>
      </c>
      <c r="AB175" s="1" t="s">
        <v>47</v>
      </c>
      <c r="AC175" s="1" t="s">
        <v>47</v>
      </c>
      <c r="AD175" s="1" t="s">
        <v>933</v>
      </c>
      <c r="AE175" s="1" t="s">
        <v>934</v>
      </c>
    </row>
    <row r="176" spans="1:39" ht="15.75" customHeight="1" x14ac:dyDescent="0.2">
      <c r="A176" s="13" t="s">
        <v>935</v>
      </c>
      <c r="B176" s="3" t="s">
        <v>936</v>
      </c>
      <c r="C176" s="9"/>
      <c r="D176" s="9" t="s">
        <v>42</v>
      </c>
      <c r="E176" s="3">
        <v>7175822</v>
      </c>
      <c r="F176" s="3" t="s">
        <v>51</v>
      </c>
      <c r="G176" s="3"/>
      <c r="I176" s="3">
        <f t="shared" si="0"/>
        <v>61</v>
      </c>
      <c r="J176" s="3">
        <f t="shared" si="1"/>
        <v>0</v>
      </c>
      <c r="K176" s="3">
        <v>0</v>
      </c>
      <c r="L176" s="3">
        <v>1</v>
      </c>
      <c r="M176" s="7">
        <v>45155</v>
      </c>
      <c r="N176" s="7">
        <v>22676</v>
      </c>
      <c r="O176" s="3" t="s">
        <v>106</v>
      </c>
      <c r="P176" s="3" t="s">
        <v>67</v>
      </c>
      <c r="Q176" s="3" t="s">
        <v>45</v>
      </c>
      <c r="S176" s="3" t="s">
        <v>47</v>
      </c>
      <c r="Z176" s="1" t="s">
        <v>47</v>
      </c>
      <c r="AA176" s="1" t="s">
        <v>47</v>
      </c>
      <c r="AB176" s="1" t="s">
        <v>47</v>
      </c>
      <c r="AC176" s="1" t="s">
        <v>47</v>
      </c>
      <c r="AD176" s="1" t="s">
        <v>870</v>
      </c>
      <c r="AE176" s="1" t="s">
        <v>937</v>
      </c>
      <c r="AF176" s="1" t="s">
        <v>938</v>
      </c>
      <c r="AG176" s="1" t="s">
        <v>939</v>
      </c>
    </row>
    <row r="177" spans="1:37" ht="15.75" customHeight="1" x14ac:dyDescent="0.2">
      <c r="A177" s="13" t="s">
        <v>940</v>
      </c>
      <c r="B177" s="3" t="s">
        <v>941</v>
      </c>
      <c r="C177" s="9"/>
      <c r="D177" s="9" t="s">
        <v>42</v>
      </c>
      <c r="E177" s="3">
        <v>2502652</v>
      </c>
      <c r="F177" s="3"/>
      <c r="G177" s="3"/>
      <c r="H177" s="3"/>
      <c r="I177" s="3">
        <f t="shared" si="0"/>
        <v>49</v>
      </c>
      <c r="J177" s="3">
        <f t="shared" si="1"/>
        <v>0</v>
      </c>
      <c r="K177" s="3">
        <v>1</v>
      </c>
      <c r="L177" s="3">
        <v>1</v>
      </c>
      <c r="M177" s="7">
        <v>45167</v>
      </c>
      <c r="N177" s="7">
        <v>27138</v>
      </c>
      <c r="O177" s="3" t="s">
        <v>106</v>
      </c>
      <c r="P177" s="3" t="s">
        <v>141</v>
      </c>
      <c r="Q177" s="3" t="s">
        <v>45</v>
      </c>
      <c r="R177" s="3"/>
      <c r="S177" s="3" t="s">
        <v>47</v>
      </c>
      <c r="Z177" s="1" t="s">
        <v>47</v>
      </c>
      <c r="AA177" s="1" t="s">
        <v>942</v>
      </c>
      <c r="AB177" s="1" t="s">
        <v>47</v>
      </c>
      <c r="AC177" s="1" t="s">
        <v>47</v>
      </c>
      <c r="AD177" s="1" t="s">
        <v>943</v>
      </c>
    </row>
    <row r="178" spans="1:37" ht="15.75" customHeight="1" x14ac:dyDescent="0.2">
      <c r="A178" s="13" t="s">
        <v>944</v>
      </c>
      <c r="B178" s="3" t="s">
        <v>945</v>
      </c>
      <c r="C178" s="9"/>
      <c r="D178" s="9" t="s">
        <v>42</v>
      </c>
      <c r="E178" s="3">
        <v>7154190</v>
      </c>
      <c r="F178" s="3" t="s">
        <v>51</v>
      </c>
      <c r="G178" s="3"/>
      <c r="H178" s="3"/>
      <c r="I178" s="3">
        <f t="shared" si="0"/>
        <v>21</v>
      </c>
      <c r="J178" s="3">
        <f t="shared" si="1"/>
        <v>1</v>
      </c>
      <c r="K178" s="3">
        <v>0</v>
      </c>
      <c r="L178" s="3">
        <v>1</v>
      </c>
      <c r="M178" s="7">
        <v>45176</v>
      </c>
      <c r="N178" s="7">
        <v>37403</v>
      </c>
      <c r="O178" s="3" t="s">
        <v>50</v>
      </c>
      <c r="P178" s="3" t="s">
        <v>91</v>
      </c>
      <c r="Q178" s="3" t="s">
        <v>45</v>
      </c>
      <c r="S178" s="3" t="s">
        <v>68</v>
      </c>
      <c r="Z178" s="1" t="s">
        <v>47</v>
      </c>
      <c r="AA178" s="1" t="s">
        <v>142</v>
      </c>
      <c r="AB178" s="1" t="s">
        <v>47</v>
      </c>
      <c r="AC178" s="1" t="s">
        <v>47</v>
      </c>
      <c r="AD178" s="1" t="s">
        <v>946</v>
      </c>
      <c r="AE178" s="1" t="s">
        <v>947</v>
      </c>
    </row>
    <row r="179" spans="1:37" ht="15.75" customHeight="1" x14ac:dyDescent="0.2">
      <c r="A179" s="13" t="s">
        <v>948</v>
      </c>
      <c r="B179" s="3" t="s">
        <v>949</v>
      </c>
      <c r="C179" s="9"/>
      <c r="D179" s="9" t="s">
        <v>42</v>
      </c>
      <c r="E179" s="3">
        <v>4429140</v>
      </c>
      <c r="F179" s="3" t="s">
        <v>51</v>
      </c>
      <c r="G179" s="3"/>
      <c r="H179" s="3"/>
      <c r="I179" s="3">
        <f t="shared" si="0"/>
        <v>57</v>
      </c>
      <c r="J179" s="3">
        <f t="shared" si="1"/>
        <v>0</v>
      </c>
      <c r="K179" s="3">
        <v>0</v>
      </c>
      <c r="L179" s="3">
        <v>1</v>
      </c>
      <c r="M179" s="7">
        <v>45177</v>
      </c>
      <c r="N179" s="7">
        <v>24155</v>
      </c>
      <c r="O179" s="3" t="s">
        <v>106</v>
      </c>
      <c r="P179" s="3" t="s">
        <v>44</v>
      </c>
      <c r="Q179" s="3" t="s">
        <v>45</v>
      </c>
      <c r="R179" s="3"/>
      <c r="S179" s="3" t="s">
        <v>46</v>
      </c>
      <c r="Z179" s="1" t="s">
        <v>47</v>
      </c>
      <c r="AA179" s="1" t="s">
        <v>47</v>
      </c>
      <c r="AB179" s="1" t="s">
        <v>47</v>
      </c>
      <c r="AC179" s="1" t="s">
        <v>47</v>
      </c>
      <c r="AD179" s="1" t="s">
        <v>870</v>
      </c>
      <c r="AE179" s="1" t="s">
        <v>950</v>
      </c>
      <c r="AF179" s="1" t="s">
        <v>951</v>
      </c>
      <c r="AG179" s="1" t="s">
        <v>952</v>
      </c>
    </row>
    <row r="180" spans="1:37" ht="15.75" customHeight="1" x14ac:dyDescent="0.2">
      <c r="A180" s="13" t="s">
        <v>953</v>
      </c>
      <c r="B180" s="3" t="s">
        <v>954</v>
      </c>
      <c r="C180" s="9"/>
      <c r="D180" s="9" t="s">
        <v>42</v>
      </c>
      <c r="E180" s="3">
        <v>4646479</v>
      </c>
      <c r="F180" s="3" t="s">
        <v>51</v>
      </c>
      <c r="G180" s="3"/>
      <c r="H180" s="3">
        <v>40</v>
      </c>
      <c r="I180" s="3">
        <f t="shared" si="0"/>
        <v>50</v>
      </c>
      <c r="J180" s="3">
        <f t="shared" si="1"/>
        <v>0</v>
      </c>
      <c r="K180" s="3">
        <v>0</v>
      </c>
      <c r="L180" s="3">
        <v>1</v>
      </c>
      <c r="M180" s="7">
        <v>45198</v>
      </c>
      <c r="N180" s="7">
        <v>26905</v>
      </c>
      <c r="O180" s="3" t="s">
        <v>50</v>
      </c>
      <c r="P180" s="3" t="s">
        <v>166</v>
      </c>
      <c r="Q180" s="3" t="s">
        <v>51</v>
      </c>
      <c r="R180" s="3"/>
      <c r="S180" s="3" t="s">
        <v>68</v>
      </c>
      <c r="Z180" s="1" t="s">
        <v>955</v>
      </c>
      <c r="AA180" s="1" t="s">
        <v>47</v>
      </c>
      <c r="AB180" s="1" t="s">
        <v>47</v>
      </c>
      <c r="AC180" s="1" t="s">
        <v>47</v>
      </c>
      <c r="AD180" s="1" t="s">
        <v>956</v>
      </c>
    </row>
    <row r="181" spans="1:37" ht="15.75" customHeight="1" x14ac:dyDescent="0.2">
      <c r="A181" s="13" t="s">
        <v>957</v>
      </c>
      <c r="B181" s="3" t="s">
        <v>958</v>
      </c>
      <c r="C181" s="9"/>
      <c r="D181" s="9" t="s">
        <v>42</v>
      </c>
      <c r="E181" s="3">
        <v>4452993</v>
      </c>
      <c r="F181" s="3"/>
      <c r="G181" s="3"/>
      <c r="H181" s="3">
        <v>50</v>
      </c>
      <c r="I181" s="3">
        <f t="shared" si="0"/>
        <v>56</v>
      </c>
      <c r="J181" s="3">
        <f t="shared" si="1"/>
        <v>0</v>
      </c>
      <c r="K181" s="3">
        <v>0</v>
      </c>
      <c r="L181" s="3">
        <v>1</v>
      </c>
      <c r="M181" s="7">
        <v>45210</v>
      </c>
      <c r="N181" s="7">
        <v>24533</v>
      </c>
      <c r="O181" s="3" t="s">
        <v>50</v>
      </c>
      <c r="P181" s="3" t="s">
        <v>44</v>
      </c>
      <c r="Q181" s="3" t="s">
        <v>51</v>
      </c>
      <c r="R181" s="3"/>
      <c r="S181" s="3" t="s">
        <v>47</v>
      </c>
      <c r="Z181" s="1" t="s">
        <v>47</v>
      </c>
      <c r="AA181" s="1" t="s">
        <v>47</v>
      </c>
      <c r="AB181" s="1" t="s">
        <v>47</v>
      </c>
      <c r="AC181" s="1" t="s">
        <v>47</v>
      </c>
      <c r="AD181" s="1" t="s">
        <v>870</v>
      </c>
      <c r="AE181" s="1" t="s">
        <v>959</v>
      </c>
    </row>
    <row r="182" spans="1:37" ht="15.75" customHeight="1" x14ac:dyDescent="0.2">
      <c r="A182" s="13" t="s">
        <v>960</v>
      </c>
      <c r="B182" s="3" t="s">
        <v>961</v>
      </c>
      <c r="C182" s="9"/>
      <c r="D182" s="9" t="s">
        <v>42</v>
      </c>
      <c r="E182" s="3">
        <v>7203923</v>
      </c>
      <c r="F182" s="3"/>
      <c r="G182" s="3"/>
      <c r="H182" s="3"/>
      <c r="I182" s="3">
        <f t="shared" si="0"/>
        <v>71</v>
      </c>
      <c r="J182" s="3">
        <f t="shared" si="1"/>
        <v>0</v>
      </c>
      <c r="K182" s="3">
        <v>0</v>
      </c>
      <c r="L182" s="3">
        <v>1</v>
      </c>
      <c r="M182" s="7">
        <v>45211</v>
      </c>
      <c r="N182" s="7">
        <v>19138</v>
      </c>
      <c r="O182" s="3" t="s">
        <v>106</v>
      </c>
      <c r="P182" s="3" t="s">
        <v>44</v>
      </c>
      <c r="Q182" s="3" t="s">
        <v>45</v>
      </c>
      <c r="R182" s="3"/>
      <c r="S182" s="3" t="s">
        <v>68</v>
      </c>
      <c r="Z182" s="1" t="s">
        <v>47</v>
      </c>
      <c r="AA182" s="1" t="s">
        <v>47</v>
      </c>
      <c r="AB182" s="1" t="s">
        <v>47</v>
      </c>
      <c r="AC182" s="1" t="s">
        <v>47</v>
      </c>
      <c r="AD182" s="1" t="s">
        <v>962</v>
      </c>
      <c r="AE182" s="1" t="s">
        <v>876</v>
      </c>
    </row>
    <row r="183" spans="1:37" ht="15.75" customHeight="1" x14ac:dyDescent="0.2">
      <c r="A183" s="13" t="s">
        <v>963</v>
      </c>
      <c r="B183" s="1" t="s">
        <v>964</v>
      </c>
      <c r="C183" s="9"/>
      <c r="D183" s="9" t="s">
        <v>42</v>
      </c>
      <c r="E183" s="1">
        <v>4957274</v>
      </c>
      <c r="H183" s="10" t="s">
        <v>965</v>
      </c>
      <c r="I183" s="3">
        <f t="shared" si="0"/>
        <v>19</v>
      </c>
      <c r="J183" s="3">
        <f t="shared" si="1"/>
        <v>1</v>
      </c>
      <c r="K183" s="1">
        <v>0</v>
      </c>
      <c r="L183" s="1">
        <v>0</v>
      </c>
      <c r="M183" s="7">
        <v>45217</v>
      </c>
      <c r="N183" s="7">
        <v>37925</v>
      </c>
      <c r="O183" s="3" t="s">
        <v>99</v>
      </c>
      <c r="P183" s="1" t="s">
        <v>221</v>
      </c>
      <c r="Q183" s="1" t="s">
        <v>51</v>
      </c>
      <c r="R183" s="3"/>
      <c r="S183" s="3" t="s">
        <v>47</v>
      </c>
      <c r="Z183" s="1" t="s">
        <v>47</v>
      </c>
      <c r="AA183" s="1" t="s">
        <v>142</v>
      </c>
      <c r="AB183" s="1" t="s">
        <v>47</v>
      </c>
      <c r="AC183" s="1" t="s">
        <v>47</v>
      </c>
      <c r="AD183" s="1" t="s">
        <v>966</v>
      </c>
    </row>
    <row r="184" spans="1:37" ht="15.75" customHeight="1" x14ac:dyDescent="0.2">
      <c r="A184" s="13" t="s">
        <v>967</v>
      </c>
      <c r="B184" s="1" t="s">
        <v>968</v>
      </c>
      <c r="C184" s="9"/>
      <c r="D184" s="9" t="s">
        <v>42</v>
      </c>
      <c r="E184" s="1">
        <v>4949074</v>
      </c>
      <c r="I184" s="3">
        <f t="shared" si="0"/>
        <v>29</v>
      </c>
      <c r="J184" s="3">
        <f t="shared" si="1"/>
        <v>1</v>
      </c>
      <c r="K184" s="1">
        <v>1</v>
      </c>
      <c r="L184" s="1">
        <v>1</v>
      </c>
      <c r="M184" s="7">
        <v>45218</v>
      </c>
      <c r="N184" s="7">
        <v>34291</v>
      </c>
      <c r="O184" s="1" t="s">
        <v>106</v>
      </c>
      <c r="P184" s="1" t="s">
        <v>237</v>
      </c>
      <c r="Q184" s="1" t="s">
        <v>45</v>
      </c>
      <c r="S184" s="3" t="s">
        <v>47</v>
      </c>
      <c r="Z184" s="1" t="s">
        <v>47</v>
      </c>
      <c r="AA184" s="1" t="s">
        <v>47</v>
      </c>
      <c r="AB184" s="1" t="s">
        <v>47</v>
      </c>
      <c r="AC184" s="1" t="s">
        <v>47</v>
      </c>
      <c r="AD184" s="1" t="s">
        <v>969</v>
      </c>
      <c r="AE184" s="1" t="s">
        <v>970</v>
      </c>
    </row>
    <row r="185" spans="1:37" ht="15.75" customHeight="1" x14ac:dyDescent="0.2">
      <c r="A185" s="13" t="s">
        <v>971</v>
      </c>
      <c r="B185" s="1" t="s">
        <v>972</v>
      </c>
      <c r="C185" s="9"/>
      <c r="D185" s="9" t="s">
        <v>42</v>
      </c>
      <c r="E185" s="1">
        <v>7203313</v>
      </c>
      <c r="F185" s="1" t="s">
        <v>51</v>
      </c>
      <c r="I185" s="3">
        <f t="shared" si="0"/>
        <v>52</v>
      </c>
      <c r="J185" s="3">
        <f t="shared" si="1"/>
        <v>0</v>
      </c>
      <c r="K185" s="1">
        <v>0</v>
      </c>
      <c r="L185" s="1">
        <v>1</v>
      </c>
      <c r="M185" s="7">
        <v>45218</v>
      </c>
      <c r="N185" s="7">
        <v>25862</v>
      </c>
      <c r="O185" s="1" t="s">
        <v>177</v>
      </c>
      <c r="P185" s="1" t="s">
        <v>44</v>
      </c>
      <c r="Q185" s="1" t="s">
        <v>45</v>
      </c>
      <c r="S185" s="3" t="s">
        <v>68</v>
      </c>
      <c r="Z185" s="1" t="s">
        <v>47</v>
      </c>
      <c r="AA185" s="1" t="s">
        <v>47</v>
      </c>
      <c r="AB185" s="1" t="s">
        <v>47</v>
      </c>
      <c r="AC185" s="1" t="s">
        <v>47</v>
      </c>
      <c r="AD185" s="1" t="s">
        <v>973</v>
      </c>
      <c r="AE185" s="1" t="s">
        <v>974</v>
      </c>
      <c r="AF185" s="1" t="s">
        <v>975</v>
      </c>
    </row>
    <row r="186" spans="1:37" ht="15.75" customHeight="1" x14ac:dyDescent="0.2">
      <c r="A186" s="13" t="s">
        <v>976</v>
      </c>
      <c r="B186" s="1" t="s">
        <v>977</v>
      </c>
      <c r="C186" s="9"/>
      <c r="D186" s="9" t="s">
        <v>42</v>
      </c>
      <c r="E186" s="1">
        <v>7210273</v>
      </c>
      <c r="I186" s="3">
        <f t="shared" si="0"/>
        <v>52</v>
      </c>
      <c r="J186" s="3">
        <f t="shared" si="1"/>
        <v>0</v>
      </c>
      <c r="K186" s="1">
        <v>0</v>
      </c>
      <c r="L186" s="1">
        <v>1</v>
      </c>
      <c r="M186" s="7">
        <v>45223</v>
      </c>
      <c r="N186" s="7">
        <v>25897</v>
      </c>
      <c r="O186" s="1" t="s">
        <v>50</v>
      </c>
      <c r="P186" s="1" t="s">
        <v>44</v>
      </c>
      <c r="Q186" s="1" t="s">
        <v>45</v>
      </c>
      <c r="S186" s="3" t="s">
        <v>46</v>
      </c>
      <c r="Z186" s="1" t="s">
        <v>47</v>
      </c>
      <c r="AA186" s="1" t="s">
        <v>47</v>
      </c>
      <c r="AB186" s="1" t="s">
        <v>47</v>
      </c>
      <c r="AC186" s="1" t="s">
        <v>47</v>
      </c>
      <c r="AD186" s="1" t="s">
        <v>754</v>
      </c>
      <c r="AE186" s="1" t="s">
        <v>978</v>
      </c>
      <c r="AF186" s="1" t="s">
        <v>979</v>
      </c>
      <c r="AG186" s="1" t="s">
        <v>980</v>
      </c>
      <c r="AH186" s="1" t="s">
        <v>870</v>
      </c>
      <c r="AI186" s="1" t="s">
        <v>981</v>
      </c>
      <c r="AJ186" s="1" t="s">
        <v>982</v>
      </c>
      <c r="AK186" s="1" t="s">
        <v>983</v>
      </c>
    </row>
    <row r="187" spans="1:37" ht="15.75" customHeight="1" x14ac:dyDescent="0.2">
      <c r="A187" s="13" t="s">
        <v>984</v>
      </c>
      <c r="B187" s="3" t="s">
        <v>985</v>
      </c>
      <c r="C187" s="9"/>
      <c r="D187" s="9" t="s">
        <v>42</v>
      </c>
      <c r="E187" s="3">
        <v>7212064</v>
      </c>
      <c r="F187" s="3" t="s">
        <v>51</v>
      </c>
      <c r="G187" s="3"/>
      <c r="H187" s="3">
        <v>33</v>
      </c>
      <c r="I187" s="3">
        <f t="shared" si="0"/>
        <v>34</v>
      </c>
      <c r="J187" s="3">
        <f t="shared" si="1"/>
        <v>1</v>
      </c>
      <c r="K187" s="3">
        <v>0</v>
      </c>
      <c r="L187" s="3">
        <v>1</v>
      </c>
      <c r="M187" s="7">
        <v>45245</v>
      </c>
      <c r="N187" s="7">
        <v>32763</v>
      </c>
      <c r="O187" s="3" t="s">
        <v>50</v>
      </c>
      <c r="P187" s="3" t="s">
        <v>44</v>
      </c>
      <c r="Q187" s="3" t="s">
        <v>51</v>
      </c>
      <c r="R187" s="3"/>
      <c r="S187" s="3" t="s">
        <v>68</v>
      </c>
      <c r="Z187" s="1" t="s">
        <v>47</v>
      </c>
      <c r="AA187" s="1" t="s">
        <v>47</v>
      </c>
      <c r="AB187" s="1" t="s">
        <v>47</v>
      </c>
      <c r="AC187" s="1" t="s">
        <v>47</v>
      </c>
      <c r="AD187" s="1" t="s">
        <v>876</v>
      </c>
      <c r="AE187" s="1" t="s">
        <v>695</v>
      </c>
      <c r="AF187" s="1" t="s">
        <v>946</v>
      </c>
      <c r="AG187" s="1" t="s">
        <v>986</v>
      </c>
      <c r="AH187" s="1" t="s">
        <v>987</v>
      </c>
      <c r="AI187" s="1" t="s">
        <v>988</v>
      </c>
    </row>
    <row r="188" spans="1:37" ht="15.75" customHeight="1" x14ac:dyDescent="0.2">
      <c r="A188" s="13" t="s">
        <v>989</v>
      </c>
      <c r="B188" s="3" t="s">
        <v>990</v>
      </c>
      <c r="C188" s="9"/>
      <c r="D188" s="9" t="s">
        <v>42</v>
      </c>
      <c r="E188" s="3">
        <v>2521920</v>
      </c>
      <c r="F188" s="3" t="s">
        <v>51</v>
      </c>
      <c r="G188" s="3"/>
      <c r="H188" s="3"/>
      <c r="I188" s="3">
        <f t="shared" si="0"/>
        <v>62</v>
      </c>
      <c r="J188" s="3">
        <f t="shared" si="1"/>
        <v>0</v>
      </c>
      <c r="K188" s="3">
        <v>0</v>
      </c>
      <c r="L188" s="3">
        <v>1</v>
      </c>
      <c r="M188" s="7">
        <v>45252</v>
      </c>
      <c r="N188" s="7">
        <v>22460</v>
      </c>
      <c r="O188" s="3" t="s">
        <v>106</v>
      </c>
      <c r="P188" s="3" t="s">
        <v>67</v>
      </c>
      <c r="Q188" s="3" t="s">
        <v>45</v>
      </c>
      <c r="R188" s="19"/>
      <c r="S188" s="3" t="s">
        <v>46</v>
      </c>
      <c r="Z188" s="1" t="s">
        <v>47</v>
      </c>
      <c r="AA188" s="1" t="s">
        <v>47</v>
      </c>
      <c r="AB188" s="1" t="s">
        <v>991</v>
      </c>
      <c r="AC188" s="1" t="s">
        <v>992</v>
      </c>
      <c r="AD188" s="1" t="s">
        <v>870</v>
      </c>
      <c r="AE188" s="1" t="s">
        <v>993</v>
      </c>
      <c r="AF188" s="1" t="s">
        <v>994</v>
      </c>
    </row>
    <row r="189" spans="1:37" ht="15.75" customHeight="1" x14ac:dyDescent="0.2">
      <c r="A189" s="13" t="s">
        <v>995</v>
      </c>
      <c r="B189" s="3" t="s">
        <v>996</v>
      </c>
      <c r="C189" s="9"/>
      <c r="D189" s="9" t="s">
        <v>42</v>
      </c>
      <c r="E189" s="3">
        <v>4127178</v>
      </c>
      <c r="F189" s="3"/>
      <c r="G189" s="3"/>
      <c r="H189" s="3">
        <v>24</v>
      </c>
      <c r="I189" s="3">
        <f t="shared" si="0"/>
        <v>34</v>
      </c>
      <c r="J189" s="3">
        <f t="shared" si="1"/>
        <v>1</v>
      </c>
      <c r="K189" s="3">
        <v>0</v>
      </c>
      <c r="L189" s="3">
        <v>0</v>
      </c>
      <c r="M189" s="7">
        <v>45265</v>
      </c>
      <c r="N189" s="7">
        <v>32717</v>
      </c>
      <c r="O189" s="3" t="s">
        <v>99</v>
      </c>
      <c r="P189" s="3" t="s">
        <v>931</v>
      </c>
      <c r="Q189" s="3" t="s">
        <v>51</v>
      </c>
      <c r="R189" s="3"/>
      <c r="S189" s="3" t="s">
        <v>47</v>
      </c>
      <c r="Z189" s="1" t="s">
        <v>47</v>
      </c>
      <c r="AA189" s="1" t="s">
        <v>142</v>
      </c>
      <c r="AB189" s="1" t="s">
        <v>47</v>
      </c>
      <c r="AC189" s="1" t="s">
        <v>47</v>
      </c>
      <c r="AD189" s="1" t="s">
        <v>997</v>
      </c>
      <c r="AE189" s="1" t="s">
        <v>998</v>
      </c>
    </row>
    <row r="190" spans="1:37" ht="15.75" customHeight="1" x14ac:dyDescent="0.2">
      <c r="A190" s="13" t="s">
        <v>999</v>
      </c>
      <c r="B190" s="3" t="s">
        <v>1000</v>
      </c>
      <c r="C190" s="9"/>
      <c r="D190" s="9" t="s">
        <v>42</v>
      </c>
      <c r="E190" s="3">
        <v>7231108</v>
      </c>
      <c r="F190" s="3"/>
      <c r="G190" s="3"/>
      <c r="H190" s="3"/>
      <c r="I190" s="3">
        <f t="shared" si="0"/>
        <v>35</v>
      </c>
      <c r="J190" s="3">
        <f t="shared" si="1"/>
        <v>1</v>
      </c>
      <c r="K190" s="3">
        <v>0</v>
      </c>
      <c r="L190" s="3">
        <v>0</v>
      </c>
      <c r="M190" s="7">
        <v>45268</v>
      </c>
      <c r="N190" s="7">
        <v>32261</v>
      </c>
      <c r="O190" s="3" t="s">
        <v>50</v>
      </c>
      <c r="P190" s="3" t="s">
        <v>1001</v>
      </c>
      <c r="Q190" s="3" t="s">
        <v>45</v>
      </c>
      <c r="R190" s="3"/>
      <c r="S190" s="3" t="s">
        <v>46</v>
      </c>
      <c r="Z190" s="1" t="s">
        <v>47</v>
      </c>
      <c r="AA190" s="1" t="s">
        <v>47</v>
      </c>
      <c r="AB190" s="1" t="s">
        <v>47</v>
      </c>
      <c r="AC190" s="1" t="s">
        <v>47</v>
      </c>
      <c r="AD190" s="1" t="s">
        <v>1002</v>
      </c>
    </row>
    <row r="191" spans="1:37" ht="15.75" customHeight="1" x14ac:dyDescent="0.2">
      <c r="A191" s="13" t="s">
        <v>1003</v>
      </c>
      <c r="B191" s="3" t="s">
        <v>1004</v>
      </c>
      <c r="C191" s="9"/>
      <c r="D191" s="9" t="s">
        <v>42</v>
      </c>
      <c r="E191" s="3">
        <v>7235770</v>
      </c>
      <c r="F191" s="3" t="s">
        <v>51</v>
      </c>
      <c r="G191" s="3"/>
      <c r="H191" s="3"/>
      <c r="I191" s="3">
        <f t="shared" si="0"/>
        <v>58</v>
      </c>
      <c r="J191" s="3">
        <f t="shared" si="1"/>
        <v>0</v>
      </c>
      <c r="K191" s="3">
        <v>0</v>
      </c>
      <c r="L191" s="3">
        <v>1</v>
      </c>
      <c r="M191" s="7">
        <v>45279</v>
      </c>
      <c r="N191" s="7">
        <v>24072</v>
      </c>
      <c r="O191" s="3" t="s">
        <v>50</v>
      </c>
      <c r="P191" s="3" t="s">
        <v>44</v>
      </c>
      <c r="Q191" s="3" t="s">
        <v>45</v>
      </c>
      <c r="R191" s="3"/>
      <c r="S191" s="3" t="s">
        <v>68</v>
      </c>
      <c r="Z191" s="1" t="s">
        <v>47</v>
      </c>
      <c r="AA191" s="1" t="s">
        <v>47</v>
      </c>
      <c r="AB191" s="1" t="s">
        <v>1005</v>
      </c>
      <c r="AC191" s="1" t="s">
        <v>992</v>
      </c>
      <c r="AD191" s="1" t="s">
        <v>754</v>
      </c>
      <c r="AF191" s="1" t="s">
        <v>1006</v>
      </c>
    </row>
    <row r="192" spans="1:37" ht="15.75" customHeight="1" x14ac:dyDescent="0.2">
      <c r="A192" s="13" t="s">
        <v>1007</v>
      </c>
      <c r="B192" s="3" t="s">
        <v>1008</v>
      </c>
      <c r="C192" s="9"/>
      <c r="D192" s="9" t="s">
        <v>42</v>
      </c>
      <c r="E192" s="3">
        <v>7231643</v>
      </c>
      <c r="F192" s="3" t="s">
        <v>51</v>
      </c>
      <c r="G192" s="3"/>
      <c r="H192" s="3"/>
      <c r="I192" s="3">
        <f t="shared" si="0"/>
        <v>43</v>
      </c>
      <c r="J192" s="3">
        <f t="shared" si="1"/>
        <v>0</v>
      </c>
      <c r="K192" s="3">
        <v>0</v>
      </c>
      <c r="L192" s="3">
        <v>1</v>
      </c>
      <c r="M192" s="7">
        <v>45280</v>
      </c>
      <c r="N192" s="7">
        <v>29385</v>
      </c>
      <c r="O192" s="1" t="s">
        <v>50</v>
      </c>
      <c r="P192" s="3" t="s">
        <v>44</v>
      </c>
      <c r="Q192" s="3" t="s">
        <v>45</v>
      </c>
      <c r="R192" s="3"/>
      <c r="S192" s="3" t="s">
        <v>68</v>
      </c>
      <c r="Z192" s="1" t="s">
        <v>47</v>
      </c>
      <c r="AA192" s="1" t="s">
        <v>47</v>
      </c>
      <c r="AB192" s="1" t="s">
        <v>47</v>
      </c>
      <c r="AC192" s="1" t="s">
        <v>47</v>
      </c>
      <c r="AD192" s="1" t="s">
        <v>946</v>
      </c>
      <c r="AE192" s="1" t="s">
        <v>1009</v>
      </c>
      <c r="AF192" s="1" t="s">
        <v>1010</v>
      </c>
      <c r="AG192" s="1" t="s">
        <v>1011</v>
      </c>
    </row>
    <row r="193" spans="1:41" ht="15.75" customHeight="1" x14ac:dyDescent="0.2">
      <c r="A193" s="8" t="s">
        <v>1012</v>
      </c>
      <c r="B193" s="3" t="s">
        <v>1013</v>
      </c>
      <c r="D193" s="9" t="s">
        <v>42</v>
      </c>
      <c r="E193" s="3">
        <v>7212381</v>
      </c>
      <c r="F193" s="3" t="s">
        <v>51</v>
      </c>
      <c r="G193" s="3" t="s">
        <v>644</v>
      </c>
      <c r="H193" s="3"/>
      <c r="I193" s="3">
        <f t="shared" si="0"/>
        <v>77</v>
      </c>
      <c r="J193" s="3">
        <f t="shared" si="1"/>
        <v>0</v>
      </c>
      <c r="K193" s="3">
        <v>0</v>
      </c>
      <c r="L193" s="3">
        <v>1</v>
      </c>
      <c r="M193" s="7">
        <v>45295</v>
      </c>
      <c r="N193" s="7">
        <v>17117</v>
      </c>
      <c r="O193" s="3" t="s">
        <v>106</v>
      </c>
      <c r="P193" s="3" t="s">
        <v>44</v>
      </c>
      <c r="Q193" s="3" t="s">
        <v>45</v>
      </c>
      <c r="R193" s="3"/>
      <c r="S193" s="3" t="s">
        <v>68</v>
      </c>
      <c r="Z193" s="1" t="s">
        <v>47</v>
      </c>
      <c r="AA193" s="1" t="s">
        <v>1014</v>
      </c>
      <c r="AB193" s="1" t="s">
        <v>47</v>
      </c>
      <c r="AC193" s="1" t="s">
        <v>47</v>
      </c>
      <c r="AD193" s="1" t="s">
        <v>1015</v>
      </c>
      <c r="AE193" s="1" t="s">
        <v>943</v>
      </c>
    </row>
    <row r="194" spans="1:41" ht="15.75" customHeight="1" x14ac:dyDescent="0.2">
      <c r="A194" s="8" t="s">
        <v>1016</v>
      </c>
      <c r="B194" s="3" t="s">
        <v>1017</v>
      </c>
      <c r="D194" s="9" t="s">
        <v>42</v>
      </c>
      <c r="E194" s="3">
        <v>7239504</v>
      </c>
      <c r="F194" s="3" t="s">
        <v>51</v>
      </c>
      <c r="G194" s="3" t="s">
        <v>654</v>
      </c>
      <c r="H194" s="3"/>
      <c r="I194" s="3">
        <f t="shared" si="0"/>
        <v>49</v>
      </c>
      <c r="J194" s="3">
        <f t="shared" si="1"/>
        <v>0</v>
      </c>
      <c r="K194" s="3">
        <v>0</v>
      </c>
      <c r="L194" s="3">
        <v>1</v>
      </c>
      <c r="M194" s="7">
        <v>45295</v>
      </c>
      <c r="N194" s="7">
        <v>27181</v>
      </c>
      <c r="O194" s="3" t="s">
        <v>106</v>
      </c>
      <c r="P194" s="3" t="s">
        <v>44</v>
      </c>
      <c r="Q194" s="3" t="s">
        <v>45</v>
      </c>
      <c r="R194" s="3"/>
      <c r="S194" s="3" t="s">
        <v>68</v>
      </c>
      <c r="AD194" s="1" t="s">
        <v>1018</v>
      </c>
      <c r="AE194" s="1" t="s">
        <v>1019</v>
      </c>
      <c r="AF194" s="1" t="s">
        <v>1020</v>
      </c>
      <c r="AG194" s="1" t="s">
        <v>1021</v>
      </c>
    </row>
    <row r="195" spans="1:41" ht="15.75" customHeight="1" x14ac:dyDescent="0.2">
      <c r="A195" s="8" t="s">
        <v>1022</v>
      </c>
      <c r="B195" s="3" t="s">
        <v>1023</v>
      </c>
      <c r="D195" s="9" t="s">
        <v>42</v>
      </c>
      <c r="E195" s="3">
        <v>7201917</v>
      </c>
      <c r="F195" s="3"/>
      <c r="G195" s="3" t="s">
        <v>644</v>
      </c>
      <c r="H195" s="3"/>
      <c r="I195" s="3">
        <f t="shared" si="0"/>
        <v>24</v>
      </c>
      <c r="J195" s="3">
        <f t="shared" si="1"/>
        <v>1</v>
      </c>
      <c r="K195" s="3">
        <v>0</v>
      </c>
      <c r="L195" s="3">
        <v>1</v>
      </c>
      <c r="M195" s="7">
        <v>45308</v>
      </c>
      <c r="N195" s="7">
        <v>36481</v>
      </c>
      <c r="O195" s="3" t="s">
        <v>50</v>
      </c>
      <c r="P195" s="3" t="s">
        <v>100</v>
      </c>
      <c r="Q195" s="3" t="s">
        <v>45</v>
      </c>
      <c r="R195" s="3"/>
      <c r="S195" s="3" t="s">
        <v>47</v>
      </c>
      <c r="Z195" s="1" t="s">
        <v>47</v>
      </c>
      <c r="AA195" s="1" t="s">
        <v>1024</v>
      </c>
      <c r="AB195" s="1" t="s">
        <v>47</v>
      </c>
      <c r="AC195" s="1" t="s">
        <v>47</v>
      </c>
      <c r="AD195" s="1" t="s">
        <v>1025</v>
      </c>
    </row>
    <row r="196" spans="1:41" ht="15.75" customHeight="1" x14ac:dyDescent="0.2">
      <c r="A196" s="8" t="s">
        <v>1026</v>
      </c>
      <c r="B196" s="3" t="s">
        <v>1027</v>
      </c>
      <c r="D196" s="9" t="s">
        <v>42</v>
      </c>
      <c r="E196" s="3">
        <v>7132964</v>
      </c>
      <c r="F196" s="3"/>
      <c r="G196" s="3" t="s">
        <v>644</v>
      </c>
      <c r="H196" s="3"/>
      <c r="I196" s="3">
        <f t="shared" si="0"/>
        <v>79</v>
      </c>
      <c r="J196" s="3">
        <f t="shared" si="1"/>
        <v>0</v>
      </c>
      <c r="K196" s="3">
        <v>0</v>
      </c>
      <c r="L196" s="3">
        <v>0</v>
      </c>
      <c r="M196" s="7">
        <v>45314</v>
      </c>
      <c r="N196" s="7">
        <v>16402</v>
      </c>
      <c r="O196" s="3" t="s">
        <v>531</v>
      </c>
      <c r="P196" s="3" t="s">
        <v>507</v>
      </c>
      <c r="Q196" s="3" t="s">
        <v>45</v>
      </c>
      <c r="R196" s="3"/>
      <c r="S196" s="3"/>
      <c r="Z196" s="1" t="s">
        <v>47</v>
      </c>
      <c r="AA196" s="1" t="s">
        <v>47</v>
      </c>
      <c r="AB196" s="1" t="s">
        <v>47</v>
      </c>
      <c r="AC196" s="1" t="s">
        <v>47</v>
      </c>
      <c r="AD196" s="1" t="s">
        <v>870</v>
      </c>
    </row>
    <row r="197" spans="1:41" ht="15.75" customHeight="1" x14ac:dyDescent="0.2">
      <c r="A197" s="8" t="s">
        <v>1028</v>
      </c>
      <c r="B197" s="3" t="s">
        <v>1029</v>
      </c>
      <c r="D197" s="9" t="s">
        <v>42</v>
      </c>
      <c r="E197" s="3">
        <v>7227399</v>
      </c>
      <c r="F197" s="3"/>
      <c r="G197" s="3" t="s">
        <v>644</v>
      </c>
      <c r="H197" s="3"/>
      <c r="I197" s="3">
        <f t="shared" si="0"/>
        <v>79</v>
      </c>
      <c r="J197" s="3">
        <f t="shared" si="1"/>
        <v>0</v>
      </c>
      <c r="K197" s="3">
        <v>0</v>
      </c>
      <c r="L197" s="3">
        <v>1</v>
      </c>
      <c r="M197" s="7">
        <v>45315</v>
      </c>
      <c r="N197" s="7">
        <v>16255</v>
      </c>
      <c r="O197" s="3" t="s">
        <v>43</v>
      </c>
      <c r="P197" s="3" t="s">
        <v>44</v>
      </c>
      <c r="Q197" s="3" t="s">
        <v>45</v>
      </c>
      <c r="R197" s="3"/>
      <c r="S197" s="3" t="s">
        <v>68</v>
      </c>
      <c r="Z197" s="1" t="s">
        <v>47</v>
      </c>
      <c r="AA197" s="1" t="s">
        <v>47</v>
      </c>
      <c r="AB197" s="1" t="s">
        <v>47</v>
      </c>
      <c r="AC197" s="1" t="s">
        <v>47</v>
      </c>
      <c r="AD197" s="1" t="s">
        <v>1030</v>
      </c>
      <c r="AE197" s="1" t="s">
        <v>870</v>
      </c>
      <c r="AF197" s="1" t="s">
        <v>1031</v>
      </c>
      <c r="AG197" s="1" t="s">
        <v>1032</v>
      </c>
      <c r="AH197" s="1" t="s">
        <v>1033</v>
      </c>
    </row>
    <row r="198" spans="1:41" ht="15.75" customHeight="1" x14ac:dyDescent="0.2">
      <c r="A198" s="8" t="s">
        <v>1034</v>
      </c>
      <c r="B198" s="3" t="s">
        <v>1035</v>
      </c>
      <c r="D198" s="9" t="s">
        <v>42</v>
      </c>
      <c r="E198" s="3">
        <v>7253033</v>
      </c>
      <c r="F198" s="3" t="s">
        <v>51</v>
      </c>
      <c r="G198" s="3" t="s">
        <v>654</v>
      </c>
      <c r="H198" s="3"/>
      <c r="I198" s="3">
        <f t="shared" si="0"/>
        <v>28</v>
      </c>
      <c r="J198" s="3">
        <f t="shared" si="1"/>
        <v>1</v>
      </c>
      <c r="K198" s="3">
        <v>0</v>
      </c>
      <c r="L198" s="3">
        <v>1</v>
      </c>
      <c r="M198" s="7">
        <v>45330</v>
      </c>
      <c r="N198" s="7">
        <v>34896</v>
      </c>
      <c r="O198" s="3" t="s">
        <v>50</v>
      </c>
      <c r="P198" s="3" t="s">
        <v>166</v>
      </c>
      <c r="Q198" s="3" t="s">
        <v>45</v>
      </c>
      <c r="R198" s="3"/>
      <c r="S198" s="3" t="s">
        <v>46</v>
      </c>
      <c r="Z198" s="1" t="s">
        <v>1036</v>
      </c>
      <c r="AA198" s="1" t="s">
        <v>47</v>
      </c>
      <c r="AB198" s="1" t="s">
        <v>47</v>
      </c>
      <c r="AC198" s="1" t="s">
        <v>47</v>
      </c>
      <c r="AD198" s="1" t="s">
        <v>870</v>
      </c>
      <c r="AE198" s="1" t="s">
        <v>946</v>
      </c>
      <c r="AF198" s="1" t="s">
        <v>1037</v>
      </c>
    </row>
    <row r="199" spans="1:41" ht="15.75" customHeight="1" x14ac:dyDescent="0.2">
      <c r="A199" s="8" t="s">
        <v>1038</v>
      </c>
      <c r="B199" s="3" t="s">
        <v>1039</v>
      </c>
      <c r="D199" s="9" t="s">
        <v>42</v>
      </c>
      <c r="E199" s="3">
        <v>2049741</v>
      </c>
      <c r="F199" s="3" t="s">
        <v>51</v>
      </c>
      <c r="G199" s="3" t="s">
        <v>644</v>
      </c>
      <c r="H199" s="3"/>
      <c r="I199" s="3">
        <f t="shared" si="0"/>
        <v>54</v>
      </c>
      <c r="J199" s="3">
        <f t="shared" si="1"/>
        <v>0</v>
      </c>
      <c r="K199" s="3">
        <v>0</v>
      </c>
      <c r="L199" s="3">
        <v>1</v>
      </c>
      <c r="M199" s="7">
        <v>45333</v>
      </c>
      <c r="N199" s="7">
        <v>25315</v>
      </c>
      <c r="O199" s="3" t="s">
        <v>50</v>
      </c>
      <c r="P199" s="3" t="s">
        <v>44</v>
      </c>
      <c r="Q199" s="3" t="s">
        <v>45</v>
      </c>
      <c r="R199" s="3"/>
      <c r="S199" s="3" t="s">
        <v>46</v>
      </c>
      <c r="Z199" s="1" t="s">
        <v>47</v>
      </c>
      <c r="AA199" s="1" t="s">
        <v>47</v>
      </c>
      <c r="AB199" s="1" t="s">
        <v>47</v>
      </c>
      <c r="AC199" s="1" t="s">
        <v>47</v>
      </c>
      <c r="AD199" s="1" t="s">
        <v>870</v>
      </c>
      <c r="AE199" s="1" t="s">
        <v>1040</v>
      </c>
    </row>
    <row r="200" spans="1:41" ht="15.75" customHeight="1" x14ac:dyDescent="0.2">
      <c r="A200" s="8" t="s">
        <v>1041</v>
      </c>
      <c r="B200" s="3" t="s">
        <v>1042</v>
      </c>
      <c r="D200" s="9" t="s">
        <v>42</v>
      </c>
      <c r="E200" s="3">
        <v>4468539</v>
      </c>
      <c r="F200" s="3"/>
      <c r="G200" s="3" t="s">
        <v>644</v>
      </c>
      <c r="I200" s="3">
        <f t="shared" si="0"/>
        <v>34</v>
      </c>
      <c r="J200" s="3">
        <f t="shared" si="1"/>
        <v>1</v>
      </c>
      <c r="K200" s="3">
        <v>0</v>
      </c>
      <c r="L200" s="3">
        <v>0</v>
      </c>
      <c r="M200" s="7">
        <v>45334</v>
      </c>
      <c r="N200" s="7">
        <v>32873</v>
      </c>
      <c r="O200" s="3" t="s">
        <v>99</v>
      </c>
      <c r="P200" s="3" t="s">
        <v>221</v>
      </c>
      <c r="Q200" s="3" t="s">
        <v>45</v>
      </c>
      <c r="S200" s="3" t="s">
        <v>47</v>
      </c>
      <c r="Z200" s="1" t="s">
        <v>47</v>
      </c>
      <c r="AA200" s="1" t="s">
        <v>47</v>
      </c>
      <c r="AB200" s="1" t="s">
        <v>47</v>
      </c>
      <c r="AC200" s="1" t="s">
        <v>47</v>
      </c>
      <c r="AD200" s="1" t="s">
        <v>1043</v>
      </c>
      <c r="AE200" s="1" t="s">
        <v>998</v>
      </c>
    </row>
    <row r="201" spans="1:41" ht="15.75" customHeight="1" x14ac:dyDescent="0.2">
      <c r="A201" s="8" t="s">
        <v>1044</v>
      </c>
      <c r="B201" s="3" t="s">
        <v>1045</v>
      </c>
      <c r="D201" s="9" t="s">
        <v>42</v>
      </c>
      <c r="E201" s="3">
        <v>7172644</v>
      </c>
      <c r="F201" s="3"/>
      <c r="G201" s="3" t="s">
        <v>654</v>
      </c>
      <c r="I201" s="3">
        <f t="shared" si="0"/>
        <v>24</v>
      </c>
      <c r="J201" s="3">
        <f t="shared" si="1"/>
        <v>1</v>
      </c>
      <c r="K201" s="3">
        <v>0</v>
      </c>
      <c r="L201" s="1">
        <v>1</v>
      </c>
      <c r="M201" s="7">
        <v>45335</v>
      </c>
      <c r="N201" s="7">
        <v>36328</v>
      </c>
      <c r="O201" s="3" t="s">
        <v>177</v>
      </c>
      <c r="P201" s="3" t="s">
        <v>100</v>
      </c>
      <c r="Q201" s="3" t="s">
        <v>45</v>
      </c>
      <c r="S201" s="3" t="s">
        <v>47</v>
      </c>
      <c r="Z201" s="1" t="s">
        <v>47</v>
      </c>
      <c r="AA201" s="1" t="s">
        <v>47</v>
      </c>
      <c r="AB201" s="1" t="s">
        <v>47</v>
      </c>
      <c r="AC201" s="1" t="s">
        <v>47</v>
      </c>
      <c r="AD201" s="1" t="s">
        <v>870</v>
      </c>
    </row>
    <row r="202" spans="1:41" ht="15.75" customHeight="1" x14ac:dyDescent="0.2">
      <c r="A202" s="8" t="s">
        <v>1046</v>
      </c>
      <c r="B202" s="3" t="s">
        <v>1047</v>
      </c>
      <c r="D202" s="9" t="s">
        <v>42</v>
      </c>
      <c r="E202" s="3">
        <v>7258691</v>
      </c>
      <c r="F202" s="3" t="s">
        <v>51</v>
      </c>
      <c r="G202" s="3" t="s">
        <v>644</v>
      </c>
      <c r="I202" s="3">
        <f t="shared" si="0"/>
        <v>26</v>
      </c>
      <c r="J202" s="3">
        <f t="shared" si="1"/>
        <v>1</v>
      </c>
      <c r="K202" s="3">
        <v>0</v>
      </c>
      <c r="L202" s="3">
        <v>1</v>
      </c>
      <c r="M202" s="7">
        <v>45342</v>
      </c>
      <c r="N202" s="7">
        <v>35809</v>
      </c>
      <c r="O202" s="3" t="s">
        <v>99</v>
      </c>
      <c r="P202" s="3" t="s">
        <v>91</v>
      </c>
      <c r="Q202" s="3" t="s">
        <v>45</v>
      </c>
      <c r="S202" s="3" t="s">
        <v>46</v>
      </c>
      <c r="Z202" s="1" t="s">
        <v>47</v>
      </c>
      <c r="AA202" s="1" t="s">
        <v>47</v>
      </c>
      <c r="AB202" s="1" t="s">
        <v>47</v>
      </c>
      <c r="AC202" s="1" t="s">
        <v>47</v>
      </c>
      <c r="AD202" s="1" t="s">
        <v>894</v>
      </c>
      <c r="AE202" s="1" t="s">
        <v>1048</v>
      </c>
      <c r="AF202" s="1" t="s">
        <v>1049</v>
      </c>
    </row>
    <row r="203" spans="1:41" ht="15.75" customHeight="1" x14ac:dyDescent="0.2">
      <c r="A203" s="8" t="s">
        <v>1050</v>
      </c>
      <c r="B203" s="3" t="s">
        <v>1051</v>
      </c>
      <c r="D203" s="9" t="s">
        <v>42</v>
      </c>
      <c r="E203" s="3">
        <v>7152777</v>
      </c>
      <c r="F203" s="3"/>
      <c r="G203" s="3" t="s">
        <v>654</v>
      </c>
      <c r="I203" s="3">
        <f t="shared" si="0"/>
        <v>34</v>
      </c>
      <c r="J203" s="3">
        <f t="shared" si="1"/>
        <v>1</v>
      </c>
      <c r="K203" s="3">
        <v>1</v>
      </c>
      <c r="L203" s="3">
        <v>1</v>
      </c>
      <c r="M203" s="7">
        <v>45342</v>
      </c>
      <c r="N203" s="7">
        <v>32674</v>
      </c>
      <c r="O203" s="3" t="s">
        <v>106</v>
      </c>
      <c r="P203" s="1" t="s">
        <v>500</v>
      </c>
      <c r="Q203" s="1" t="s">
        <v>45</v>
      </c>
      <c r="S203" s="3" t="s">
        <v>47</v>
      </c>
      <c r="Z203" s="1" t="s">
        <v>47</v>
      </c>
      <c r="AA203" s="1" t="s">
        <v>142</v>
      </c>
      <c r="AB203" s="1" t="s">
        <v>47</v>
      </c>
      <c r="AC203" s="1" t="s">
        <v>47</v>
      </c>
      <c r="AD203" s="1" t="s">
        <v>1052</v>
      </c>
    </row>
    <row r="204" spans="1:41" ht="15.75" customHeight="1" x14ac:dyDescent="0.2">
      <c r="A204" s="8" t="s">
        <v>1053</v>
      </c>
      <c r="B204" s="3" t="s">
        <v>1054</v>
      </c>
      <c r="D204" s="9" t="s">
        <v>42</v>
      </c>
      <c r="E204" s="3">
        <v>2700092</v>
      </c>
      <c r="F204" s="3" t="s">
        <v>51</v>
      </c>
      <c r="G204" s="3" t="s">
        <v>654</v>
      </c>
      <c r="H204" s="3"/>
      <c r="I204" s="3">
        <f t="shared" si="0"/>
        <v>49</v>
      </c>
      <c r="J204" s="3">
        <f t="shared" si="1"/>
        <v>0</v>
      </c>
      <c r="K204" s="3">
        <v>0</v>
      </c>
      <c r="L204" s="3">
        <v>1</v>
      </c>
      <c r="M204" s="7">
        <v>45415</v>
      </c>
      <c r="N204" s="7">
        <v>27233</v>
      </c>
      <c r="O204" s="3" t="s">
        <v>106</v>
      </c>
      <c r="P204" s="3" t="s">
        <v>91</v>
      </c>
      <c r="Q204" s="3" t="s">
        <v>45</v>
      </c>
      <c r="R204" s="3"/>
      <c r="S204" s="3" t="s">
        <v>68</v>
      </c>
      <c r="Z204" s="1" t="s">
        <v>47</v>
      </c>
      <c r="AA204" s="1" t="s">
        <v>47</v>
      </c>
      <c r="AB204" s="1" t="s">
        <v>47</v>
      </c>
      <c r="AC204" s="1" t="s">
        <v>47</v>
      </c>
      <c r="AD204" s="1" t="s">
        <v>870</v>
      </c>
      <c r="AE204" s="1" t="s">
        <v>754</v>
      </c>
      <c r="AF204" s="1" t="s">
        <v>1055</v>
      </c>
      <c r="AG204" s="1" t="s">
        <v>1056</v>
      </c>
      <c r="AH204" s="1" t="s">
        <v>1057</v>
      </c>
      <c r="AI204" s="1" t="s">
        <v>982</v>
      </c>
    </row>
    <row r="205" spans="1:41" ht="15.75" customHeight="1" x14ac:dyDescent="0.2">
      <c r="A205" s="8" t="s">
        <v>1058</v>
      </c>
      <c r="B205" s="3" t="s">
        <v>1059</v>
      </c>
      <c r="D205" s="9" t="s">
        <v>42</v>
      </c>
      <c r="E205" s="3">
        <v>2980267</v>
      </c>
      <c r="F205" s="3"/>
      <c r="G205" s="3" t="s">
        <v>654</v>
      </c>
      <c r="H205" s="3"/>
      <c r="I205" s="3">
        <f t="shared" si="0"/>
        <v>37</v>
      </c>
      <c r="J205" s="3">
        <f t="shared" si="1"/>
        <v>1</v>
      </c>
      <c r="K205" s="3">
        <v>0</v>
      </c>
      <c r="L205" s="3">
        <v>1</v>
      </c>
      <c r="M205" s="7">
        <v>45365</v>
      </c>
      <c r="N205" s="7">
        <v>31582</v>
      </c>
      <c r="O205" s="3" t="s">
        <v>151</v>
      </c>
      <c r="P205" s="3" t="s">
        <v>67</v>
      </c>
      <c r="Q205" s="3" t="s">
        <v>45</v>
      </c>
      <c r="R205" s="3"/>
      <c r="S205" s="3" t="s">
        <v>47</v>
      </c>
      <c r="Z205" s="1" t="s">
        <v>47</v>
      </c>
      <c r="AA205" s="1" t="s">
        <v>47</v>
      </c>
      <c r="AB205" s="1" t="s">
        <v>47</v>
      </c>
      <c r="AC205" s="1" t="s">
        <v>47</v>
      </c>
      <c r="AD205" s="1" t="s">
        <v>894</v>
      </c>
      <c r="AE205" s="1" t="s">
        <v>1060</v>
      </c>
      <c r="AF205" s="1" t="s">
        <v>1061</v>
      </c>
    </row>
    <row r="206" spans="1:41" ht="15.75" customHeight="1" x14ac:dyDescent="0.2">
      <c r="A206" s="8" t="s">
        <v>1062</v>
      </c>
      <c r="B206" s="3" t="s">
        <v>1063</v>
      </c>
      <c r="D206" s="9" t="s">
        <v>42</v>
      </c>
      <c r="E206" s="3">
        <v>7168519</v>
      </c>
      <c r="F206" s="3"/>
      <c r="G206" s="3" t="s">
        <v>644</v>
      </c>
      <c r="H206" s="3">
        <v>63</v>
      </c>
      <c r="I206" s="3">
        <f t="shared" si="0"/>
        <v>67</v>
      </c>
      <c r="J206" s="3">
        <f t="shared" si="1"/>
        <v>0</v>
      </c>
      <c r="K206" s="3">
        <v>0</v>
      </c>
      <c r="L206" s="3">
        <v>1</v>
      </c>
      <c r="M206" s="7">
        <v>45378</v>
      </c>
      <c r="N206" s="7">
        <v>20641</v>
      </c>
      <c r="O206" s="3" t="s">
        <v>106</v>
      </c>
      <c r="P206" s="3" t="s">
        <v>44</v>
      </c>
      <c r="Q206" s="3" t="s">
        <v>51</v>
      </c>
      <c r="R206" s="3"/>
      <c r="S206" s="3" t="s">
        <v>47</v>
      </c>
      <c r="Z206" s="1" t="s">
        <v>47</v>
      </c>
      <c r="AA206" s="1" t="s">
        <v>47</v>
      </c>
      <c r="AB206" s="1" t="s">
        <v>47</v>
      </c>
      <c r="AC206" s="1" t="s">
        <v>47</v>
      </c>
      <c r="AD206" s="1" t="s">
        <v>1064</v>
      </c>
      <c r="AE206" s="1" t="s">
        <v>870</v>
      </c>
      <c r="AF206" s="1" t="s">
        <v>1065</v>
      </c>
      <c r="AG206" s="1" t="s">
        <v>1066</v>
      </c>
      <c r="AH206" s="1" t="s">
        <v>982</v>
      </c>
      <c r="AI206" s="1" t="s">
        <v>1067</v>
      </c>
      <c r="AJ206" s="1" t="s">
        <v>1068</v>
      </c>
      <c r="AK206" s="1" t="s">
        <v>1069</v>
      </c>
      <c r="AM206" s="1" t="s">
        <v>1070</v>
      </c>
      <c r="AN206" s="1" t="s">
        <v>918</v>
      </c>
      <c r="AO206" s="1" t="s">
        <v>1071</v>
      </c>
    </row>
    <row r="207" spans="1:41" ht="15.75" customHeight="1" x14ac:dyDescent="0.2">
      <c r="A207" s="8" t="s">
        <v>1072</v>
      </c>
      <c r="B207" s="3" t="s">
        <v>1073</v>
      </c>
      <c r="D207" s="9" t="s">
        <v>42</v>
      </c>
      <c r="E207" s="3">
        <v>1014901</v>
      </c>
      <c r="F207" s="3"/>
      <c r="G207" s="3" t="s">
        <v>654</v>
      </c>
      <c r="H207" s="3"/>
      <c r="I207" s="3">
        <f t="shared" si="0"/>
        <v>63</v>
      </c>
      <c r="J207" s="3">
        <f t="shared" si="1"/>
        <v>0</v>
      </c>
      <c r="K207" s="3">
        <v>0</v>
      </c>
      <c r="L207" s="3">
        <v>1</v>
      </c>
      <c r="M207" s="7">
        <v>45384</v>
      </c>
      <c r="N207" s="7">
        <v>22132</v>
      </c>
      <c r="O207" s="3" t="s">
        <v>151</v>
      </c>
      <c r="P207" s="3" t="s">
        <v>44</v>
      </c>
      <c r="Q207" s="3" t="s">
        <v>45</v>
      </c>
      <c r="R207" s="3"/>
      <c r="S207" s="3" t="s">
        <v>92</v>
      </c>
      <c r="Z207" s="1" t="s">
        <v>47</v>
      </c>
      <c r="AA207" s="1" t="s">
        <v>47</v>
      </c>
      <c r="AB207" s="1" t="s">
        <v>47</v>
      </c>
      <c r="AC207" s="1" t="s">
        <v>47</v>
      </c>
      <c r="AD207" s="1" t="s">
        <v>1074</v>
      </c>
      <c r="AE207" s="1" t="s">
        <v>876</v>
      </c>
      <c r="AF207" s="1" t="s">
        <v>877</v>
      </c>
      <c r="AG207" s="1" t="s">
        <v>1075</v>
      </c>
      <c r="AH207" s="1" t="s">
        <v>1076</v>
      </c>
      <c r="AI207" s="1" t="s">
        <v>1077</v>
      </c>
      <c r="AJ207" s="1" t="s">
        <v>1078</v>
      </c>
      <c r="AK207" s="1" t="s">
        <v>1079</v>
      </c>
    </row>
    <row r="208" spans="1:41" ht="15.75" customHeight="1" x14ac:dyDescent="0.2">
      <c r="A208" s="8" t="s">
        <v>1080</v>
      </c>
      <c r="B208" s="3" t="s">
        <v>1081</v>
      </c>
      <c r="D208" s="9" t="s">
        <v>42</v>
      </c>
      <c r="E208" s="3">
        <v>2424552</v>
      </c>
      <c r="F208" s="3"/>
      <c r="G208" s="3" t="s">
        <v>644</v>
      </c>
      <c r="I208" s="3">
        <f t="shared" si="0"/>
        <v>52</v>
      </c>
      <c r="J208" s="3">
        <f t="shared" si="1"/>
        <v>0</v>
      </c>
      <c r="K208" s="3">
        <v>1</v>
      </c>
      <c r="L208" s="3">
        <v>1</v>
      </c>
      <c r="M208" s="7">
        <v>45387</v>
      </c>
      <c r="N208" s="7">
        <v>26269</v>
      </c>
      <c r="O208" s="3" t="s">
        <v>106</v>
      </c>
      <c r="P208" s="3" t="s">
        <v>141</v>
      </c>
      <c r="Q208" s="3" t="s">
        <v>45</v>
      </c>
      <c r="S208" s="3" t="s">
        <v>47</v>
      </c>
      <c r="Z208" s="1" t="s">
        <v>47</v>
      </c>
      <c r="AA208" s="1" t="s">
        <v>142</v>
      </c>
      <c r="AB208" s="1" t="s">
        <v>47</v>
      </c>
      <c r="AC208" s="1" t="s">
        <v>47</v>
      </c>
      <c r="AD208" s="1" t="s">
        <v>1025</v>
      </c>
    </row>
    <row r="209" spans="1:36" ht="15.75" customHeight="1" x14ac:dyDescent="0.2">
      <c r="A209" s="8" t="s">
        <v>1082</v>
      </c>
      <c r="B209" s="3" t="s">
        <v>1083</v>
      </c>
      <c r="D209" s="9" t="s">
        <v>42</v>
      </c>
      <c r="E209" s="1">
        <v>7271251</v>
      </c>
      <c r="F209" s="1" t="s">
        <v>51</v>
      </c>
      <c r="G209" s="1" t="s">
        <v>654</v>
      </c>
      <c r="I209" s="3">
        <f t="shared" si="0"/>
        <v>34</v>
      </c>
      <c r="J209" s="3">
        <f t="shared" si="1"/>
        <v>1</v>
      </c>
      <c r="K209" s="1">
        <v>0</v>
      </c>
      <c r="L209" s="1">
        <v>1</v>
      </c>
      <c r="M209" s="7">
        <v>45394</v>
      </c>
      <c r="N209" s="7">
        <v>32844</v>
      </c>
      <c r="O209" s="1" t="s">
        <v>106</v>
      </c>
      <c r="P209" s="1" t="s">
        <v>91</v>
      </c>
      <c r="Q209" s="1" t="s">
        <v>45</v>
      </c>
      <c r="R209" s="19"/>
      <c r="S209" s="3" t="s">
        <v>68</v>
      </c>
      <c r="Z209" s="1" t="s">
        <v>47</v>
      </c>
      <c r="AA209" s="1" t="s">
        <v>1084</v>
      </c>
      <c r="AB209" s="1" t="s">
        <v>47</v>
      </c>
      <c r="AC209" s="1" t="s">
        <v>47</v>
      </c>
      <c r="AD209" s="1" t="s">
        <v>1085</v>
      </c>
      <c r="AE209" s="1" t="s">
        <v>1086</v>
      </c>
      <c r="AF209" s="1" t="s">
        <v>1087</v>
      </c>
    </row>
    <row r="210" spans="1:36" ht="15.75" customHeight="1" x14ac:dyDescent="0.2">
      <c r="A210" s="8" t="s">
        <v>1088</v>
      </c>
      <c r="B210" s="3" t="s">
        <v>1089</v>
      </c>
      <c r="D210" s="9" t="s">
        <v>42</v>
      </c>
      <c r="E210" s="1">
        <v>7284512</v>
      </c>
      <c r="G210" s="1" t="s">
        <v>654</v>
      </c>
      <c r="H210" s="3">
        <v>21</v>
      </c>
      <c r="I210" s="3">
        <f t="shared" si="0"/>
        <v>22</v>
      </c>
      <c r="J210" s="3">
        <f t="shared" si="1"/>
        <v>1</v>
      </c>
      <c r="K210" s="1">
        <v>0</v>
      </c>
      <c r="L210" s="1">
        <v>1</v>
      </c>
      <c r="M210" s="7">
        <v>45396</v>
      </c>
      <c r="N210" s="7">
        <v>37266</v>
      </c>
      <c r="O210" s="1" t="s">
        <v>1090</v>
      </c>
      <c r="P210" s="1" t="s">
        <v>44</v>
      </c>
      <c r="Q210" s="1" t="s">
        <v>51</v>
      </c>
      <c r="S210" s="3" t="s">
        <v>92</v>
      </c>
      <c r="Z210" s="1" t="s">
        <v>47</v>
      </c>
      <c r="AA210" s="1" t="s">
        <v>1091</v>
      </c>
      <c r="AB210" s="1" t="s">
        <v>47</v>
      </c>
      <c r="AC210" s="1" t="s">
        <v>47</v>
      </c>
      <c r="AD210" s="1" t="s">
        <v>142</v>
      </c>
    </row>
    <row r="211" spans="1:36" ht="15.75" customHeight="1" x14ac:dyDescent="0.2">
      <c r="A211" s="8" t="s">
        <v>1092</v>
      </c>
      <c r="B211" s="3" t="s">
        <v>1093</v>
      </c>
      <c r="D211" s="9" t="s">
        <v>42</v>
      </c>
      <c r="E211" s="1">
        <v>7099248</v>
      </c>
      <c r="F211" s="1" t="s">
        <v>51</v>
      </c>
      <c r="G211" s="1" t="s">
        <v>644</v>
      </c>
      <c r="I211" s="3">
        <f t="shared" si="0"/>
        <v>33</v>
      </c>
      <c r="J211" s="3">
        <f t="shared" si="1"/>
        <v>1</v>
      </c>
      <c r="K211" s="1">
        <v>0</v>
      </c>
      <c r="L211" s="1">
        <v>1</v>
      </c>
      <c r="M211" s="7">
        <v>45397</v>
      </c>
      <c r="N211" s="7">
        <v>33335</v>
      </c>
      <c r="O211" s="1" t="s">
        <v>50</v>
      </c>
      <c r="P211" s="1" t="s">
        <v>44</v>
      </c>
      <c r="Q211" s="1" t="s">
        <v>45</v>
      </c>
      <c r="S211" s="3" t="s">
        <v>92</v>
      </c>
      <c r="Z211" s="1" t="s">
        <v>47</v>
      </c>
      <c r="AA211" s="1" t="s">
        <v>47</v>
      </c>
      <c r="AB211" s="1" t="s">
        <v>47</v>
      </c>
      <c r="AC211" s="1" t="s">
        <v>47</v>
      </c>
      <c r="AD211" s="1" t="s">
        <v>1094</v>
      </c>
      <c r="AE211" s="1" t="s">
        <v>1095</v>
      </c>
      <c r="AF211" s="1" t="s">
        <v>1096</v>
      </c>
      <c r="AG211" s="1" t="s">
        <v>1097</v>
      </c>
      <c r="AH211" s="1" t="s">
        <v>1098</v>
      </c>
      <c r="AI211" s="1" t="s">
        <v>1099</v>
      </c>
      <c r="AJ211" s="1" t="s">
        <v>913</v>
      </c>
    </row>
    <row r="212" spans="1:36" ht="15.75" customHeight="1" x14ac:dyDescent="0.2">
      <c r="A212" s="8" t="s">
        <v>1100</v>
      </c>
      <c r="B212" s="3" t="s">
        <v>1101</v>
      </c>
      <c r="D212" s="9" t="s">
        <v>42</v>
      </c>
      <c r="E212" s="1">
        <v>7285469</v>
      </c>
      <c r="F212" s="1" t="s">
        <v>51</v>
      </c>
      <c r="G212" s="1" t="s">
        <v>654</v>
      </c>
      <c r="I212" s="3">
        <f t="shared" si="0"/>
        <v>54</v>
      </c>
      <c r="J212" s="3">
        <f t="shared" si="1"/>
        <v>0</v>
      </c>
      <c r="K212" s="1">
        <v>0</v>
      </c>
      <c r="L212" s="1">
        <v>1</v>
      </c>
      <c r="M212" s="7">
        <v>45405</v>
      </c>
      <c r="N212" s="7">
        <v>25513</v>
      </c>
      <c r="O212" s="1" t="s">
        <v>106</v>
      </c>
      <c r="P212" s="1" t="s">
        <v>44</v>
      </c>
      <c r="Q212" s="1" t="s">
        <v>45</v>
      </c>
      <c r="S212" s="3" t="s">
        <v>68</v>
      </c>
      <c r="Z212" s="1" t="s">
        <v>47</v>
      </c>
    </row>
    <row r="213" spans="1:36" ht="15.75" customHeight="1" x14ac:dyDescent="0.2">
      <c r="A213" s="8" t="s">
        <v>1102</v>
      </c>
      <c r="B213" s="3" t="s">
        <v>1103</v>
      </c>
      <c r="D213" s="9" t="s">
        <v>42</v>
      </c>
      <c r="E213" s="1">
        <v>7279081</v>
      </c>
      <c r="G213" s="1" t="s">
        <v>644</v>
      </c>
      <c r="I213" s="3">
        <f t="shared" si="0"/>
        <v>23</v>
      </c>
      <c r="J213" s="3">
        <f t="shared" si="1"/>
        <v>1</v>
      </c>
      <c r="K213" s="1">
        <v>0</v>
      </c>
      <c r="L213" s="1">
        <v>0</v>
      </c>
      <c r="M213" s="7">
        <v>45406</v>
      </c>
      <c r="N213" s="7">
        <v>36651</v>
      </c>
      <c r="O213" s="1" t="s">
        <v>1090</v>
      </c>
      <c r="P213" s="1" t="s">
        <v>221</v>
      </c>
      <c r="Q213" s="1" t="s">
        <v>45</v>
      </c>
      <c r="S213" s="3" t="s">
        <v>47</v>
      </c>
      <c r="AA213" s="1" t="s">
        <v>46</v>
      </c>
    </row>
    <row r="214" spans="1:36" ht="15.75" customHeight="1" x14ac:dyDescent="0.2">
      <c r="A214" s="8" t="s">
        <v>1104</v>
      </c>
      <c r="B214" s="3" t="s">
        <v>1105</v>
      </c>
      <c r="D214" s="9" t="s">
        <v>42</v>
      </c>
      <c r="E214" s="3">
        <v>2014419</v>
      </c>
      <c r="F214" s="3" t="s">
        <v>51</v>
      </c>
      <c r="G214" s="3" t="s">
        <v>644</v>
      </c>
      <c r="H214" s="3"/>
      <c r="I214" s="3">
        <f t="shared" si="0"/>
        <v>59</v>
      </c>
      <c r="J214" s="3">
        <f t="shared" si="1"/>
        <v>0</v>
      </c>
      <c r="K214" s="3">
        <v>0</v>
      </c>
      <c r="L214" s="3">
        <v>1</v>
      </c>
      <c r="M214" s="7">
        <v>45413</v>
      </c>
      <c r="N214" s="7">
        <v>23777</v>
      </c>
      <c r="O214" s="3" t="s">
        <v>151</v>
      </c>
      <c r="P214" s="3" t="s">
        <v>44</v>
      </c>
      <c r="Q214" s="3" t="s">
        <v>45</v>
      </c>
      <c r="R214" s="3"/>
      <c r="S214" s="3"/>
    </row>
    <row r="215" spans="1:36" ht="15.75" customHeight="1" x14ac:dyDescent="0.2">
      <c r="A215" s="8" t="s">
        <v>1106</v>
      </c>
      <c r="B215" s="3" t="s">
        <v>1107</v>
      </c>
      <c r="D215" s="9" t="s">
        <v>42</v>
      </c>
      <c r="E215" s="3">
        <v>3122432</v>
      </c>
      <c r="F215" s="3" t="s">
        <v>51</v>
      </c>
      <c r="G215" s="3" t="s">
        <v>644</v>
      </c>
      <c r="H215" s="3"/>
      <c r="I215" s="3">
        <f t="shared" si="0"/>
        <v>50</v>
      </c>
      <c r="J215" s="3">
        <f t="shared" si="1"/>
        <v>0</v>
      </c>
      <c r="K215" s="3">
        <v>0</v>
      </c>
      <c r="L215" s="3">
        <v>1</v>
      </c>
      <c r="M215" s="7">
        <v>45420</v>
      </c>
      <c r="N215" s="7">
        <v>26889</v>
      </c>
      <c r="O215" s="3" t="s">
        <v>43</v>
      </c>
      <c r="P215" s="3" t="s">
        <v>44</v>
      </c>
      <c r="Q215" s="3" t="s">
        <v>45</v>
      </c>
      <c r="R215" s="3"/>
      <c r="S215" s="3"/>
    </row>
    <row r="216" spans="1:36" ht="15.75" customHeight="1" x14ac:dyDescent="0.2">
      <c r="A216" s="8" t="s">
        <v>1108</v>
      </c>
      <c r="B216" s="3" t="s">
        <v>1109</v>
      </c>
      <c r="D216" s="9" t="s">
        <v>42</v>
      </c>
      <c r="E216" s="3">
        <v>7306242</v>
      </c>
      <c r="F216" s="3" t="s">
        <v>51</v>
      </c>
      <c r="G216" s="3" t="s">
        <v>644</v>
      </c>
      <c r="H216" s="3"/>
      <c r="I216" s="3">
        <f t="shared" si="0"/>
        <v>54</v>
      </c>
      <c r="J216" s="3">
        <f t="shared" si="1"/>
        <v>0</v>
      </c>
      <c r="K216" s="3">
        <v>0</v>
      </c>
      <c r="L216" s="3">
        <v>1</v>
      </c>
      <c r="M216" s="7">
        <v>45438</v>
      </c>
      <c r="N216" s="7">
        <v>25463</v>
      </c>
      <c r="O216" s="3" t="s">
        <v>177</v>
      </c>
      <c r="P216" s="3" t="s">
        <v>44</v>
      </c>
      <c r="Q216" s="3" t="s">
        <v>45</v>
      </c>
      <c r="R216" s="19"/>
      <c r="S216" s="3" t="s">
        <v>68</v>
      </c>
    </row>
    <row r="217" spans="1:36" ht="15.75" customHeight="1" x14ac:dyDescent="0.2">
      <c r="A217" s="8" t="s">
        <v>1110</v>
      </c>
      <c r="B217" s="3" t="s">
        <v>1111</v>
      </c>
      <c r="D217" s="9" t="s">
        <v>42</v>
      </c>
      <c r="E217" s="3">
        <v>4603544</v>
      </c>
      <c r="F217" s="3"/>
      <c r="G217" s="3" t="s">
        <v>644</v>
      </c>
      <c r="H217" s="3">
        <v>36</v>
      </c>
      <c r="I217" s="3">
        <f t="shared" si="0"/>
        <v>41</v>
      </c>
      <c r="J217" s="3">
        <f t="shared" si="1"/>
        <v>0</v>
      </c>
      <c r="K217" s="3">
        <v>0</v>
      </c>
      <c r="L217" s="3">
        <v>1</v>
      </c>
      <c r="M217" s="7">
        <v>45449</v>
      </c>
      <c r="N217" s="7">
        <v>30261</v>
      </c>
      <c r="O217" s="3" t="s">
        <v>50</v>
      </c>
      <c r="P217" s="3" t="s">
        <v>44</v>
      </c>
      <c r="Q217" s="3" t="s">
        <v>51</v>
      </c>
      <c r="R217" s="19"/>
      <c r="S217" s="3" t="s">
        <v>46</v>
      </c>
      <c r="Z217" s="1" t="s">
        <v>46</v>
      </c>
      <c r="AA217" s="1" t="s">
        <v>47</v>
      </c>
    </row>
    <row r="218" spans="1:36" ht="15.75" customHeight="1" x14ac:dyDescent="0.2">
      <c r="A218" s="8" t="s">
        <v>1112</v>
      </c>
      <c r="B218" s="3" t="s">
        <v>1113</v>
      </c>
      <c r="D218" s="9" t="s">
        <v>42</v>
      </c>
      <c r="E218" s="3">
        <v>7310042</v>
      </c>
      <c r="F218" s="3" t="s">
        <v>51</v>
      </c>
      <c r="G218" s="3" t="s">
        <v>654</v>
      </c>
      <c r="H218" s="3"/>
      <c r="I218" s="3">
        <f t="shared" si="0"/>
        <v>75</v>
      </c>
      <c r="J218" s="3">
        <f t="shared" si="1"/>
        <v>0</v>
      </c>
      <c r="K218" s="3">
        <v>0</v>
      </c>
      <c r="L218" s="3">
        <v>1</v>
      </c>
      <c r="M218" s="7">
        <v>45453</v>
      </c>
      <c r="N218" s="7">
        <v>17898</v>
      </c>
      <c r="O218" s="3" t="s">
        <v>106</v>
      </c>
      <c r="P218" s="3" t="s">
        <v>44</v>
      </c>
      <c r="Q218" s="3" t="s">
        <v>45</v>
      </c>
      <c r="R218" s="3"/>
      <c r="S218" s="3" t="s">
        <v>68</v>
      </c>
    </row>
    <row r="219" spans="1:36" ht="15.75" customHeight="1" x14ac:dyDescent="0.2">
      <c r="A219" s="8" t="s">
        <v>1114</v>
      </c>
      <c r="B219" s="3" t="s">
        <v>1115</v>
      </c>
      <c r="D219" s="9" t="s">
        <v>42</v>
      </c>
      <c r="E219" s="3">
        <v>7294980</v>
      </c>
      <c r="F219" s="3" t="s">
        <v>51</v>
      </c>
      <c r="G219" s="3" t="s">
        <v>644</v>
      </c>
      <c r="H219" s="3"/>
      <c r="I219" s="3">
        <f t="shared" si="0"/>
        <v>65</v>
      </c>
      <c r="J219" s="3">
        <f t="shared" si="1"/>
        <v>0</v>
      </c>
      <c r="K219" s="3">
        <v>0</v>
      </c>
      <c r="L219" s="3">
        <v>1</v>
      </c>
      <c r="M219" s="7">
        <v>45453</v>
      </c>
      <c r="N219" s="7">
        <v>21706</v>
      </c>
      <c r="O219" s="3" t="s">
        <v>50</v>
      </c>
      <c r="P219" s="3" t="s">
        <v>67</v>
      </c>
      <c r="Q219" s="3" t="s">
        <v>51</v>
      </c>
      <c r="R219" s="3"/>
      <c r="S219" s="3" t="s">
        <v>68</v>
      </c>
      <c r="Z219" s="1" t="s">
        <v>47</v>
      </c>
      <c r="AA219" s="1" t="s">
        <v>47</v>
      </c>
    </row>
    <row r="220" spans="1:36" ht="15.75" customHeight="1" x14ac:dyDescent="0.2">
      <c r="A220" s="8" t="s">
        <v>1116</v>
      </c>
      <c r="B220" s="3" t="s">
        <v>1117</v>
      </c>
      <c r="C220" s="3"/>
      <c r="D220" s="3" t="s">
        <v>1118</v>
      </c>
      <c r="E220" s="3">
        <v>2095494</v>
      </c>
      <c r="F220" s="3"/>
      <c r="G220" s="3" t="s">
        <v>644</v>
      </c>
      <c r="H220" s="3"/>
      <c r="I220" s="1">
        <f t="shared" si="0"/>
        <v>50</v>
      </c>
      <c r="J220" s="1">
        <f t="shared" si="1"/>
        <v>0</v>
      </c>
      <c r="K220" s="7"/>
      <c r="L220" s="3"/>
      <c r="M220" s="7">
        <v>45468</v>
      </c>
      <c r="N220" s="7">
        <v>27177</v>
      </c>
      <c r="O220" s="3" t="s">
        <v>106</v>
      </c>
      <c r="P220" s="3" t="s">
        <v>44</v>
      </c>
      <c r="Q220" s="3" t="s">
        <v>45</v>
      </c>
      <c r="R220" s="3"/>
      <c r="S220" s="3" t="s">
        <v>46</v>
      </c>
      <c r="Z220" s="1" t="s">
        <v>47</v>
      </c>
      <c r="AA220" s="1" t="s">
        <v>47</v>
      </c>
      <c r="AB220" s="1" t="s">
        <v>47</v>
      </c>
      <c r="AC220" s="1" t="s">
        <v>47</v>
      </c>
      <c r="AD220" s="1" t="s">
        <v>129</v>
      </c>
      <c r="AE220" s="1" t="s">
        <v>1119</v>
      </c>
      <c r="AF220" s="1" t="s">
        <v>1120</v>
      </c>
      <c r="AG220" s="1" t="s">
        <v>1121</v>
      </c>
      <c r="AH220" s="1" t="s">
        <v>1122</v>
      </c>
    </row>
    <row r="221" spans="1:36" ht="15.75" customHeight="1" x14ac:dyDescent="0.2">
      <c r="A221" s="8" t="s">
        <v>1123</v>
      </c>
      <c r="B221" s="3" t="s">
        <v>1124</v>
      </c>
      <c r="C221" s="3"/>
      <c r="D221" s="3" t="s">
        <v>1118</v>
      </c>
      <c r="E221" s="3">
        <v>7282750</v>
      </c>
      <c r="F221" s="3"/>
      <c r="G221" s="3" t="s">
        <v>654</v>
      </c>
      <c r="H221" s="3"/>
      <c r="I221" s="1">
        <f t="shared" si="0"/>
        <v>46</v>
      </c>
      <c r="J221" s="1">
        <f t="shared" si="1"/>
        <v>0</v>
      </c>
      <c r="K221" s="7"/>
      <c r="L221" s="3"/>
      <c r="M221" s="7">
        <v>45471</v>
      </c>
      <c r="N221" s="7">
        <v>28466</v>
      </c>
      <c r="O221" s="3" t="s">
        <v>50</v>
      </c>
      <c r="P221" s="3" t="s">
        <v>44</v>
      </c>
      <c r="Q221" s="3" t="s">
        <v>45</v>
      </c>
      <c r="R221" s="3"/>
      <c r="S221" s="3" t="s">
        <v>68</v>
      </c>
      <c r="Z221" s="1" t="s">
        <v>47</v>
      </c>
      <c r="AA221" s="1" t="s">
        <v>46</v>
      </c>
      <c r="AB221" s="1" t="s">
        <v>47</v>
      </c>
      <c r="AC221" s="1" t="s">
        <v>47</v>
      </c>
      <c r="AD221" s="1" t="s">
        <v>1125</v>
      </c>
      <c r="AE221" s="1" t="s">
        <v>739</v>
      </c>
    </row>
    <row r="222" spans="1:36" ht="15.75" customHeight="1" x14ac:dyDescent="0.2">
      <c r="A222" s="8" t="s">
        <v>1126</v>
      </c>
      <c r="B222" s="3" t="s">
        <v>1127</v>
      </c>
      <c r="C222" s="3"/>
      <c r="D222" s="3" t="s">
        <v>1118</v>
      </c>
      <c r="E222" s="3">
        <v>4922652</v>
      </c>
      <c r="F222" s="3"/>
      <c r="G222" s="3" t="s">
        <v>654</v>
      </c>
      <c r="H222" s="3">
        <v>20</v>
      </c>
      <c r="I222" s="1">
        <f t="shared" si="0"/>
        <v>23</v>
      </c>
      <c r="J222" s="1">
        <f t="shared" si="1"/>
        <v>1</v>
      </c>
      <c r="K222" s="7"/>
      <c r="L222" s="3"/>
      <c r="M222" s="7">
        <v>45476</v>
      </c>
      <c r="N222" s="7">
        <v>36932</v>
      </c>
      <c r="O222" s="3" t="s">
        <v>1128</v>
      </c>
      <c r="P222" s="3" t="s">
        <v>91</v>
      </c>
      <c r="Q222" s="3" t="s">
        <v>45</v>
      </c>
      <c r="R222" s="3"/>
      <c r="S222" s="3" t="s">
        <v>46</v>
      </c>
      <c r="Z222" s="1" t="s">
        <v>47</v>
      </c>
      <c r="AA222" s="1" t="s">
        <v>46</v>
      </c>
      <c r="AB222" s="1" t="s">
        <v>47</v>
      </c>
      <c r="AC222" s="1" t="s">
        <v>47</v>
      </c>
      <c r="AD222" s="1" t="s">
        <v>1129</v>
      </c>
      <c r="AE222" s="1" t="s">
        <v>1130</v>
      </c>
      <c r="AF222" s="1" t="s">
        <v>1131</v>
      </c>
    </row>
    <row r="223" spans="1:36" ht="15.75" customHeight="1" x14ac:dyDescent="0.2">
      <c r="A223" s="8" t="s">
        <v>1132</v>
      </c>
      <c r="B223" s="3" t="s">
        <v>1133</v>
      </c>
      <c r="C223" s="19"/>
      <c r="D223" s="3" t="s">
        <v>1118</v>
      </c>
      <c r="E223" s="3">
        <v>7260486</v>
      </c>
      <c r="F223" s="3"/>
      <c r="G223" s="3" t="s">
        <v>644</v>
      </c>
      <c r="I223" s="1">
        <f t="shared" si="0"/>
        <v>26</v>
      </c>
      <c r="J223" s="1">
        <f t="shared" si="1"/>
        <v>1</v>
      </c>
      <c r="K223" s="24"/>
      <c r="L223" s="19"/>
      <c r="M223" s="7">
        <v>45477</v>
      </c>
      <c r="N223" s="7">
        <v>35940</v>
      </c>
      <c r="O223" s="3" t="s">
        <v>106</v>
      </c>
      <c r="P223" s="3" t="s">
        <v>500</v>
      </c>
      <c r="Q223" s="3" t="s">
        <v>45</v>
      </c>
      <c r="S223" s="1" t="s">
        <v>47</v>
      </c>
      <c r="Z223" s="1" t="s">
        <v>47</v>
      </c>
      <c r="AA223" s="1" t="s">
        <v>46</v>
      </c>
      <c r="AB223" s="1" t="s">
        <v>47</v>
      </c>
      <c r="AC223" s="1" t="s">
        <v>47</v>
      </c>
    </row>
    <row r="224" spans="1:36" ht="15.75" customHeight="1" x14ac:dyDescent="0.2">
      <c r="A224" s="8" t="s">
        <v>1134</v>
      </c>
      <c r="B224" s="3" t="s">
        <v>1135</v>
      </c>
      <c r="C224" s="19"/>
      <c r="D224" s="3" t="s">
        <v>1118</v>
      </c>
      <c r="E224" s="3">
        <v>2924162</v>
      </c>
      <c r="F224" s="3"/>
      <c r="G224" s="3" t="s">
        <v>644</v>
      </c>
      <c r="I224" s="1">
        <f t="shared" si="0"/>
        <v>55</v>
      </c>
      <c r="J224" s="1">
        <f t="shared" si="1"/>
        <v>0</v>
      </c>
      <c r="K224" s="24"/>
      <c r="L224" s="19"/>
      <c r="M224" s="7">
        <v>45480</v>
      </c>
      <c r="N224" s="7">
        <v>25058</v>
      </c>
      <c r="O224" s="3" t="s">
        <v>43</v>
      </c>
      <c r="P224" s="3" t="s">
        <v>44</v>
      </c>
      <c r="Q224" s="3" t="s">
        <v>45</v>
      </c>
      <c r="S224" s="3" t="s">
        <v>46</v>
      </c>
      <c r="Z224" s="1" t="s">
        <v>47</v>
      </c>
      <c r="AA224" s="1" t="s">
        <v>47</v>
      </c>
      <c r="AB224" s="1" t="s">
        <v>47</v>
      </c>
      <c r="AC224" s="1" t="s">
        <v>47</v>
      </c>
      <c r="AD224" s="1" t="s">
        <v>1136</v>
      </c>
      <c r="AE224" s="1" t="s">
        <v>850</v>
      </c>
      <c r="AF224" s="1" t="s">
        <v>1137</v>
      </c>
      <c r="AG224" s="1" t="s">
        <v>1138</v>
      </c>
      <c r="AH224" s="1" t="s">
        <v>1139</v>
      </c>
      <c r="AI224" s="1" t="s">
        <v>1140</v>
      </c>
    </row>
    <row r="225" spans="1:35" ht="15.75" customHeight="1" x14ac:dyDescent="0.2">
      <c r="A225" s="8" t="s">
        <v>1134</v>
      </c>
      <c r="B225" s="3" t="s">
        <v>1135</v>
      </c>
      <c r="C225" s="19"/>
      <c r="D225" s="3" t="s">
        <v>1118</v>
      </c>
      <c r="E225" s="3">
        <v>2924162</v>
      </c>
      <c r="F225" s="3"/>
      <c r="G225" s="3" t="s">
        <v>644</v>
      </c>
      <c r="I225" s="1">
        <f t="shared" si="0"/>
        <v>55</v>
      </c>
      <c r="J225" s="1">
        <f t="shared" si="1"/>
        <v>0</v>
      </c>
      <c r="K225" s="24"/>
      <c r="L225" s="19"/>
      <c r="M225" s="7">
        <v>45480</v>
      </c>
      <c r="N225" s="7">
        <v>25058</v>
      </c>
      <c r="O225" s="3" t="s">
        <v>43</v>
      </c>
      <c r="P225" s="3" t="s">
        <v>44</v>
      </c>
      <c r="Q225" s="3" t="s">
        <v>45</v>
      </c>
      <c r="S225" s="3" t="s">
        <v>46</v>
      </c>
      <c r="Z225" s="1" t="s">
        <v>47</v>
      </c>
      <c r="AA225" s="1" t="s">
        <v>47</v>
      </c>
      <c r="AB225" s="1" t="s">
        <v>47</v>
      </c>
      <c r="AC225" s="1" t="s">
        <v>47</v>
      </c>
      <c r="AD225" s="1" t="s">
        <v>1136</v>
      </c>
      <c r="AE225" s="1" t="s">
        <v>850</v>
      </c>
      <c r="AF225" s="1" t="s">
        <v>1137</v>
      </c>
      <c r="AG225" s="1" t="s">
        <v>1138</v>
      </c>
      <c r="AH225" s="1" t="s">
        <v>1139</v>
      </c>
      <c r="AI225" s="1" t="s">
        <v>1140</v>
      </c>
    </row>
    <row r="226" spans="1:35" ht="15.75" customHeight="1" x14ac:dyDescent="0.2">
      <c r="A226" s="8" t="s">
        <v>1141</v>
      </c>
      <c r="B226" s="3" t="s">
        <v>1142</v>
      </c>
      <c r="C226" s="3"/>
      <c r="D226" s="3"/>
      <c r="E226" s="3">
        <v>2779801</v>
      </c>
      <c r="F226" s="3"/>
      <c r="G226" s="3" t="s">
        <v>644</v>
      </c>
      <c r="H226" s="1">
        <v>4</v>
      </c>
      <c r="I226" s="1">
        <f t="shared" si="0"/>
        <v>30</v>
      </c>
      <c r="J226" s="1">
        <f t="shared" si="1"/>
        <v>1</v>
      </c>
      <c r="K226" s="7"/>
      <c r="L226" s="3"/>
      <c r="M226" s="7">
        <v>45480</v>
      </c>
      <c r="N226" s="7">
        <v>34499</v>
      </c>
      <c r="O226" s="3" t="s">
        <v>99</v>
      </c>
      <c r="P226" s="3" t="s">
        <v>44</v>
      </c>
      <c r="Q226" s="3" t="s">
        <v>51</v>
      </c>
      <c r="R226" s="1" t="s">
        <v>1143</v>
      </c>
      <c r="S226" s="3" t="s">
        <v>46</v>
      </c>
      <c r="Z226" s="1" t="s">
        <v>47</v>
      </c>
      <c r="AA226" s="1" t="s">
        <v>47</v>
      </c>
      <c r="AB226" s="1" t="s">
        <v>47</v>
      </c>
      <c r="AC226" s="1" t="s">
        <v>47</v>
      </c>
      <c r="AD226" s="1" t="s">
        <v>1144</v>
      </c>
      <c r="AE226" s="1" t="s">
        <v>1145</v>
      </c>
    </row>
    <row r="227" spans="1:35" ht="15.75" customHeight="1" x14ac:dyDescent="0.2">
      <c r="A227" s="8" t="s">
        <v>1146</v>
      </c>
      <c r="B227" s="3" t="s">
        <v>1147</v>
      </c>
      <c r="C227" s="3"/>
      <c r="D227" s="3" t="s">
        <v>1118</v>
      </c>
      <c r="E227" s="3">
        <v>7325709</v>
      </c>
      <c r="F227" s="3"/>
      <c r="G227" s="3" t="s">
        <v>644</v>
      </c>
      <c r="I227" s="1">
        <f t="shared" si="0"/>
        <v>48</v>
      </c>
      <c r="J227" s="1">
        <f t="shared" si="1"/>
        <v>0</v>
      </c>
      <c r="K227" s="7"/>
      <c r="L227" s="3"/>
      <c r="M227" s="7">
        <v>45483</v>
      </c>
      <c r="N227" s="7">
        <v>27707</v>
      </c>
      <c r="O227" s="3" t="s">
        <v>50</v>
      </c>
      <c r="P227" s="3" t="s">
        <v>44</v>
      </c>
      <c r="Q227" s="3" t="s">
        <v>45</v>
      </c>
      <c r="S227" s="1" t="s">
        <v>68</v>
      </c>
      <c r="Z227" s="1" t="s">
        <v>47</v>
      </c>
      <c r="AA227" s="1" t="s">
        <v>47</v>
      </c>
      <c r="AB227" s="1" t="s">
        <v>47</v>
      </c>
      <c r="AC227" s="1" t="s">
        <v>47</v>
      </c>
      <c r="AD227" s="1" t="s">
        <v>256</v>
      </c>
      <c r="AE227" s="1" t="s">
        <v>1148</v>
      </c>
    </row>
    <row r="228" spans="1:35" ht="15.75" customHeight="1" x14ac:dyDescent="0.2">
      <c r="A228" s="8" t="s">
        <v>1149</v>
      </c>
      <c r="B228" s="3" t="s">
        <v>1150</v>
      </c>
      <c r="C228" s="19"/>
      <c r="D228" s="3" t="s">
        <v>1118</v>
      </c>
      <c r="E228" s="3">
        <v>7302826</v>
      </c>
      <c r="F228" s="3"/>
      <c r="G228" s="1" t="s">
        <v>654</v>
      </c>
      <c r="I228" s="1">
        <f t="shared" si="0"/>
        <v>66</v>
      </c>
      <c r="J228" s="1">
        <f t="shared" si="1"/>
        <v>0</v>
      </c>
      <c r="K228" s="24"/>
      <c r="L228" s="19"/>
      <c r="M228" s="7">
        <v>45490</v>
      </c>
      <c r="N228" s="7">
        <v>21040</v>
      </c>
      <c r="O228" s="3" t="s">
        <v>50</v>
      </c>
      <c r="P228" s="3" t="s">
        <v>67</v>
      </c>
      <c r="Q228" s="3" t="s">
        <v>45</v>
      </c>
      <c r="S228" s="3" t="s">
        <v>46</v>
      </c>
      <c r="Z228" s="1" t="s">
        <v>46</v>
      </c>
      <c r="AA228" s="1" t="s">
        <v>46</v>
      </c>
      <c r="AB228" s="1" t="s">
        <v>47</v>
      </c>
      <c r="AC228" s="1" t="s">
        <v>47</v>
      </c>
      <c r="AD228" s="1" t="s">
        <v>1151</v>
      </c>
      <c r="AE228" s="1" t="s">
        <v>1152</v>
      </c>
    </row>
    <row r="229" spans="1:35" ht="15.75" customHeight="1" x14ac:dyDescent="0.2">
      <c r="A229" s="8" t="s">
        <v>1153</v>
      </c>
      <c r="B229" s="3" t="s">
        <v>1154</v>
      </c>
      <c r="C229" s="19"/>
      <c r="D229" s="3" t="s">
        <v>1118</v>
      </c>
      <c r="E229" s="3">
        <v>3980336</v>
      </c>
      <c r="F229" s="3"/>
      <c r="G229" s="3" t="s">
        <v>644</v>
      </c>
      <c r="H229" s="3">
        <v>35</v>
      </c>
      <c r="I229" s="1">
        <f t="shared" si="0"/>
        <v>49</v>
      </c>
      <c r="J229" s="1">
        <f t="shared" si="1"/>
        <v>0</v>
      </c>
      <c r="K229" s="24"/>
      <c r="L229" s="19"/>
      <c r="M229" s="7">
        <v>45498</v>
      </c>
      <c r="N229" s="7">
        <v>27402</v>
      </c>
      <c r="O229" s="3" t="s">
        <v>50</v>
      </c>
      <c r="P229" s="3" t="s">
        <v>67</v>
      </c>
      <c r="Q229" s="3" t="s">
        <v>51</v>
      </c>
      <c r="R229" s="3" t="s">
        <v>1155</v>
      </c>
      <c r="S229" s="1" t="s">
        <v>47</v>
      </c>
      <c r="Z229" s="1" t="s">
        <v>47</v>
      </c>
      <c r="AA229" s="1" t="s">
        <v>46</v>
      </c>
      <c r="AB229" s="1" t="s">
        <v>47</v>
      </c>
      <c r="AC229" s="1" t="s">
        <v>47</v>
      </c>
      <c r="AD229" s="1" t="s">
        <v>1156</v>
      </c>
      <c r="AE229" s="1" t="s">
        <v>1157</v>
      </c>
    </row>
    <row r="230" spans="1:35" ht="15.75" customHeight="1" x14ac:dyDescent="0.2">
      <c r="A230" s="8" t="s">
        <v>1158</v>
      </c>
      <c r="B230" s="3" t="s">
        <v>1159</v>
      </c>
      <c r="C230" s="3"/>
      <c r="D230" s="3" t="s">
        <v>1118</v>
      </c>
      <c r="E230" s="3">
        <v>7330633</v>
      </c>
      <c r="F230" s="3"/>
      <c r="G230" s="3" t="s">
        <v>654</v>
      </c>
      <c r="H230" s="3"/>
      <c r="I230" s="1">
        <f t="shared" si="0"/>
        <v>59</v>
      </c>
      <c r="J230" s="1">
        <f t="shared" si="1"/>
        <v>0</v>
      </c>
      <c r="K230" s="7"/>
      <c r="L230" s="3"/>
      <c r="M230" s="7">
        <v>45504</v>
      </c>
      <c r="N230" s="7">
        <v>23590</v>
      </c>
      <c r="O230" s="3" t="s">
        <v>50</v>
      </c>
      <c r="P230" s="3" t="s">
        <v>44</v>
      </c>
      <c r="Q230" s="3" t="s">
        <v>45</v>
      </c>
      <c r="R230" s="3" t="s">
        <v>1160</v>
      </c>
      <c r="S230" s="3" t="s">
        <v>68</v>
      </c>
      <c r="Z230" s="1" t="s">
        <v>47</v>
      </c>
      <c r="AA230" s="1" t="s">
        <v>47</v>
      </c>
      <c r="AB230" s="1">
        <v>7</v>
      </c>
      <c r="AC230" s="1">
        <v>-10</v>
      </c>
      <c r="AD230" s="1" t="s">
        <v>1161</v>
      </c>
      <c r="AE230" s="1" t="s">
        <v>1162</v>
      </c>
      <c r="AF230" s="1" t="s">
        <v>1163</v>
      </c>
    </row>
    <row r="231" spans="1:35" ht="15.75" customHeight="1" x14ac:dyDescent="0.2">
      <c r="A231" s="8" t="s">
        <v>1164</v>
      </c>
      <c r="B231" s="3" t="s">
        <v>1165</v>
      </c>
      <c r="C231" s="19"/>
      <c r="D231" s="3" t="s">
        <v>1118</v>
      </c>
      <c r="E231" s="3">
        <v>7178530</v>
      </c>
      <c r="F231" s="3"/>
      <c r="G231" s="3" t="s">
        <v>644</v>
      </c>
      <c r="I231" s="1">
        <f t="shared" si="0"/>
        <v>21</v>
      </c>
      <c r="J231" s="1">
        <f t="shared" si="1"/>
        <v>1</v>
      </c>
      <c r="K231" s="24"/>
      <c r="L231" s="19"/>
      <c r="M231" s="7">
        <v>45512</v>
      </c>
      <c r="N231" s="7">
        <v>37526</v>
      </c>
      <c r="O231" s="3" t="s">
        <v>106</v>
      </c>
      <c r="P231" s="3" t="s">
        <v>1166</v>
      </c>
      <c r="Q231" s="3" t="s">
        <v>45</v>
      </c>
      <c r="R231" s="3" t="s">
        <v>1167</v>
      </c>
      <c r="S231" s="1" t="s">
        <v>47</v>
      </c>
      <c r="Z231" s="1" t="s">
        <v>47</v>
      </c>
      <c r="AA231" s="1" t="s">
        <v>47</v>
      </c>
      <c r="AB231" s="1" t="s">
        <v>47</v>
      </c>
      <c r="AC231" s="1" t="s">
        <v>47</v>
      </c>
      <c r="AD231" s="1" t="s">
        <v>1168</v>
      </c>
    </row>
    <row r="232" spans="1:35" ht="15.75" customHeight="1" x14ac:dyDescent="0.2">
      <c r="A232" s="8" t="s">
        <v>1169</v>
      </c>
      <c r="B232" s="3" t="s">
        <v>1170</v>
      </c>
      <c r="C232" s="3"/>
      <c r="D232" s="3" t="s">
        <v>1118</v>
      </c>
      <c r="E232" s="3">
        <v>3936503</v>
      </c>
      <c r="F232" s="3"/>
      <c r="G232" s="3" t="s">
        <v>644</v>
      </c>
      <c r="H232" s="1">
        <v>31</v>
      </c>
      <c r="I232" s="1">
        <f t="shared" si="0"/>
        <v>44</v>
      </c>
      <c r="J232" s="1">
        <f t="shared" si="1"/>
        <v>0</v>
      </c>
      <c r="K232" s="7"/>
      <c r="L232" s="3"/>
      <c r="M232" s="7">
        <v>45513</v>
      </c>
      <c r="N232" s="7">
        <v>29148</v>
      </c>
      <c r="O232" s="3" t="s">
        <v>50</v>
      </c>
      <c r="P232" s="3" t="s">
        <v>166</v>
      </c>
      <c r="Q232" s="3" t="s">
        <v>51</v>
      </c>
      <c r="S232" s="3" t="s">
        <v>68</v>
      </c>
      <c r="Z232" s="1" t="s">
        <v>47</v>
      </c>
      <c r="AA232" s="1" t="s">
        <v>47</v>
      </c>
      <c r="AB232" s="1" t="s">
        <v>47</v>
      </c>
      <c r="AC232" s="1" t="s">
        <v>47</v>
      </c>
      <c r="AD232" s="1" t="s">
        <v>47</v>
      </c>
    </row>
    <row r="233" spans="1:35" ht="15.75" customHeight="1" x14ac:dyDescent="0.2">
      <c r="A233" s="8" t="s">
        <v>1171</v>
      </c>
      <c r="B233" s="3" t="s">
        <v>1172</v>
      </c>
      <c r="C233" s="3"/>
      <c r="D233" s="3" t="s">
        <v>1118</v>
      </c>
      <c r="E233" s="3">
        <v>4654074</v>
      </c>
      <c r="F233" s="3"/>
      <c r="G233" s="3" t="s">
        <v>644</v>
      </c>
      <c r="I233" s="1">
        <f t="shared" si="0"/>
        <v>64</v>
      </c>
      <c r="J233" s="1">
        <f t="shared" si="1"/>
        <v>0</v>
      </c>
      <c r="K233" s="7"/>
      <c r="L233" s="3"/>
      <c r="M233" s="7">
        <v>45520</v>
      </c>
      <c r="N233" s="7">
        <v>21804</v>
      </c>
      <c r="O233" s="3" t="s">
        <v>43</v>
      </c>
      <c r="P233" s="3" t="s">
        <v>67</v>
      </c>
      <c r="Q233" s="3" t="s">
        <v>45</v>
      </c>
      <c r="R233" s="3" t="s">
        <v>1173</v>
      </c>
      <c r="S233" s="1" t="s">
        <v>46</v>
      </c>
      <c r="Z233" s="1" t="s">
        <v>47</v>
      </c>
      <c r="AA233" s="1" t="s">
        <v>47</v>
      </c>
      <c r="AB233" s="1" t="s">
        <v>1174</v>
      </c>
      <c r="AC233" s="1" t="s">
        <v>1174</v>
      </c>
      <c r="AD233" s="1" t="s">
        <v>60</v>
      </c>
    </row>
    <row r="234" spans="1:35" ht="15.75" customHeight="1" x14ac:dyDescent="0.2">
      <c r="A234" s="8" t="s">
        <v>1175</v>
      </c>
      <c r="B234" s="3" t="s">
        <v>1176</v>
      </c>
      <c r="C234" s="19"/>
      <c r="D234" s="3" t="s">
        <v>1118</v>
      </c>
      <c r="E234" s="3">
        <v>4676705</v>
      </c>
      <c r="F234" s="3"/>
      <c r="G234" s="3" t="s">
        <v>644</v>
      </c>
      <c r="H234" s="3"/>
      <c r="I234" s="1">
        <f t="shared" si="0"/>
        <v>54</v>
      </c>
      <c r="J234" s="1">
        <f t="shared" si="1"/>
        <v>0</v>
      </c>
      <c r="K234" s="24"/>
      <c r="L234" s="19"/>
      <c r="M234" s="7">
        <v>45524</v>
      </c>
      <c r="N234" s="7">
        <v>25494</v>
      </c>
      <c r="O234" s="3" t="s">
        <v>50</v>
      </c>
      <c r="P234" s="3" t="s">
        <v>44</v>
      </c>
      <c r="Q234" s="3" t="s">
        <v>45</v>
      </c>
      <c r="R234" s="3" t="s">
        <v>1177</v>
      </c>
      <c r="S234" s="3" t="s">
        <v>68</v>
      </c>
      <c r="Z234" s="1" t="s">
        <v>47</v>
      </c>
      <c r="AA234" s="1" t="s">
        <v>47</v>
      </c>
      <c r="AB234" s="1" t="s">
        <v>47</v>
      </c>
      <c r="AC234" s="1" t="s">
        <v>47</v>
      </c>
      <c r="AD234" s="1" t="s">
        <v>1178</v>
      </c>
      <c r="AE234" s="1" t="s">
        <v>1179</v>
      </c>
      <c r="AF234" s="1" t="s">
        <v>1180</v>
      </c>
    </row>
    <row r="235" spans="1:35" ht="15.75" customHeight="1" x14ac:dyDescent="0.2">
      <c r="A235" s="8" t="s">
        <v>1181</v>
      </c>
      <c r="B235" s="3" t="s">
        <v>1182</v>
      </c>
      <c r="C235" s="3"/>
      <c r="D235" s="3" t="s">
        <v>1118</v>
      </c>
      <c r="E235" s="3">
        <v>7348284</v>
      </c>
      <c r="F235" s="3"/>
      <c r="G235" s="3"/>
      <c r="H235" s="3"/>
      <c r="I235" s="1">
        <f t="shared" si="0"/>
        <v>68</v>
      </c>
      <c r="J235" s="1">
        <f t="shared" si="1"/>
        <v>0</v>
      </c>
      <c r="K235" s="7"/>
      <c r="L235" s="3"/>
      <c r="M235" s="7">
        <v>45525</v>
      </c>
      <c r="N235" s="7">
        <v>20681</v>
      </c>
      <c r="O235" s="3" t="s">
        <v>106</v>
      </c>
      <c r="P235" s="3" t="s">
        <v>44</v>
      </c>
      <c r="Q235" s="3" t="s">
        <v>45</v>
      </c>
      <c r="R235" s="3"/>
      <c r="S235" s="3" t="s">
        <v>46</v>
      </c>
      <c r="Z235" s="1" t="s">
        <v>47</v>
      </c>
      <c r="AA235" s="1" t="s">
        <v>47</v>
      </c>
      <c r="AB235" s="1" t="s">
        <v>47</v>
      </c>
      <c r="AC235" s="1" t="s">
        <v>47</v>
      </c>
      <c r="AD235" s="1" t="s">
        <v>1183</v>
      </c>
      <c r="AE235" s="1" t="s">
        <v>820</v>
      </c>
      <c r="AF235" s="1" t="s">
        <v>1184</v>
      </c>
      <c r="AG235" s="1" t="s">
        <v>1185</v>
      </c>
    </row>
    <row r="236" spans="1:35" ht="15.75" customHeight="1" x14ac:dyDescent="0.2">
      <c r="A236" s="8" t="s">
        <v>1186</v>
      </c>
      <c r="B236" s="3" t="s">
        <v>1187</v>
      </c>
      <c r="C236" s="19"/>
      <c r="D236" s="3" t="s">
        <v>1118</v>
      </c>
      <c r="E236" s="3">
        <v>4402061</v>
      </c>
      <c r="F236" s="3"/>
      <c r="G236" s="3" t="s">
        <v>644</v>
      </c>
      <c r="H236" s="3"/>
      <c r="I236" s="1">
        <f t="shared" si="0"/>
        <v>24</v>
      </c>
      <c r="J236" s="1">
        <f t="shared" si="1"/>
        <v>1</v>
      </c>
      <c r="K236" s="24"/>
      <c r="L236" s="19"/>
      <c r="M236" s="7">
        <v>45532</v>
      </c>
      <c r="N236" s="7">
        <v>36647</v>
      </c>
      <c r="O236" s="3" t="s">
        <v>50</v>
      </c>
      <c r="P236" s="3" t="s">
        <v>67</v>
      </c>
      <c r="Q236" s="3" t="s">
        <v>45</v>
      </c>
      <c r="R236" s="3"/>
      <c r="S236" s="1" t="s">
        <v>47</v>
      </c>
      <c r="Z236" s="1" t="s">
        <v>47</v>
      </c>
      <c r="AA236" s="1" t="s">
        <v>46</v>
      </c>
      <c r="AB236" s="1" t="s">
        <v>47</v>
      </c>
      <c r="AC236" s="1" t="s">
        <v>47</v>
      </c>
      <c r="AD236" s="1" t="s">
        <v>1188</v>
      </c>
      <c r="AE236" s="1" t="s">
        <v>1189</v>
      </c>
      <c r="AF236" s="1" t="s">
        <v>1190</v>
      </c>
    </row>
    <row r="237" spans="1:35" ht="15.75" customHeight="1" x14ac:dyDescent="0.2">
      <c r="A237" s="8" t="s">
        <v>1191</v>
      </c>
      <c r="B237" s="3" t="s">
        <v>1192</v>
      </c>
      <c r="C237" s="3"/>
      <c r="D237" s="3" t="s">
        <v>1118</v>
      </c>
      <c r="E237" s="3">
        <v>7349943</v>
      </c>
      <c r="F237" s="3"/>
      <c r="G237" s="3" t="s">
        <v>644</v>
      </c>
      <c r="H237" s="3"/>
      <c r="I237" s="1">
        <f t="shared" si="0"/>
        <v>42</v>
      </c>
      <c r="J237" s="1">
        <f t="shared" si="1"/>
        <v>0</v>
      </c>
      <c r="K237" s="7"/>
      <c r="L237" s="3"/>
      <c r="M237" s="7">
        <v>45532</v>
      </c>
      <c r="N237" s="7">
        <v>30045</v>
      </c>
      <c r="O237" s="3" t="s">
        <v>106</v>
      </c>
      <c r="P237" s="3" t="s">
        <v>44</v>
      </c>
      <c r="Q237" s="3" t="s">
        <v>45</v>
      </c>
      <c r="R237" s="3"/>
      <c r="S237" s="3" t="s">
        <v>68</v>
      </c>
      <c r="Z237" s="1" t="s">
        <v>47</v>
      </c>
      <c r="AA237" s="1" t="s">
        <v>46</v>
      </c>
      <c r="AB237" s="1" t="s">
        <v>47</v>
      </c>
      <c r="AC237" s="1" t="s">
        <v>47</v>
      </c>
      <c r="AD237" s="1" t="s">
        <v>1193</v>
      </c>
      <c r="AE237" s="1" t="s">
        <v>1194</v>
      </c>
      <c r="AF237" s="1" t="s">
        <v>1195</v>
      </c>
      <c r="AG237" s="1" t="s">
        <v>1196</v>
      </c>
    </row>
    <row r="238" spans="1:35" ht="15.75" customHeight="1" x14ac:dyDescent="0.2">
      <c r="A238" s="8" t="s">
        <v>1197</v>
      </c>
      <c r="B238" s="3" t="s">
        <v>1198</v>
      </c>
      <c r="C238" s="3"/>
      <c r="D238" s="3" t="s">
        <v>1118</v>
      </c>
      <c r="E238" s="3">
        <v>7310170</v>
      </c>
      <c r="F238" s="3"/>
      <c r="I238" s="1">
        <f t="shared" si="0"/>
        <v>48</v>
      </c>
      <c r="J238" s="1">
        <f t="shared" si="1"/>
        <v>0</v>
      </c>
      <c r="K238" s="7"/>
      <c r="L238" s="3"/>
      <c r="M238" s="7">
        <v>45533</v>
      </c>
      <c r="N238" s="7">
        <v>27801</v>
      </c>
      <c r="O238" s="3" t="s">
        <v>106</v>
      </c>
      <c r="P238" s="3" t="s">
        <v>67</v>
      </c>
      <c r="Q238" s="3" t="s">
        <v>45</v>
      </c>
      <c r="R238" s="3" t="s">
        <v>1177</v>
      </c>
      <c r="S238" s="3" t="s">
        <v>92</v>
      </c>
      <c r="Z238" s="1" t="s">
        <v>47</v>
      </c>
      <c r="AA238" s="1" t="s">
        <v>47</v>
      </c>
      <c r="AB238" s="1">
        <v>7</v>
      </c>
      <c r="AC238" s="1">
        <v>-10</v>
      </c>
      <c r="AD238" s="1" t="s">
        <v>1199</v>
      </c>
      <c r="AE238" s="1" t="s">
        <v>1200</v>
      </c>
    </row>
    <row r="239" spans="1:35" ht="15.75" customHeight="1" x14ac:dyDescent="0.2">
      <c r="A239" s="8" t="s">
        <v>1201</v>
      </c>
      <c r="B239" s="3" t="s">
        <v>1202</v>
      </c>
      <c r="C239" s="19"/>
      <c r="D239" s="3" t="s">
        <v>1118</v>
      </c>
      <c r="E239" s="3">
        <v>4685645</v>
      </c>
      <c r="F239" s="3"/>
      <c r="G239" s="3" t="s">
        <v>644</v>
      </c>
      <c r="H239" s="3"/>
      <c r="I239" s="1">
        <f t="shared" si="0"/>
        <v>49</v>
      </c>
      <c r="J239" s="1">
        <f t="shared" si="1"/>
        <v>0</v>
      </c>
      <c r="K239" s="24"/>
      <c r="L239" s="19"/>
      <c r="M239" s="7">
        <v>45544</v>
      </c>
      <c r="N239" s="7">
        <v>27346</v>
      </c>
      <c r="O239" s="3" t="s">
        <v>43</v>
      </c>
      <c r="P239" s="3" t="s">
        <v>44</v>
      </c>
      <c r="Q239" s="3" t="s">
        <v>45</v>
      </c>
      <c r="R239" s="3"/>
      <c r="S239" s="3" t="s">
        <v>46</v>
      </c>
      <c r="Z239" s="1" t="s">
        <v>47</v>
      </c>
      <c r="AA239" s="1" t="s">
        <v>47</v>
      </c>
      <c r="AB239" s="1" t="s">
        <v>47</v>
      </c>
      <c r="AC239" s="1" t="s">
        <v>47</v>
      </c>
      <c r="AD239" s="1" t="s">
        <v>293</v>
      </c>
      <c r="AE239" s="1" t="s">
        <v>1203</v>
      </c>
      <c r="AF239" s="1" t="s">
        <v>1204</v>
      </c>
    </row>
    <row r="240" spans="1:35" ht="15.75" customHeight="1" x14ac:dyDescent="0.2">
      <c r="A240" s="8" t="s">
        <v>1205</v>
      </c>
      <c r="B240" s="3" t="s">
        <v>1206</v>
      </c>
      <c r="C240" s="3"/>
      <c r="D240" s="3" t="s">
        <v>1118</v>
      </c>
      <c r="E240" s="3">
        <v>3759273</v>
      </c>
      <c r="F240" s="3"/>
      <c r="G240" s="3" t="s">
        <v>654</v>
      </c>
      <c r="H240" s="3">
        <v>25</v>
      </c>
      <c r="I240" s="1">
        <f t="shared" si="0"/>
        <v>43</v>
      </c>
      <c r="J240" s="1">
        <f t="shared" si="1"/>
        <v>0</v>
      </c>
      <c r="K240" s="7"/>
      <c r="L240" s="3"/>
      <c r="M240" s="7">
        <v>45545</v>
      </c>
      <c r="N240" s="7">
        <v>29752</v>
      </c>
      <c r="O240" s="3" t="s">
        <v>106</v>
      </c>
      <c r="P240" s="3" t="s">
        <v>44</v>
      </c>
      <c r="Q240" s="3" t="s">
        <v>51</v>
      </c>
      <c r="R240" s="3"/>
      <c r="S240" s="1" t="s">
        <v>47</v>
      </c>
      <c r="Z240" s="1" t="s">
        <v>47</v>
      </c>
      <c r="AA240" s="1" t="s">
        <v>47</v>
      </c>
      <c r="AB240" s="1" t="s">
        <v>47</v>
      </c>
      <c r="AC240" s="1" t="s">
        <v>47</v>
      </c>
      <c r="AD240" s="1" t="s">
        <v>47</v>
      </c>
    </row>
    <row r="241" spans="1:34" ht="15.75" customHeight="1" x14ac:dyDescent="0.2">
      <c r="A241" s="8" t="s">
        <v>1207</v>
      </c>
      <c r="B241" s="3" t="s">
        <v>1208</v>
      </c>
      <c r="C241" s="3"/>
      <c r="D241" s="3" t="s">
        <v>1118</v>
      </c>
      <c r="E241" s="3">
        <v>3813810</v>
      </c>
      <c r="F241" s="3"/>
      <c r="G241" s="3" t="s">
        <v>654</v>
      </c>
      <c r="H241" s="3"/>
      <c r="I241" s="1">
        <f t="shared" si="0"/>
        <v>42</v>
      </c>
      <c r="J241" s="1">
        <f t="shared" si="1"/>
        <v>0</v>
      </c>
      <c r="K241" s="7"/>
      <c r="L241" s="3"/>
      <c r="M241" s="7">
        <v>45546</v>
      </c>
      <c r="N241" s="7">
        <v>29850</v>
      </c>
      <c r="O241" s="3" t="s">
        <v>177</v>
      </c>
      <c r="P241" s="3" t="s">
        <v>1209</v>
      </c>
      <c r="Q241" s="3" t="s">
        <v>45</v>
      </c>
      <c r="R241" s="3"/>
      <c r="S241" s="3" t="s">
        <v>46</v>
      </c>
      <c r="Z241" s="1" t="s">
        <v>47</v>
      </c>
      <c r="AA241" s="3" t="s">
        <v>46</v>
      </c>
      <c r="AB241" s="1" t="s">
        <v>47</v>
      </c>
      <c r="AC241" s="1" t="s">
        <v>47</v>
      </c>
      <c r="AD241" s="1" t="s">
        <v>1210</v>
      </c>
    </row>
    <row r="242" spans="1:34" ht="15.75" customHeight="1" x14ac:dyDescent="0.2">
      <c r="A242" s="8" t="s">
        <v>1211</v>
      </c>
      <c r="B242" s="3" t="s">
        <v>1212</v>
      </c>
      <c r="C242" s="19"/>
      <c r="D242" s="3" t="s">
        <v>1118</v>
      </c>
      <c r="E242" s="3">
        <v>4548247</v>
      </c>
      <c r="F242" s="3"/>
      <c r="G242" s="3" t="s">
        <v>654</v>
      </c>
      <c r="H242" s="3">
        <v>40</v>
      </c>
      <c r="I242" s="1">
        <f t="shared" si="0"/>
        <v>45</v>
      </c>
      <c r="J242" s="1">
        <f t="shared" si="1"/>
        <v>0</v>
      </c>
      <c r="K242" s="24"/>
      <c r="L242" s="19"/>
      <c r="M242" s="7">
        <v>45552</v>
      </c>
      <c r="N242" s="7">
        <v>29047</v>
      </c>
      <c r="O242" s="3" t="s">
        <v>43</v>
      </c>
      <c r="P242" s="3" t="s">
        <v>166</v>
      </c>
      <c r="Q242" s="3" t="s">
        <v>51</v>
      </c>
      <c r="R242" s="3"/>
      <c r="S242" s="1" t="s">
        <v>47</v>
      </c>
      <c r="Z242" s="1" t="s">
        <v>47</v>
      </c>
      <c r="AA242" s="1" t="s">
        <v>47</v>
      </c>
      <c r="AB242" s="1" t="s">
        <v>47</v>
      </c>
      <c r="AC242" s="1" t="s">
        <v>47</v>
      </c>
      <c r="AD242" s="1" t="s">
        <v>47</v>
      </c>
    </row>
    <row r="243" spans="1:34" ht="15.75" customHeight="1" x14ac:dyDescent="0.2">
      <c r="A243" s="8" t="s">
        <v>1213</v>
      </c>
      <c r="B243" s="3" t="s">
        <v>1214</v>
      </c>
      <c r="C243" s="19"/>
      <c r="D243" s="3" t="s">
        <v>1118</v>
      </c>
      <c r="E243" s="3">
        <v>7346164</v>
      </c>
      <c r="F243" s="3"/>
      <c r="G243" s="1" t="s">
        <v>654</v>
      </c>
      <c r="I243" s="1">
        <f t="shared" si="0"/>
        <v>53</v>
      </c>
      <c r="J243" s="1">
        <f t="shared" si="1"/>
        <v>0</v>
      </c>
      <c r="K243" s="24"/>
      <c r="L243" s="19"/>
      <c r="M243" s="7">
        <v>45554</v>
      </c>
      <c r="N243" s="7">
        <v>26006</v>
      </c>
      <c r="O243" s="3" t="s">
        <v>43</v>
      </c>
      <c r="P243" s="3" t="s">
        <v>166</v>
      </c>
      <c r="Q243" s="3" t="s">
        <v>45</v>
      </c>
      <c r="S243" s="1" t="s">
        <v>47</v>
      </c>
      <c r="Z243" s="1" t="s">
        <v>1215</v>
      </c>
      <c r="AA243" s="1" t="s">
        <v>47</v>
      </c>
      <c r="AB243" s="1" t="s">
        <v>47</v>
      </c>
      <c r="AC243" s="1" t="s">
        <v>47</v>
      </c>
      <c r="AD243" s="1" t="s">
        <v>47</v>
      </c>
    </row>
    <row r="244" spans="1:34" ht="15.75" customHeight="1" x14ac:dyDescent="0.2">
      <c r="A244" s="8" t="s">
        <v>1216</v>
      </c>
      <c r="B244" s="3" t="s">
        <v>1217</v>
      </c>
      <c r="C244" s="3"/>
      <c r="D244" s="3" t="s">
        <v>1118</v>
      </c>
      <c r="E244" s="3">
        <v>7358597</v>
      </c>
      <c r="F244" s="3"/>
      <c r="G244" s="1" t="s">
        <v>644</v>
      </c>
      <c r="I244" s="1">
        <f t="shared" si="0"/>
        <v>44</v>
      </c>
      <c r="J244" s="1">
        <f t="shared" si="1"/>
        <v>0</v>
      </c>
      <c r="K244" s="7"/>
      <c r="L244" s="3"/>
      <c r="M244" s="7">
        <v>45554</v>
      </c>
      <c r="N244" s="7">
        <v>29306</v>
      </c>
      <c r="O244" s="3" t="s">
        <v>43</v>
      </c>
      <c r="P244" s="3" t="s">
        <v>44</v>
      </c>
      <c r="Q244" s="3" t="s">
        <v>45</v>
      </c>
      <c r="S244" s="1" t="s">
        <v>46</v>
      </c>
      <c r="Z244" s="1" t="s">
        <v>47</v>
      </c>
      <c r="AA244" s="1" t="s">
        <v>47</v>
      </c>
      <c r="AB244" s="1" t="s">
        <v>47</v>
      </c>
      <c r="AC244" s="1" t="s">
        <v>47</v>
      </c>
      <c r="AD244" s="1" t="s">
        <v>256</v>
      </c>
      <c r="AE244" s="1" t="s">
        <v>1218</v>
      </c>
      <c r="AF244" s="1" t="s">
        <v>1219</v>
      </c>
      <c r="AG244" s="1" t="s">
        <v>1220</v>
      </c>
    </row>
    <row r="245" spans="1:34" ht="15.75" customHeight="1" x14ac:dyDescent="0.2">
      <c r="A245" s="8" t="s">
        <v>1221</v>
      </c>
      <c r="B245" s="3" t="s">
        <v>1222</v>
      </c>
      <c r="C245" s="19"/>
      <c r="D245" s="3" t="s">
        <v>1118</v>
      </c>
      <c r="E245" s="3">
        <v>4093665</v>
      </c>
      <c r="F245" s="3"/>
      <c r="G245" s="1" t="s">
        <v>644</v>
      </c>
      <c r="I245" s="1">
        <f t="shared" si="0"/>
        <v>40</v>
      </c>
      <c r="J245" s="1">
        <f t="shared" si="1"/>
        <v>0</v>
      </c>
      <c r="K245" s="24"/>
      <c r="L245" s="19"/>
      <c r="M245" s="7">
        <v>45561</v>
      </c>
      <c r="N245" s="7">
        <v>30667</v>
      </c>
      <c r="O245" s="3" t="s">
        <v>43</v>
      </c>
      <c r="P245" s="3" t="s">
        <v>44</v>
      </c>
      <c r="Q245" s="3" t="s">
        <v>45</v>
      </c>
      <c r="S245" s="1" t="s">
        <v>46</v>
      </c>
      <c r="Z245" s="1" t="s">
        <v>47</v>
      </c>
      <c r="AA245" s="1" t="s">
        <v>47</v>
      </c>
      <c r="AB245" s="1">
        <v>7</v>
      </c>
      <c r="AC245" s="1">
        <v>-10</v>
      </c>
      <c r="AD245" s="1" t="s">
        <v>1223</v>
      </c>
      <c r="AE245" s="1" t="s">
        <v>347</v>
      </c>
      <c r="AF245" s="1" t="s">
        <v>950</v>
      </c>
      <c r="AG245" s="1" t="s">
        <v>1224</v>
      </c>
    </row>
    <row r="246" spans="1:34" ht="15.75" customHeight="1" x14ac:dyDescent="0.2">
      <c r="A246" s="8" t="s">
        <v>1225</v>
      </c>
      <c r="B246" s="3" t="s">
        <v>1226</v>
      </c>
      <c r="C246" s="3"/>
      <c r="D246" s="3" t="s">
        <v>1118</v>
      </c>
      <c r="E246" s="3">
        <v>7359928</v>
      </c>
      <c r="F246" s="3"/>
      <c r="G246" s="1" t="s">
        <v>644</v>
      </c>
      <c r="H246" s="1">
        <v>13</v>
      </c>
      <c r="I246" s="1">
        <f t="shared" si="0"/>
        <v>17</v>
      </c>
      <c r="J246" s="1">
        <f t="shared" si="1"/>
        <v>1</v>
      </c>
      <c r="K246" s="7"/>
      <c r="L246" s="3"/>
      <c r="M246" s="7">
        <v>45566</v>
      </c>
      <c r="N246" s="7">
        <v>39063</v>
      </c>
      <c r="O246" s="3" t="s">
        <v>43</v>
      </c>
      <c r="P246" s="3" t="s">
        <v>44</v>
      </c>
      <c r="Q246" s="3" t="s">
        <v>51</v>
      </c>
      <c r="S246" s="1" t="s">
        <v>46</v>
      </c>
      <c r="Z246" s="1" t="s">
        <v>47</v>
      </c>
      <c r="AA246" s="1" t="s">
        <v>46</v>
      </c>
      <c r="AB246" s="1" t="s">
        <v>47</v>
      </c>
      <c r="AC246" s="1" t="s">
        <v>47</v>
      </c>
      <c r="AD246" s="1" t="s">
        <v>255</v>
      </c>
      <c r="AE246" s="1" t="s">
        <v>1227</v>
      </c>
      <c r="AF246" s="1" t="s">
        <v>1228</v>
      </c>
      <c r="AG246" s="1" t="s">
        <v>1229</v>
      </c>
      <c r="AH246" s="1" t="s">
        <v>1230</v>
      </c>
    </row>
    <row r="247" spans="1:34" ht="15.75" customHeight="1" x14ac:dyDescent="0.2">
      <c r="A247" s="8" t="s">
        <v>1231</v>
      </c>
      <c r="B247" s="1" t="s">
        <v>1232</v>
      </c>
      <c r="C247" s="19"/>
      <c r="D247" s="1" t="s">
        <v>1118</v>
      </c>
      <c r="E247" s="1">
        <v>3833093</v>
      </c>
      <c r="G247" s="1" t="s">
        <v>654</v>
      </c>
      <c r="H247" s="1">
        <v>37</v>
      </c>
      <c r="I247" s="1">
        <f t="shared" si="0"/>
        <v>51</v>
      </c>
      <c r="J247" s="1">
        <f t="shared" si="1"/>
        <v>0</v>
      </c>
      <c r="K247" s="24"/>
      <c r="L247" s="19"/>
      <c r="M247" s="7">
        <v>45573</v>
      </c>
      <c r="N247" s="7">
        <v>26738</v>
      </c>
      <c r="O247" s="1" t="s">
        <v>43</v>
      </c>
      <c r="P247" s="3" t="s">
        <v>44</v>
      </c>
      <c r="Q247" s="1" t="s">
        <v>51</v>
      </c>
      <c r="R247" s="1" t="s">
        <v>1233</v>
      </c>
      <c r="S247" s="1" t="s">
        <v>46</v>
      </c>
      <c r="Z247" s="1" t="s">
        <v>47</v>
      </c>
      <c r="AA247" s="1" t="s">
        <v>47</v>
      </c>
      <c r="AB247" s="1" t="s">
        <v>47</v>
      </c>
      <c r="AC247" s="1" t="s">
        <v>47</v>
      </c>
      <c r="AD247" s="1" t="s">
        <v>1234</v>
      </c>
    </row>
    <row r="248" spans="1:34" ht="15.75" customHeight="1" x14ac:dyDescent="0.2">
      <c r="A248" s="8" t="s">
        <v>1235</v>
      </c>
      <c r="B248" s="3" t="s">
        <v>1236</v>
      </c>
      <c r="C248" s="3"/>
      <c r="D248" s="3" t="s">
        <v>1118</v>
      </c>
      <c r="E248" s="3">
        <v>7355990</v>
      </c>
      <c r="F248" s="3"/>
      <c r="G248" s="1" t="s">
        <v>644</v>
      </c>
      <c r="I248" s="1">
        <f t="shared" si="0"/>
        <v>23</v>
      </c>
      <c r="J248" s="1">
        <f t="shared" si="1"/>
        <v>1</v>
      </c>
      <c r="K248" s="7"/>
      <c r="M248" s="7">
        <v>45575</v>
      </c>
      <c r="N248" s="7">
        <v>37021</v>
      </c>
      <c r="O248" s="3" t="s">
        <v>177</v>
      </c>
      <c r="P248" s="3" t="s">
        <v>100</v>
      </c>
      <c r="Q248" s="3" t="s">
        <v>45</v>
      </c>
      <c r="S248" s="1" t="s">
        <v>46</v>
      </c>
      <c r="Z248" s="1" t="s">
        <v>1237</v>
      </c>
      <c r="AA248" s="1" t="s">
        <v>1238</v>
      </c>
      <c r="AB248" s="1" t="s">
        <v>47</v>
      </c>
      <c r="AC248" s="1" t="s">
        <v>47</v>
      </c>
      <c r="AD248" s="1" t="s">
        <v>60</v>
      </c>
    </row>
    <row r="249" spans="1:34" ht="15.75" customHeight="1" x14ac:dyDescent="0.2">
      <c r="A249" s="8" t="s">
        <v>1239</v>
      </c>
      <c r="B249" s="3" t="s">
        <v>1240</v>
      </c>
      <c r="C249" s="3"/>
      <c r="D249" s="3" t="s">
        <v>1118</v>
      </c>
      <c r="E249" s="3">
        <v>7233865</v>
      </c>
      <c r="F249" s="3"/>
      <c r="G249" s="1" t="s">
        <v>644</v>
      </c>
      <c r="I249" s="1">
        <f t="shared" si="0"/>
        <v>70</v>
      </c>
      <c r="J249" s="1">
        <f t="shared" si="1"/>
        <v>0</v>
      </c>
      <c r="K249" s="7"/>
      <c r="L249" s="3"/>
      <c r="M249" s="7">
        <v>45575</v>
      </c>
      <c r="N249" s="7">
        <v>19668</v>
      </c>
      <c r="O249" s="3" t="s">
        <v>50</v>
      </c>
      <c r="P249" s="3" t="s">
        <v>67</v>
      </c>
      <c r="Q249" s="3" t="s">
        <v>45</v>
      </c>
      <c r="S249" s="1" t="s">
        <v>46</v>
      </c>
      <c r="Z249" s="1" t="s">
        <v>47</v>
      </c>
      <c r="AA249" s="1" t="s">
        <v>47</v>
      </c>
      <c r="AB249" s="1" t="s">
        <v>47</v>
      </c>
      <c r="AC249" s="1" t="s">
        <v>47</v>
      </c>
      <c r="AD249" s="1" t="s">
        <v>278</v>
      </c>
      <c r="AE249" s="1" t="s">
        <v>1241</v>
      </c>
      <c r="AF249" s="1" t="s">
        <v>1242</v>
      </c>
      <c r="AG249" s="1" t="s">
        <v>1243</v>
      </c>
      <c r="AH249" s="1" t="s">
        <v>1244</v>
      </c>
    </row>
    <row r="250" spans="1:34" ht="15.75" customHeight="1" x14ac:dyDescent="0.2">
      <c r="A250" s="8" t="s">
        <v>1245</v>
      </c>
      <c r="B250" s="3" t="s">
        <v>1246</v>
      </c>
      <c r="C250" s="3"/>
      <c r="D250" s="3" t="s">
        <v>1118</v>
      </c>
      <c r="E250" s="3">
        <v>7358814</v>
      </c>
      <c r="F250" s="3"/>
      <c r="G250" s="1" t="s">
        <v>654</v>
      </c>
      <c r="I250" s="1">
        <f t="shared" si="0"/>
        <v>18</v>
      </c>
      <c r="J250" s="1">
        <f t="shared" si="1"/>
        <v>1</v>
      </c>
      <c r="K250" s="7"/>
      <c r="L250" s="3"/>
      <c r="M250" s="7">
        <v>45576</v>
      </c>
      <c r="N250" s="7">
        <v>38768</v>
      </c>
      <c r="O250" s="3" t="s">
        <v>1247</v>
      </c>
      <c r="P250" s="3" t="s">
        <v>44</v>
      </c>
      <c r="Q250" s="3" t="s">
        <v>45</v>
      </c>
      <c r="S250" s="1" t="s">
        <v>46</v>
      </c>
      <c r="Z250" s="1" t="s">
        <v>47</v>
      </c>
      <c r="AA250" s="1" t="s">
        <v>47</v>
      </c>
      <c r="AB250" s="1" t="s">
        <v>47</v>
      </c>
      <c r="AC250" s="1" t="s">
        <v>47</v>
      </c>
      <c r="AD250" s="1" t="s">
        <v>1248</v>
      </c>
      <c r="AE250" s="1" t="s">
        <v>1249</v>
      </c>
      <c r="AF250" s="1" t="s">
        <v>1250</v>
      </c>
    </row>
    <row r="251" spans="1:34" ht="15.75" customHeight="1" x14ac:dyDescent="0.2">
      <c r="A251" s="8" t="s">
        <v>1251</v>
      </c>
      <c r="B251" s="3" t="s">
        <v>1252</v>
      </c>
      <c r="C251" s="19"/>
      <c r="D251" s="3" t="s">
        <v>1118</v>
      </c>
      <c r="E251" s="3">
        <v>7342298</v>
      </c>
      <c r="F251" s="3"/>
      <c r="G251" s="3" t="s">
        <v>644</v>
      </c>
      <c r="H251" s="3"/>
      <c r="I251" s="1">
        <f t="shared" si="0"/>
        <v>50</v>
      </c>
      <c r="J251" s="1">
        <f t="shared" si="1"/>
        <v>0</v>
      </c>
      <c r="K251" s="24"/>
      <c r="L251" s="19"/>
      <c r="M251" s="7">
        <v>45586</v>
      </c>
      <c r="N251" s="7">
        <v>27154</v>
      </c>
      <c r="O251" s="3" t="s">
        <v>50</v>
      </c>
      <c r="P251" s="3" t="s">
        <v>91</v>
      </c>
      <c r="Q251" s="3" t="s">
        <v>45</v>
      </c>
      <c r="S251" s="3" t="s">
        <v>68</v>
      </c>
      <c r="Z251" s="1" t="s">
        <v>47</v>
      </c>
      <c r="AA251" s="1" t="s">
        <v>47</v>
      </c>
      <c r="AB251" s="1" t="s">
        <v>47</v>
      </c>
      <c r="AC251" s="1" t="s">
        <v>47</v>
      </c>
      <c r="AD251" s="1" t="s">
        <v>1253</v>
      </c>
      <c r="AE251" s="1" t="s">
        <v>1254</v>
      </c>
      <c r="AF251" s="1" t="s">
        <v>1255</v>
      </c>
      <c r="AG251" s="1" t="s">
        <v>1256</v>
      </c>
      <c r="AH251" s="1" t="s">
        <v>1257</v>
      </c>
    </row>
    <row r="252" spans="1:34" ht="15.75" customHeight="1" x14ac:dyDescent="0.2">
      <c r="A252" s="8" t="s">
        <v>1258</v>
      </c>
      <c r="B252" s="3" t="s">
        <v>1259</v>
      </c>
      <c r="C252" s="3"/>
      <c r="D252" s="3" t="s">
        <v>1118</v>
      </c>
      <c r="E252" s="3">
        <v>7331075</v>
      </c>
      <c r="F252" s="3"/>
      <c r="G252" s="3" t="s">
        <v>644</v>
      </c>
      <c r="H252" s="3"/>
      <c r="I252" s="1">
        <f t="shared" si="0"/>
        <v>37</v>
      </c>
      <c r="J252" s="1">
        <f t="shared" si="1"/>
        <v>1</v>
      </c>
      <c r="K252" s="7"/>
      <c r="L252" s="3"/>
      <c r="M252" s="7">
        <v>45586</v>
      </c>
      <c r="N252" s="7">
        <v>31830</v>
      </c>
      <c r="O252" s="3" t="s">
        <v>50</v>
      </c>
      <c r="P252" s="3" t="s">
        <v>77</v>
      </c>
      <c r="Q252" s="3" t="s">
        <v>45</v>
      </c>
      <c r="R252" s="3"/>
      <c r="S252" s="1" t="s">
        <v>47</v>
      </c>
      <c r="Z252" s="1" t="s">
        <v>1260</v>
      </c>
      <c r="AA252" s="1" t="s">
        <v>46</v>
      </c>
      <c r="AB252" s="1" t="s">
        <v>47</v>
      </c>
      <c r="AC252" s="1" t="s">
        <v>47</v>
      </c>
      <c r="AD252" s="1" t="s">
        <v>47</v>
      </c>
    </row>
    <row r="253" spans="1:34" ht="15.75" customHeight="1" x14ac:dyDescent="0.2">
      <c r="A253" s="8" t="s">
        <v>1261</v>
      </c>
      <c r="B253" s="3" t="s">
        <v>1262</v>
      </c>
      <c r="C253" s="19"/>
      <c r="D253" s="3" t="s">
        <v>1118</v>
      </c>
      <c r="E253" s="3">
        <v>2955307</v>
      </c>
      <c r="F253" s="3"/>
      <c r="G253" s="3" t="s">
        <v>654</v>
      </c>
      <c r="H253" s="3" t="s">
        <v>1263</v>
      </c>
      <c r="I253" s="1">
        <f t="shared" si="0"/>
        <v>53</v>
      </c>
      <c r="J253" s="1">
        <f t="shared" si="1"/>
        <v>0</v>
      </c>
      <c r="K253" s="24"/>
      <c r="L253" s="19"/>
      <c r="M253" s="7">
        <v>45587</v>
      </c>
      <c r="N253" s="7">
        <v>26069</v>
      </c>
      <c r="O253" s="3" t="s">
        <v>50</v>
      </c>
      <c r="P253" s="3" t="s">
        <v>77</v>
      </c>
      <c r="Q253" s="3" t="s">
        <v>45</v>
      </c>
      <c r="R253" s="3"/>
      <c r="S253" s="1" t="s">
        <v>47</v>
      </c>
      <c r="Z253" s="1" t="s">
        <v>1264</v>
      </c>
      <c r="AA253" s="1" t="s">
        <v>46</v>
      </c>
      <c r="AB253" s="1" t="s">
        <v>47</v>
      </c>
      <c r="AC253" s="1" t="s">
        <v>47</v>
      </c>
      <c r="AD253" s="1" t="s">
        <v>47</v>
      </c>
    </row>
    <row r="254" spans="1:34" ht="15.75" customHeight="1" x14ac:dyDescent="0.2">
      <c r="A254" s="8" t="s">
        <v>1265</v>
      </c>
      <c r="B254" s="3" t="s">
        <v>1266</v>
      </c>
      <c r="C254" s="3"/>
      <c r="D254" s="3" t="s">
        <v>1118</v>
      </c>
      <c r="E254" s="3">
        <v>7377850</v>
      </c>
      <c r="F254" s="3"/>
      <c r="G254" s="3" t="s">
        <v>644</v>
      </c>
      <c r="I254" s="1">
        <f t="shared" si="0"/>
        <v>76</v>
      </c>
      <c r="J254" s="1">
        <f t="shared" si="1"/>
        <v>0</v>
      </c>
      <c r="K254" s="7"/>
      <c r="L254" s="3"/>
      <c r="M254" s="7">
        <v>45587</v>
      </c>
      <c r="N254" s="7">
        <v>17504</v>
      </c>
      <c r="O254" s="3" t="s">
        <v>50</v>
      </c>
      <c r="P254" s="3" t="s">
        <v>67</v>
      </c>
      <c r="Q254" s="3" t="s">
        <v>45</v>
      </c>
      <c r="S254" s="3" t="s">
        <v>68</v>
      </c>
      <c r="Z254" s="1" t="s">
        <v>47</v>
      </c>
      <c r="AA254" s="1" t="s">
        <v>47</v>
      </c>
      <c r="AB254" s="1" t="s">
        <v>1174</v>
      </c>
      <c r="AC254" s="1" t="s">
        <v>1267</v>
      </c>
      <c r="AD254" s="1" t="s">
        <v>1268</v>
      </c>
      <c r="AE254" s="1" t="s">
        <v>1269</v>
      </c>
      <c r="AF254" s="1" t="s">
        <v>1270</v>
      </c>
    </row>
    <row r="255" spans="1:34" ht="15.75" customHeight="1" x14ac:dyDescent="0.2">
      <c r="A255" s="8" t="s">
        <v>1271</v>
      </c>
      <c r="B255" s="3" t="s">
        <v>1272</v>
      </c>
      <c r="C255" s="3"/>
      <c r="D255" s="3" t="s">
        <v>1118</v>
      </c>
      <c r="E255" s="1" t="s">
        <v>1273</v>
      </c>
      <c r="G255" s="3" t="s">
        <v>644</v>
      </c>
      <c r="H255" s="1" t="s">
        <v>1274</v>
      </c>
      <c r="I255" s="1">
        <f t="shared" si="0"/>
        <v>76</v>
      </c>
      <c r="J255" s="1">
        <f t="shared" si="1"/>
        <v>0</v>
      </c>
      <c r="K255" s="7"/>
      <c r="L255" s="3"/>
      <c r="M255" s="7">
        <v>45595</v>
      </c>
      <c r="N255" s="7">
        <v>17476</v>
      </c>
      <c r="O255" s="3" t="s">
        <v>50</v>
      </c>
      <c r="P255" s="3" t="s">
        <v>166</v>
      </c>
      <c r="Q255" s="3" t="s">
        <v>45</v>
      </c>
      <c r="S255" s="1" t="s">
        <v>68</v>
      </c>
      <c r="Z255" s="1" t="s">
        <v>1275</v>
      </c>
      <c r="AA255" s="1" t="s">
        <v>46</v>
      </c>
      <c r="AB255" s="1" t="s">
        <v>47</v>
      </c>
      <c r="AC255" s="1" t="s">
        <v>47</v>
      </c>
      <c r="AD255" s="1" t="s">
        <v>47</v>
      </c>
    </row>
    <row r="256" spans="1:34" ht="15.75" customHeight="1" x14ac:dyDescent="0.2">
      <c r="A256" s="8" t="s">
        <v>1276</v>
      </c>
      <c r="B256" s="3" t="s">
        <v>1277</v>
      </c>
      <c r="C256" s="19"/>
      <c r="D256" s="3" t="s">
        <v>1118</v>
      </c>
      <c r="E256" s="3">
        <v>7157969</v>
      </c>
      <c r="F256" s="3"/>
      <c r="G256" s="3" t="s">
        <v>644</v>
      </c>
      <c r="H256" s="1">
        <v>9</v>
      </c>
      <c r="I256" s="1">
        <f t="shared" si="0"/>
        <v>19</v>
      </c>
      <c r="J256" s="1">
        <f t="shared" si="1"/>
        <v>1</v>
      </c>
      <c r="K256" s="24"/>
      <c r="L256" s="19"/>
      <c r="M256" s="7">
        <v>45601</v>
      </c>
      <c r="N256" s="7">
        <v>38310</v>
      </c>
      <c r="O256" s="3" t="s">
        <v>106</v>
      </c>
      <c r="P256" s="3" t="s">
        <v>44</v>
      </c>
      <c r="Q256" s="3" t="s">
        <v>51</v>
      </c>
      <c r="R256" s="1" t="s">
        <v>1278</v>
      </c>
      <c r="S256" s="1" t="s">
        <v>46</v>
      </c>
      <c r="Z256" s="1" t="s">
        <v>47</v>
      </c>
      <c r="AA256" s="1" t="s">
        <v>47</v>
      </c>
      <c r="AB256" s="1" t="s">
        <v>1279</v>
      </c>
      <c r="AC256" s="1" t="s">
        <v>1174</v>
      </c>
      <c r="AD256" s="1" t="s">
        <v>300</v>
      </c>
      <c r="AE256" s="1" t="s">
        <v>845</v>
      </c>
      <c r="AF256" s="1" t="s">
        <v>391</v>
      </c>
      <c r="AG256" s="1" t="s">
        <v>1280</v>
      </c>
      <c r="AH256" s="1" t="s">
        <v>1281</v>
      </c>
    </row>
    <row r="257" spans="1:36" ht="15.75" customHeight="1" x14ac:dyDescent="0.2">
      <c r="A257" s="8" t="s">
        <v>1282</v>
      </c>
      <c r="B257" s="3" t="s">
        <v>1283</v>
      </c>
      <c r="C257" s="3"/>
      <c r="D257" s="3" t="s">
        <v>1118</v>
      </c>
      <c r="E257" s="3">
        <v>7386469</v>
      </c>
      <c r="F257" s="3"/>
      <c r="G257" s="3" t="s">
        <v>654</v>
      </c>
      <c r="I257" s="1">
        <f t="shared" ref="I257:I285" si="2">DATEDIF(N257,M257,"Y")</f>
        <v>28</v>
      </c>
      <c r="J257" s="1">
        <f t="shared" ref="J257:J285" si="3">IF(I257&lt;=39,1,0)</f>
        <v>1</v>
      </c>
      <c r="K257" s="7"/>
      <c r="L257" s="3"/>
      <c r="M257" s="7">
        <v>45604</v>
      </c>
      <c r="N257" s="7">
        <v>35202</v>
      </c>
      <c r="O257" s="3" t="s">
        <v>50</v>
      </c>
      <c r="P257" s="3" t="s">
        <v>1284</v>
      </c>
      <c r="Q257" s="3" t="s">
        <v>45</v>
      </c>
      <c r="S257" s="1" t="s">
        <v>46</v>
      </c>
      <c r="Z257" s="1" t="s">
        <v>47</v>
      </c>
      <c r="AA257" s="1" t="s">
        <v>46</v>
      </c>
      <c r="AB257" s="1" t="s">
        <v>47</v>
      </c>
      <c r="AC257" s="1" t="s">
        <v>47</v>
      </c>
      <c r="AD257" s="1" t="s">
        <v>1285</v>
      </c>
      <c r="AE257" s="1" t="s">
        <v>1286</v>
      </c>
    </row>
    <row r="258" spans="1:36" ht="15.75" customHeight="1" x14ac:dyDescent="0.2">
      <c r="A258" s="8" t="s">
        <v>1287</v>
      </c>
      <c r="B258" s="3" t="s">
        <v>1288</v>
      </c>
      <c r="C258" s="3"/>
      <c r="D258" s="3" t="s">
        <v>1118</v>
      </c>
      <c r="E258" s="3">
        <v>3199055</v>
      </c>
      <c r="F258" s="3"/>
      <c r="G258" s="3" t="s">
        <v>654</v>
      </c>
      <c r="H258" s="1">
        <v>23</v>
      </c>
      <c r="I258" s="1">
        <f t="shared" si="2"/>
        <v>43</v>
      </c>
      <c r="J258" s="1">
        <f t="shared" si="3"/>
        <v>0</v>
      </c>
      <c r="K258" s="7"/>
      <c r="L258" s="3"/>
      <c r="M258" s="7">
        <v>45608</v>
      </c>
      <c r="N258" s="7">
        <v>29642</v>
      </c>
      <c r="O258" s="3" t="s">
        <v>50</v>
      </c>
      <c r="P258" s="3" t="s">
        <v>91</v>
      </c>
      <c r="Q258" s="3" t="s">
        <v>51</v>
      </c>
      <c r="S258" s="1" t="s">
        <v>68</v>
      </c>
      <c r="Z258" s="1" t="s">
        <v>47</v>
      </c>
      <c r="AA258" s="1" t="s">
        <v>46</v>
      </c>
      <c r="AB258" s="1" t="s">
        <v>47</v>
      </c>
      <c r="AC258" s="1" t="s">
        <v>47</v>
      </c>
      <c r="AD258" s="1" t="s">
        <v>1289</v>
      </c>
      <c r="AE258" s="1" t="s">
        <v>1290</v>
      </c>
      <c r="AF258" s="1" t="s">
        <v>1291</v>
      </c>
    </row>
    <row r="259" spans="1:36" ht="15.75" customHeight="1" x14ac:dyDescent="0.2">
      <c r="A259" s="8" t="s">
        <v>1292</v>
      </c>
      <c r="B259" s="3" t="s">
        <v>1293</v>
      </c>
      <c r="C259" s="19"/>
      <c r="D259" s="3" t="s">
        <v>1118</v>
      </c>
      <c r="E259" s="3">
        <v>7402601</v>
      </c>
      <c r="F259" s="3"/>
      <c r="G259" s="3" t="s">
        <v>644</v>
      </c>
      <c r="I259" s="1">
        <f t="shared" si="2"/>
        <v>53</v>
      </c>
      <c r="J259" s="1">
        <f t="shared" si="3"/>
        <v>0</v>
      </c>
      <c r="K259" s="24"/>
      <c r="L259" s="19"/>
      <c r="M259" s="7">
        <v>45635</v>
      </c>
      <c r="N259" s="7">
        <v>26047</v>
      </c>
      <c r="O259" s="3" t="s">
        <v>106</v>
      </c>
      <c r="P259" s="3" t="s">
        <v>44</v>
      </c>
      <c r="Q259" s="3" t="s">
        <v>45</v>
      </c>
      <c r="R259" s="3"/>
      <c r="S259" s="1" t="s">
        <v>46</v>
      </c>
      <c r="Z259" s="1" t="s">
        <v>47</v>
      </c>
      <c r="AA259" s="1" t="s">
        <v>47</v>
      </c>
      <c r="AB259" s="1" t="s">
        <v>47</v>
      </c>
      <c r="AC259" s="1" t="s">
        <v>47</v>
      </c>
      <c r="AD259" s="1" t="s">
        <v>346</v>
      </c>
      <c r="AE259" s="1" t="s">
        <v>950</v>
      </c>
      <c r="AF259" s="1" t="s">
        <v>1294</v>
      </c>
      <c r="AG259" s="1" t="s">
        <v>1295</v>
      </c>
      <c r="AH259" s="1" t="s">
        <v>1296</v>
      </c>
      <c r="AI259" s="1" t="s">
        <v>1297</v>
      </c>
    </row>
    <row r="260" spans="1:36" ht="14.25" customHeight="1" x14ac:dyDescent="0.2">
      <c r="A260" s="8" t="s">
        <v>1298</v>
      </c>
      <c r="B260" s="3" t="s">
        <v>1299</v>
      </c>
      <c r="C260" s="19"/>
      <c r="D260" s="3" t="s">
        <v>1118</v>
      </c>
      <c r="E260" s="3">
        <v>4873989</v>
      </c>
      <c r="F260" s="3"/>
      <c r="G260" s="3" t="s">
        <v>644</v>
      </c>
      <c r="H260" s="3">
        <v>71</v>
      </c>
      <c r="I260" s="1">
        <f t="shared" si="2"/>
        <v>74</v>
      </c>
      <c r="J260" s="1">
        <f t="shared" si="3"/>
        <v>0</v>
      </c>
      <c r="K260" s="24"/>
      <c r="L260" s="19"/>
      <c r="M260" s="7">
        <v>45644</v>
      </c>
      <c r="N260" s="7">
        <v>18472</v>
      </c>
      <c r="O260" s="3" t="s">
        <v>50</v>
      </c>
      <c r="P260" s="3" t="s">
        <v>77</v>
      </c>
      <c r="Q260" s="3" t="s">
        <v>45</v>
      </c>
      <c r="R260" s="3"/>
      <c r="S260" s="1" t="s">
        <v>68</v>
      </c>
      <c r="Z260" s="25" t="s">
        <v>1300</v>
      </c>
      <c r="AA260" s="1" t="s">
        <v>46</v>
      </c>
      <c r="AB260" s="1" t="s">
        <v>47</v>
      </c>
      <c r="AC260" s="1" t="s">
        <v>47</v>
      </c>
      <c r="AD260" s="1" t="s">
        <v>47</v>
      </c>
    </row>
    <row r="261" spans="1:36" ht="15.75" customHeight="1" x14ac:dyDescent="0.2">
      <c r="A261" s="8" t="s">
        <v>1301</v>
      </c>
      <c r="B261" s="3" t="s">
        <v>1302</v>
      </c>
      <c r="C261" s="3"/>
      <c r="D261" s="3" t="s">
        <v>1118</v>
      </c>
      <c r="E261" s="3">
        <v>7405889</v>
      </c>
      <c r="F261" s="3"/>
      <c r="G261" s="3" t="s">
        <v>654</v>
      </c>
      <c r="H261" s="3"/>
      <c r="I261" s="1">
        <f t="shared" si="2"/>
        <v>64</v>
      </c>
      <c r="J261" s="1">
        <f t="shared" si="3"/>
        <v>0</v>
      </c>
      <c r="K261" s="7"/>
      <c r="L261" s="3"/>
      <c r="M261" s="7">
        <v>45645</v>
      </c>
      <c r="N261" s="7">
        <v>22093</v>
      </c>
      <c r="O261" s="3" t="s">
        <v>151</v>
      </c>
      <c r="P261" s="3" t="s">
        <v>44</v>
      </c>
      <c r="Q261" s="3" t="s">
        <v>45</v>
      </c>
      <c r="R261" s="3"/>
      <c r="S261" s="3" t="s">
        <v>46</v>
      </c>
      <c r="Z261" s="1" t="s">
        <v>47</v>
      </c>
      <c r="AA261" s="1" t="s">
        <v>47</v>
      </c>
      <c r="AB261" s="1" t="s">
        <v>47</v>
      </c>
      <c r="AC261" s="1" t="s">
        <v>47</v>
      </c>
      <c r="AD261" s="1" t="s">
        <v>1303</v>
      </c>
      <c r="AE261" s="1" t="s">
        <v>1304</v>
      </c>
    </row>
    <row r="262" spans="1:36" ht="15.75" customHeight="1" x14ac:dyDescent="0.2">
      <c r="A262" s="8" t="s">
        <v>1305</v>
      </c>
      <c r="B262" s="3" t="s">
        <v>1306</v>
      </c>
      <c r="C262" s="19"/>
      <c r="D262" s="3" t="s">
        <v>1118</v>
      </c>
      <c r="E262" s="3">
        <v>7409158</v>
      </c>
      <c r="F262" s="3"/>
      <c r="G262" s="3" t="s">
        <v>644</v>
      </c>
      <c r="H262" s="3"/>
      <c r="I262" s="1">
        <f t="shared" si="2"/>
        <v>18</v>
      </c>
      <c r="J262" s="1">
        <f t="shared" si="3"/>
        <v>1</v>
      </c>
      <c r="K262" s="24"/>
      <c r="L262" s="19"/>
      <c r="M262" s="7">
        <v>45648</v>
      </c>
      <c r="N262" s="7">
        <v>39022</v>
      </c>
      <c r="O262" s="3" t="s">
        <v>220</v>
      </c>
      <c r="P262" s="3" t="s">
        <v>221</v>
      </c>
      <c r="Q262" s="3" t="s">
        <v>45</v>
      </c>
      <c r="R262" s="3" t="s">
        <v>1307</v>
      </c>
      <c r="S262" s="1" t="s">
        <v>47</v>
      </c>
      <c r="Z262" s="1" t="s">
        <v>47</v>
      </c>
      <c r="AA262" s="1" t="s">
        <v>46</v>
      </c>
      <c r="AB262" s="1" t="s">
        <v>47</v>
      </c>
      <c r="AC262" s="1" t="s">
        <v>47</v>
      </c>
      <c r="AD262" s="1" t="s">
        <v>702</v>
      </c>
    </row>
    <row r="263" spans="1:36" ht="15.75" customHeight="1" x14ac:dyDescent="0.2">
      <c r="A263" s="8" t="s">
        <v>1308</v>
      </c>
      <c r="B263" s="3" t="s">
        <v>1309</v>
      </c>
      <c r="C263" s="3"/>
      <c r="D263" s="3" t="s">
        <v>1118</v>
      </c>
      <c r="E263" s="3">
        <v>2690438</v>
      </c>
      <c r="F263" s="3"/>
      <c r="I263" s="1">
        <f t="shared" si="2"/>
        <v>42</v>
      </c>
      <c r="J263" s="1">
        <f t="shared" si="3"/>
        <v>0</v>
      </c>
      <c r="K263" s="7"/>
      <c r="L263" s="3"/>
      <c r="M263" s="7">
        <v>45656</v>
      </c>
      <c r="N263" s="7">
        <v>30167</v>
      </c>
      <c r="O263" s="3" t="s">
        <v>531</v>
      </c>
      <c r="P263" s="3" t="s">
        <v>221</v>
      </c>
      <c r="Q263" s="3" t="s">
        <v>45</v>
      </c>
      <c r="S263" s="3" t="s">
        <v>47</v>
      </c>
      <c r="Z263" s="1" t="s">
        <v>47</v>
      </c>
      <c r="AA263" s="1" t="s">
        <v>46</v>
      </c>
      <c r="AB263" s="1" t="s">
        <v>47</v>
      </c>
      <c r="AC263" s="1" t="s">
        <v>47</v>
      </c>
      <c r="AD263" s="1" t="s">
        <v>1310</v>
      </c>
      <c r="AE263" s="1" t="s">
        <v>1311</v>
      </c>
    </row>
    <row r="264" spans="1:36" ht="15.75" customHeight="1" x14ac:dyDescent="0.2">
      <c r="A264" s="8" t="s">
        <v>1312</v>
      </c>
      <c r="B264" s="3" t="s">
        <v>1313</v>
      </c>
      <c r="C264" s="3"/>
      <c r="D264" s="3" t="s">
        <v>1118</v>
      </c>
      <c r="E264" s="3">
        <v>6057364</v>
      </c>
      <c r="F264" s="3"/>
      <c r="I264" s="1">
        <f t="shared" si="2"/>
        <v>75</v>
      </c>
      <c r="J264" s="1">
        <f t="shared" si="3"/>
        <v>0</v>
      </c>
      <c r="K264" s="7"/>
      <c r="L264" s="3"/>
      <c r="M264" s="7">
        <v>45655</v>
      </c>
      <c r="N264" s="7">
        <v>18079</v>
      </c>
      <c r="O264" s="3" t="s">
        <v>106</v>
      </c>
      <c r="P264" s="1" t="s">
        <v>44</v>
      </c>
      <c r="Q264" s="3" t="s">
        <v>45</v>
      </c>
      <c r="S264" s="1" t="s">
        <v>68</v>
      </c>
      <c r="Z264" s="1" t="s">
        <v>47</v>
      </c>
      <c r="AA264" s="1" t="s">
        <v>47</v>
      </c>
      <c r="AB264" s="1" t="s">
        <v>47</v>
      </c>
      <c r="AC264" s="1" t="s">
        <v>47</v>
      </c>
      <c r="AD264" s="1" t="s">
        <v>897</v>
      </c>
      <c r="AE264" s="1" t="s">
        <v>1314</v>
      </c>
      <c r="AF264" s="26" t="s">
        <v>1315</v>
      </c>
      <c r="AG264" s="1" t="s">
        <v>1316</v>
      </c>
      <c r="AH264" s="1" t="s">
        <v>1317</v>
      </c>
      <c r="AI264" s="1" t="s">
        <v>1318</v>
      </c>
      <c r="AJ264" s="1" t="s">
        <v>1319</v>
      </c>
    </row>
    <row r="265" spans="1:36" ht="15.75" customHeight="1" x14ac:dyDescent="0.2">
      <c r="A265" s="8" t="s">
        <v>1320</v>
      </c>
      <c r="B265" s="3" t="s">
        <v>1321</v>
      </c>
      <c r="C265" s="19"/>
      <c r="D265" s="3" t="s">
        <v>1118</v>
      </c>
      <c r="E265" s="3">
        <v>7334675</v>
      </c>
      <c r="F265" s="3"/>
      <c r="G265" s="3" t="s">
        <v>654</v>
      </c>
      <c r="H265" s="3"/>
      <c r="I265" s="1">
        <f t="shared" si="2"/>
        <v>34</v>
      </c>
      <c r="J265" s="1">
        <f t="shared" si="3"/>
        <v>1</v>
      </c>
      <c r="K265" s="24"/>
      <c r="L265" s="19"/>
      <c r="M265" s="7">
        <v>45665</v>
      </c>
      <c r="N265" s="7">
        <v>33080</v>
      </c>
      <c r="O265" s="3" t="s">
        <v>50</v>
      </c>
      <c r="P265" s="3" t="s">
        <v>67</v>
      </c>
      <c r="Q265" s="3" t="s">
        <v>45</v>
      </c>
      <c r="R265" s="3"/>
      <c r="S265" s="1" t="s">
        <v>68</v>
      </c>
      <c r="Z265" s="1" t="s">
        <v>47</v>
      </c>
      <c r="AA265" s="1" t="s">
        <v>1322</v>
      </c>
      <c r="AB265" s="1" t="s">
        <v>47</v>
      </c>
      <c r="AC265" s="1" t="s">
        <v>47</v>
      </c>
      <c r="AD265" s="1" t="s">
        <v>1323</v>
      </c>
      <c r="AE265" s="1" t="s">
        <v>1156</v>
      </c>
      <c r="AF265" s="1" t="s">
        <v>1324</v>
      </c>
    </row>
    <row r="266" spans="1:36" ht="15.75" customHeight="1" x14ac:dyDescent="0.2">
      <c r="A266" s="8" t="s">
        <v>1325</v>
      </c>
      <c r="B266" s="3" t="s">
        <v>1326</v>
      </c>
      <c r="D266" s="3" t="s">
        <v>1118</v>
      </c>
      <c r="E266" s="3">
        <v>4000865</v>
      </c>
      <c r="F266" s="3"/>
      <c r="G266" s="3" t="s">
        <v>654</v>
      </c>
      <c r="H266" s="3"/>
      <c r="I266" s="1">
        <f t="shared" si="2"/>
        <v>50</v>
      </c>
      <c r="J266" s="1">
        <f t="shared" si="3"/>
        <v>0</v>
      </c>
      <c r="K266" s="7"/>
      <c r="L266" s="3"/>
      <c r="M266" s="7">
        <v>45665</v>
      </c>
      <c r="N266" s="7">
        <v>27164</v>
      </c>
      <c r="O266" s="3" t="s">
        <v>43</v>
      </c>
      <c r="P266" s="3" t="s">
        <v>44</v>
      </c>
      <c r="Q266" s="3" t="s">
        <v>45</v>
      </c>
      <c r="R266" s="3"/>
      <c r="S266" s="1" t="s">
        <v>68</v>
      </c>
      <c r="Z266" s="1" t="s">
        <v>47</v>
      </c>
      <c r="AA266" s="1" t="s">
        <v>47</v>
      </c>
      <c r="AB266" s="1" t="s">
        <v>47</v>
      </c>
      <c r="AC266" s="1" t="s">
        <v>47</v>
      </c>
      <c r="AD266" s="1" t="s">
        <v>1327</v>
      </c>
      <c r="AE266" s="1" t="s">
        <v>1328</v>
      </c>
    </row>
    <row r="267" spans="1:36" ht="15.75" customHeight="1" x14ac:dyDescent="0.2">
      <c r="A267" s="8" t="s">
        <v>1329</v>
      </c>
      <c r="B267" s="3" t="s">
        <v>1330</v>
      </c>
      <c r="C267" s="3"/>
      <c r="D267" s="3" t="s">
        <v>1118</v>
      </c>
      <c r="E267" s="3">
        <v>4664781</v>
      </c>
      <c r="F267" s="3"/>
      <c r="G267" s="3" t="s">
        <v>644</v>
      </c>
      <c r="H267" s="3"/>
      <c r="I267" s="1">
        <f t="shared" si="2"/>
        <v>65</v>
      </c>
      <c r="J267" s="1">
        <f t="shared" si="3"/>
        <v>0</v>
      </c>
      <c r="K267" s="7"/>
      <c r="L267" s="3"/>
      <c r="M267" s="7">
        <v>45666</v>
      </c>
      <c r="N267" s="7">
        <v>21890</v>
      </c>
      <c r="O267" s="3" t="s">
        <v>50</v>
      </c>
      <c r="P267" s="3" t="s">
        <v>44</v>
      </c>
      <c r="Q267" s="3" t="s">
        <v>45</v>
      </c>
      <c r="R267" s="3"/>
      <c r="S267" s="1" t="s">
        <v>47</v>
      </c>
      <c r="Z267" s="1" t="s">
        <v>47</v>
      </c>
      <c r="AA267" s="1" t="s">
        <v>47</v>
      </c>
      <c r="AB267" s="1" t="s">
        <v>1331</v>
      </c>
      <c r="AC267" s="1" t="s">
        <v>1332</v>
      </c>
      <c r="AD267" s="1" t="s">
        <v>47</v>
      </c>
    </row>
    <row r="268" spans="1:36" ht="15.75" customHeight="1" x14ac:dyDescent="0.2">
      <c r="A268" s="8" t="s">
        <v>1333</v>
      </c>
      <c r="B268" s="3" t="s">
        <v>1334</v>
      </c>
      <c r="C268" s="19"/>
      <c r="D268" s="3" t="s">
        <v>1118</v>
      </c>
      <c r="E268" s="3">
        <v>4492533</v>
      </c>
      <c r="F268" s="3"/>
      <c r="G268" s="3" t="s">
        <v>644</v>
      </c>
      <c r="H268" s="3"/>
      <c r="I268" s="1">
        <f t="shared" si="2"/>
        <v>25</v>
      </c>
      <c r="J268" s="1">
        <f t="shared" si="3"/>
        <v>1</v>
      </c>
      <c r="K268" s="24"/>
      <c r="L268" s="19"/>
      <c r="M268" s="7">
        <v>45673</v>
      </c>
      <c r="N268" s="7">
        <v>36453</v>
      </c>
      <c r="O268" s="3" t="s">
        <v>43</v>
      </c>
      <c r="P268" s="3" t="s">
        <v>500</v>
      </c>
      <c r="Q268" s="3" t="s">
        <v>45</v>
      </c>
      <c r="R268" s="3"/>
      <c r="S268" s="1" t="s">
        <v>47</v>
      </c>
      <c r="Z268" s="1" t="s">
        <v>47</v>
      </c>
      <c r="AA268" s="1" t="s">
        <v>46</v>
      </c>
      <c r="AB268" s="1" t="s">
        <v>47</v>
      </c>
      <c r="AC268" s="1" t="s">
        <v>47</v>
      </c>
      <c r="AD268" s="1" t="s">
        <v>1335</v>
      </c>
    </row>
    <row r="269" spans="1:36" ht="15.75" customHeight="1" x14ac:dyDescent="0.2">
      <c r="A269" s="8" t="s">
        <v>1336</v>
      </c>
      <c r="B269" s="3" t="s">
        <v>1337</v>
      </c>
      <c r="C269" s="3"/>
      <c r="D269" s="3" t="s">
        <v>1118</v>
      </c>
      <c r="E269" s="3">
        <v>4516976</v>
      </c>
      <c r="F269" s="3"/>
      <c r="G269" s="3" t="s">
        <v>654</v>
      </c>
      <c r="H269" s="3"/>
      <c r="I269" s="1">
        <f t="shared" si="2"/>
        <v>35</v>
      </c>
      <c r="J269" s="1">
        <f t="shared" si="3"/>
        <v>1</v>
      </c>
      <c r="K269" s="7"/>
      <c r="L269" s="3"/>
      <c r="M269" s="7">
        <v>45673</v>
      </c>
      <c r="N269" s="7">
        <v>32865</v>
      </c>
      <c r="O269" s="3" t="s">
        <v>50</v>
      </c>
      <c r="P269" s="3" t="s">
        <v>166</v>
      </c>
      <c r="Q269" s="3" t="s">
        <v>45</v>
      </c>
      <c r="R269" s="3"/>
      <c r="S269" s="3" t="s">
        <v>68</v>
      </c>
      <c r="Z269" s="1" t="s">
        <v>1338</v>
      </c>
      <c r="AA269" s="1" t="s">
        <v>47</v>
      </c>
      <c r="AB269" s="1" t="s">
        <v>47</v>
      </c>
      <c r="AC269" s="1" t="s">
        <v>47</v>
      </c>
      <c r="AD269" s="1" t="s">
        <v>1339</v>
      </c>
      <c r="AE269" s="1" t="s">
        <v>1340</v>
      </c>
    </row>
    <row r="270" spans="1:36" ht="15.75" customHeight="1" x14ac:dyDescent="0.2">
      <c r="A270" s="8" t="s">
        <v>1341</v>
      </c>
      <c r="B270" s="3" t="s">
        <v>1342</v>
      </c>
      <c r="C270" s="19"/>
      <c r="D270" s="3" t="s">
        <v>1118</v>
      </c>
      <c r="E270" s="3">
        <v>7398486</v>
      </c>
      <c r="F270" s="3"/>
      <c r="G270" s="3" t="s">
        <v>644</v>
      </c>
      <c r="H270" s="3"/>
      <c r="I270" s="1">
        <f t="shared" si="2"/>
        <v>41</v>
      </c>
      <c r="J270" s="1">
        <f t="shared" si="3"/>
        <v>0</v>
      </c>
      <c r="K270" s="24"/>
      <c r="L270" s="19"/>
      <c r="M270" s="7">
        <v>45687</v>
      </c>
      <c r="N270" s="7">
        <v>30461</v>
      </c>
      <c r="O270" s="3" t="s">
        <v>106</v>
      </c>
      <c r="P270" s="3" t="s">
        <v>91</v>
      </c>
      <c r="Q270" s="3" t="s">
        <v>45</v>
      </c>
      <c r="R270" s="3"/>
      <c r="S270" s="1" t="s">
        <v>46</v>
      </c>
      <c r="Z270" s="1" t="s">
        <v>46</v>
      </c>
      <c r="AA270" s="1" t="s">
        <v>46</v>
      </c>
      <c r="AB270" s="1" t="s">
        <v>1174</v>
      </c>
      <c r="AC270" s="1" t="s">
        <v>1343</v>
      </c>
      <c r="AD270" s="1" t="s">
        <v>1344</v>
      </c>
      <c r="AE270" s="1" t="s">
        <v>1345</v>
      </c>
      <c r="AF270" s="1" t="s">
        <v>1346</v>
      </c>
      <c r="AG270" s="1" t="s">
        <v>1347</v>
      </c>
      <c r="AH270" s="1" t="s">
        <v>1348</v>
      </c>
      <c r="AI270" s="1" t="s">
        <v>1349</v>
      </c>
    </row>
    <row r="271" spans="1:36" ht="15.75" customHeight="1" x14ac:dyDescent="0.2">
      <c r="A271" s="8" t="s">
        <v>1350</v>
      </c>
      <c r="B271" s="3" t="s">
        <v>1351</v>
      </c>
      <c r="C271" s="19"/>
      <c r="D271" s="3" t="s">
        <v>1118</v>
      </c>
      <c r="E271" s="3">
        <v>7423038</v>
      </c>
      <c r="F271" s="3"/>
      <c r="G271" s="1" t="s">
        <v>644</v>
      </c>
      <c r="I271" s="1">
        <f t="shared" si="2"/>
        <v>24</v>
      </c>
      <c r="J271" s="1">
        <f t="shared" si="3"/>
        <v>1</v>
      </c>
      <c r="K271" s="24"/>
      <c r="L271" s="19"/>
      <c r="M271" s="7">
        <v>45693</v>
      </c>
      <c r="N271" s="7">
        <v>36818</v>
      </c>
      <c r="O271" s="3" t="s">
        <v>106</v>
      </c>
      <c r="P271" s="3" t="s">
        <v>44</v>
      </c>
      <c r="Q271" s="3" t="s">
        <v>45</v>
      </c>
      <c r="S271" s="3" t="s">
        <v>1352</v>
      </c>
      <c r="Z271" s="1" t="s">
        <v>47</v>
      </c>
      <c r="AA271" s="1" t="s">
        <v>46</v>
      </c>
      <c r="AB271" s="1" t="s">
        <v>47</v>
      </c>
      <c r="AC271" s="1" t="s">
        <v>47</v>
      </c>
      <c r="AD271" s="1" t="s">
        <v>1353</v>
      </c>
      <c r="AE271" s="1" t="s">
        <v>1156</v>
      </c>
      <c r="AF271" s="1" t="s">
        <v>1354</v>
      </c>
      <c r="AG271" s="1" t="s">
        <v>1355</v>
      </c>
      <c r="AH271" s="1" t="s">
        <v>1356</v>
      </c>
    </row>
    <row r="272" spans="1:36" ht="15.75" customHeight="1" x14ac:dyDescent="0.2">
      <c r="A272" s="8" t="s">
        <v>1357</v>
      </c>
      <c r="B272" s="3" t="s">
        <v>1358</v>
      </c>
      <c r="C272" s="19"/>
      <c r="D272" s="3" t="s">
        <v>1118</v>
      </c>
      <c r="E272" s="3">
        <v>7391923</v>
      </c>
      <c r="F272" s="3"/>
      <c r="G272" s="3" t="s">
        <v>644</v>
      </c>
      <c r="H272" s="3"/>
      <c r="I272" s="1">
        <f t="shared" si="2"/>
        <v>24</v>
      </c>
      <c r="J272" s="1">
        <f t="shared" si="3"/>
        <v>1</v>
      </c>
      <c r="K272" s="24"/>
      <c r="L272" s="19"/>
      <c r="M272" s="7">
        <v>45701</v>
      </c>
      <c r="N272" s="7">
        <v>36719</v>
      </c>
      <c r="O272" s="3" t="s">
        <v>50</v>
      </c>
      <c r="P272" s="3" t="s">
        <v>67</v>
      </c>
      <c r="Q272" s="3" t="s">
        <v>45</v>
      </c>
      <c r="R272" s="3"/>
      <c r="S272" s="1" t="s">
        <v>47</v>
      </c>
      <c r="Z272" s="1" t="s">
        <v>47</v>
      </c>
      <c r="AA272" s="1" t="s">
        <v>46</v>
      </c>
      <c r="AB272" s="1" t="s">
        <v>47</v>
      </c>
      <c r="AC272" s="1" t="s">
        <v>47</v>
      </c>
      <c r="AD272" s="1" t="s">
        <v>47</v>
      </c>
    </row>
    <row r="273" spans="1:34" ht="15.75" customHeight="1" x14ac:dyDescent="0.2">
      <c r="A273" s="8" t="s">
        <v>1359</v>
      </c>
      <c r="B273" s="3" t="s">
        <v>1360</v>
      </c>
      <c r="C273" s="19"/>
      <c r="D273" s="3" t="s">
        <v>1118</v>
      </c>
      <c r="E273" s="3">
        <v>3720327</v>
      </c>
      <c r="F273" s="3"/>
      <c r="G273" s="3" t="s">
        <v>644</v>
      </c>
      <c r="H273" s="3">
        <v>41</v>
      </c>
      <c r="I273" s="1">
        <f t="shared" si="2"/>
        <v>58</v>
      </c>
      <c r="J273" s="1">
        <f t="shared" si="3"/>
        <v>0</v>
      </c>
      <c r="K273" s="24"/>
      <c r="L273" s="19"/>
      <c r="M273" s="7">
        <v>45708</v>
      </c>
      <c r="N273" s="7">
        <v>24159</v>
      </c>
      <c r="O273" s="3" t="s">
        <v>50</v>
      </c>
      <c r="P273" s="3" t="s">
        <v>44</v>
      </c>
      <c r="Q273" s="3" t="s">
        <v>51</v>
      </c>
      <c r="R273" s="3"/>
      <c r="S273" s="3" t="s">
        <v>68</v>
      </c>
      <c r="Z273" s="1" t="s">
        <v>47</v>
      </c>
      <c r="AA273" s="1" t="s">
        <v>47</v>
      </c>
      <c r="AB273" s="1" t="s">
        <v>47</v>
      </c>
      <c r="AC273" s="1" t="s">
        <v>47</v>
      </c>
      <c r="AD273" s="1" t="s">
        <v>47</v>
      </c>
    </row>
    <row r="274" spans="1:34" ht="15.75" customHeight="1" x14ac:dyDescent="0.2">
      <c r="A274" s="8" t="s">
        <v>1361</v>
      </c>
      <c r="B274" s="3" t="s">
        <v>1362</v>
      </c>
      <c r="C274" s="19"/>
      <c r="D274" s="3" t="s">
        <v>1118</v>
      </c>
      <c r="E274" s="3">
        <v>3671756</v>
      </c>
      <c r="F274" s="3"/>
      <c r="G274" s="3" t="s">
        <v>654</v>
      </c>
      <c r="H274" s="3"/>
      <c r="I274" s="1">
        <f t="shared" si="2"/>
        <v>56</v>
      </c>
      <c r="J274" s="1">
        <f t="shared" si="3"/>
        <v>0</v>
      </c>
      <c r="K274" s="24"/>
      <c r="L274" s="19"/>
      <c r="M274" s="7">
        <v>45721</v>
      </c>
      <c r="N274" s="7">
        <v>25233</v>
      </c>
      <c r="O274" s="3" t="s">
        <v>99</v>
      </c>
      <c r="P274" s="3" t="s">
        <v>44</v>
      </c>
      <c r="Q274" s="3" t="s">
        <v>45</v>
      </c>
      <c r="R274" s="3" t="s">
        <v>1363</v>
      </c>
      <c r="S274" s="1" t="s">
        <v>47</v>
      </c>
      <c r="Z274" s="1" t="s">
        <v>47</v>
      </c>
      <c r="AA274" s="1" t="s">
        <v>46</v>
      </c>
      <c r="AB274" s="1" t="s">
        <v>1364</v>
      </c>
      <c r="AC274" s="1" t="s">
        <v>1174</v>
      </c>
      <c r="AD274" s="1" t="s">
        <v>1365</v>
      </c>
      <c r="AE274" s="1" t="s">
        <v>1366</v>
      </c>
      <c r="AF274" s="1" t="s">
        <v>1367</v>
      </c>
    </row>
    <row r="275" spans="1:34" ht="15.75" customHeight="1" x14ac:dyDescent="0.2">
      <c r="A275" s="8" t="s">
        <v>1368</v>
      </c>
      <c r="B275" s="3" t="s">
        <v>1369</v>
      </c>
      <c r="C275" s="3"/>
      <c r="D275" s="3" t="s">
        <v>1118</v>
      </c>
      <c r="E275" s="3">
        <v>3990592</v>
      </c>
      <c r="F275" s="3"/>
      <c r="G275" s="3" t="s">
        <v>644</v>
      </c>
      <c r="H275" s="3"/>
      <c r="I275" s="1">
        <f t="shared" si="2"/>
        <v>56</v>
      </c>
      <c r="J275" s="1">
        <f t="shared" si="3"/>
        <v>0</v>
      </c>
      <c r="K275" s="7"/>
      <c r="L275" s="3"/>
      <c r="M275" s="7">
        <v>45722</v>
      </c>
      <c r="N275" s="7">
        <v>25223</v>
      </c>
      <c r="O275" s="3" t="s">
        <v>50</v>
      </c>
      <c r="P275" s="3" t="s">
        <v>166</v>
      </c>
      <c r="Q275" s="3" t="s">
        <v>45</v>
      </c>
      <c r="R275" s="3"/>
      <c r="S275" s="3" t="s">
        <v>68</v>
      </c>
      <c r="Z275" s="1" t="s">
        <v>1370</v>
      </c>
      <c r="AA275" s="1" t="s">
        <v>46</v>
      </c>
      <c r="AB275" s="1" t="s">
        <v>47</v>
      </c>
      <c r="AC275" s="1" t="s">
        <v>47</v>
      </c>
      <c r="AD275" s="1" t="s">
        <v>47</v>
      </c>
    </row>
    <row r="276" spans="1:34" ht="15.75" customHeight="1" x14ac:dyDescent="0.2">
      <c r="A276" s="8" t="s">
        <v>1371</v>
      </c>
      <c r="B276" s="3" t="s">
        <v>1372</v>
      </c>
      <c r="C276" s="19"/>
      <c r="D276" s="3" t="s">
        <v>1118</v>
      </c>
      <c r="E276" s="3">
        <v>7436728</v>
      </c>
      <c r="F276" s="3"/>
      <c r="G276" s="3" t="s">
        <v>654</v>
      </c>
      <c r="H276" s="3"/>
      <c r="I276" s="1">
        <f t="shared" si="2"/>
        <v>38</v>
      </c>
      <c r="J276" s="1">
        <f t="shared" si="3"/>
        <v>1</v>
      </c>
      <c r="K276" s="24"/>
      <c r="L276" s="19"/>
      <c r="M276" s="7">
        <v>45723</v>
      </c>
      <c r="N276" s="7">
        <v>31587</v>
      </c>
      <c r="O276" s="3" t="s">
        <v>50</v>
      </c>
      <c r="P276" s="3" t="s">
        <v>166</v>
      </c>
      <c r="Q276" s="3" t="s">
        <v>45</v>
      </c>
      <c r="R276" s="3"/>
      <c r="S276" s="3" t="s">
        <v>68</v>
      </c>
      <c r="Z276" s="1" t="s">
        <v>1373</v>
      </c>
      <c r="AA276" s="1" t="s">
        <v>46</v>
      </c>
      <c r="AB276" s="1" t="s">
        <v>47</v>
      </c>
      <c r="AC276" s="1" t="s">
        <v>47</v>
      </c>
      <c r="AD276" s="1" t="s">
        <v>1374</v>
      </c>
      <c r="AE276" s="1" t="s">
        <v>1375</v>
      </c>
    </row>
    <row r="277" spans="1:34" ht="15.75" customHeight="1" x14ac:dyDescent="0.2">
      <c r="A277" s="8" t="s">
        <v>1376</v>
      </c>
      <c r="B277" s="3" t="s">
        <v>1377</v>
      </c>
      <c r="C277" s="3"/>
      <c r="D277" s="3" t="s">
        <v>1118</v>
      </c>
      <c r="E277" s="3">
        <v>7445854</v>
      </c>
      <c r="F277" s="3"/>
      <c r="G277" s="3" t="s">
        <v>654</v>
      </c>
      <c r="I277" s="1">
        <f t="shared" si="2"/>
        <v>70</v>
      </c>
      <c r="J277" s="1">
        <f t="shared" si="3"/>
        <v>0</v>
      </c>
      <c r="K277" s="7"/>
      <c r="L277" s="3"/>
      <c r="M277" s="7">
        <v>45733</v>
      </c>
      <c r="N277" s="7">
        <v>20065</v>
      </c>
      <c r="O277" s="3" t="s">
        <v>50</v>
      </c>
      <c r="P277" s="3" t="s">
        <v>44</v>
      </c>
      <c r="Q277" s="3" t="s">
        <v>45</v>
      </c>
      <c r="R277" s="3" t="s">
        <v>1378</v>
      </c>
      <c r="S277" s="3" t="s">
        <v>68</v>
      </c>
      <c r="Z277" s="1" t="s">
        <v>47</v>
      </c>
      <c r="AA277" s="1" t="s">
        <v>1379</v>
      </c>
      <c r="AB277" s="1" t="s">
        <v>47</v>
      </c>
      <c r="AC277" s="1" t="s">
        <v>47</v>
      </c>
      <c r="AD277" s="1" t="s">
        <v>1380</v>
      </c>
      <c r="AE277" s="1" t="s">
        <v>1381</v>
      </c>
      <c r="AF277" s="1" t="s">
        <v>1382</v>
      </c>
    </row>
    <row r="278" spans="1:34" ht="15.75" customHeight="1" x14ac:dyDescent="0.2">
      <c r="A278" s="8" t="s">
        <v>1383</v>
      </c>
      <c r="B278" s="3" t="s">
        <v>1384</v>
      </c>
      <c r="C278" s="3"/>
      <c r="D278" s="3" t="s">
        <v>1118</v>
      </c>
      <c r="E278" s="3">
        <v>7416225</v>
      </c>
      <c r="F278" s="3"/>
      <c r="G278" s="3" t="s">
        <v>654</v>
      </c>
      <c r="I278" s="1">
        <f t="shared" si="2"/>
        <v>34</v>
      </c>
      <c r="J278" s="1">
        <f t="shared" si="3"/>
        <v>1</v>
      </c>
      <c r="K278" s="7"/>
      <c r="L278" s="3"/>
      <c r="M278" s="7">
        <v>45734</v>
      </c>
      <c r="N278" s="7">
        <v>33178</v>
      </c>
      <c r="O278" s="3" t="s">
        <v>50</v>
      </c>
      <c r="P278" s="3" t="s">
        <v>44</v>
      </c>
      <c r="Q278" s="3" t="s">
        <v>45</v>
      </c>
      <c r="S278" s="3" t="s">
        <v>68</v>
      </c>
      <c r="Z278" s="1" t="s">
        <v>47</v>
      </c>
      <c r="AA278" s="1" t="s">
        <v>46</v>
      </c>
      <c r="AB278" s="1" t="s">
        <v>47</v>
      </c>
      <c r="AC278" s="1" t="s">
        <v>47</v>
      </c>
      <c r="AD278" s="1" t="s">
        <v>1385</v>
      </c>
      <c r="AE278" s="1" t="s">
        <v>434</v>
      </c>
      <c r="AF278" s="1" t="s">
        <v>1386</v>
      </c>
      <c r="AG278" s="1" t="s">
        <v>1387</v>
      </c>
      <c r="AH278" s="1" t="s">
        <v>1388</v>
      </c>
    </row>
    <row r="279" spans="1:34" ht="15.75" customHeight="1" x14ac:dyDescent="0.2">
      <c r="A279" s="8" t="s">
        <v>1389</v>
      </c>
      <c r="B279" s="3" t="s">
        <v>1390</v>
      </c>
      <c r="C279" s="19"/>
      <c r="D279" s="3" t="s">
        <v>1118</v>
      </c>
      <c r="E279" s="3">
        <v>7443952</v>
      </c>
      <c r="F279" s="3"/>
      <c r="G279" s="3" t="s">
        <v>654</v>
      </c>
      <c r="H279" s="3"/>
      <c r="I279" s="1">
        <f t="shared" si="2"/>
        <v>50</v>
      </c>
      <c r="J279" s="1">
        <f t="shared" si="3"/>
        <v>0</v>
      </c>
      <c r="K279" s="24"/>
      <c r="L279" s="19"/>
      <c r="M279" s="7">
        <v>45743</v>
      </c>
      <c r="N279" s="7">
        <v>27352</v>
      </c>
      <c r="O279" s="3" t="s">
        <v>50</v>
      </c>
      <c r="P279" s="3" t="s">
        <v>100</v>
      </c>
      <c r="Q279" s="3" t="s">
        <v>45</v>
      </c>
      <c r="R279" s="3"/>
      <c r="S279" s="1" t="s">
        <v>46</v>
      </c>
      <c r="Z279" s="1" t="s">
        <v>47</v>
      </c>
      <c r="AA279" s="1" t="s">
        <v>47</v>
      </c>
      <c r="AB279" s="1">
        <v>7</v>
      </c>
      <c r="AC279" s="1" t="s">
        <v>1391</v>
      </c>
      <c r="AD279" s="1" t="s">
        <v>1392</v>
      </c>
      <c r="AE279" s="1" t="s">
        <v>1393</v>
      </c>
    </row>
    <row r="280" spans="1:34" ht="15.75" customHeight="1" x14ac:dyDescent="0.2">
      <c r="A280" s="8" t="s">
        <v>1394</v>
      </c>
      <c r="B280" s="3" t="s">
        <v>1395</v>
      </c>
      <c r="C280" s="19"/>
      <c r="D280" s="3" t="s">
        <v>1118</v>
      </c>
      <c r="E280" s="3">
        <v>4755546</v>
      </c>
      <c r="F280" s="3"/>
      <c r="G280" s="3"/>
      <c r="H280" s="3"/>
      <c r="I280" s="1">
        <f t="shared" si="2"/>
        <v>68</v>
      </c>
      <c r="J280" s="1">
        <f t="shared" si="3"/>
        <v>0</v>
      </c>
      <c r="K280" s="24"/>
      <c r="L280" s="19"/>
      <c r="M280" s="7">
        <v>45744</v>
      </c>
      <c r="N280" s="7">
        <v>20694</v>
      </c>
      <c r="O280" s="3" t="s">
        <v>50</v>
      </c>
      <c r="P280" s="3" t="s">
        <v>67</v>
      </c>
      <c r="Q280" s="3" t="s">
        <v>45</v>
      </c>
      <c r="R280" s="3"/>
      <c r="S280" s="1" t="s">
        <v>47</v>
      </c>
      <c r="Z280" s="1" t="s">
        <v>47</v>
      </c>
      <c r="AA280" s="1" t="s">
        <v>47</v>
      </c>
      <c r="AB280" s="1">
        <v>7</v>
      </c>
      <c r="AC280" s="1">
        <v>-10</v>
      </c>
      <c r="AD280" s="1" t="s">
        <v>1396</v>
      </c>
      <c r="AE280" s="1" t="s">
        <v>1397</v>
      </c>
    </row>
    <row r="281" spans="1:34" ht="15.75" customHeight="1" x14ac:dyDescent="0.2">
      <c r="A281" s="8" t="s">
        <v>1398</v>
      </c>
      <c r="B281" s="3" t="s">
        <v>1399</v>
      </c>
      <c r="C281" s="3"/>
      <c r="D281" s="3" t="s">
        <v>1118</v>
      </c>
      <c r="E281" s="3">
        <v>7452560</v>
      </c>
      <c r="F281" s="3"/>
      <c r="G281" s="3"/>
      <c r="H281" s="3"/>
      <c r="I281" s="1">
        <f t="shared" si="2"/>
        <v>62</v>
      </c>
      <c r="J281" s="1">
        <f t="shared" si="3"/>
        <v>0</v>
      </c>
      <c r="K281" s="7"/>
      <c r="L281" s="3"/>
      <c r="M281" s="7">
        <v>45748</v>
      </c>
      <c r="N281" s="7">
        <v>22754</v>
      </c>
      <c r="O281" s="3" t="s">
        <v>43</v>
      </c>
      <c r="P281" s="3" t="s">
        <v>44</v>
      </c>
      <c r="Q281" s="3" t="s">
        <v>45</v>
      </c>
      <c r="S281" s="3" t="s">
        <v>68</v>
      </c>
      <c r="Z281" s="1" t="s">
        <v>47</v>
      </c>
      <c r="AA281" s="1" t="s">
        <v>47</v>
      </c>
      <c r="AB281" s="1" t="s">
        <v>47</v>
      </c>
      <c r="AC281" s="1" t="s">
        <v>47</v>
      </c>
      <c r="AD281" s="1" t="s">
        <v>1400</v>
      </c>
      <c r="AE281" s="1" t="s">
        <v>1401</v>
      </c>
    </row>
    <row r="282" spans="1:34" ht="15" customHeight="1" x14ac:dyDescent="0.2">
      <c r="A282" s="8" t="s">
        <v>1402</v>
      </c>
      <c r="B282" s="3" t="s">
        <v>1403</v>
      </c>
      <c r="C282" s="19"/>
      <c r="D282" s="3" t="s">
        <v>1118</v>
      </c>
      <c r="E282" s="3">
        <v>4835392</v>
      </c>
      <c r="F282" s="3"/>
      <c r="G282" s="3" t="s">
        <v>644</v>
      </c>
      <c r="H282" s="3">
        <v>24</v>
      </c>
      <c r="I282" s="1">
        <f t="shared" si="2"/>
        <v>29</v>
      </c>
      <c r="J282" s="1">
        <f t="shared" si="3"/>
        <v>1</v>
      </c>
      <c r="K282" s="24"/>
      <c r="L282" s="19"/>
      <c r="M282" s="7">
        <v>45750</v>
      </c>
      <c r="N282" s="7">
        <v>34968</v>
      </c>
      <c r="O282" s="3" t="s">
        <v>50</v>
      </c>
      <c r="P282" s="3" t="s">
        <v>91</v>
      </c>
      <c r="Q282" s="3" t="s">
        <v>51</v>
      </c>
      <c r="R282" s="3" t="s">
        <v>1404</v>
      </c>
      <c r="S282" s="3" t="s">
        <v>68</v>
      </c>
      <c r="Z282" s="1" t="s">
        <v>47</v>
      </c>
      <c r="AA282" s="1" t="s">
        <v>1405</v>
      </c>
      <c r="AB282" s="1" t="s">
        <v>47</v>
      </c>
      <c r="AC282" s="1" t="s">
        <v>47</v>
      </c>
      <c r="AD282" s="1" t="s">
        <v>47</v>
      </c>
    </row>
    <row r="283" spans="1:34" ht="15" customHeight="1" x14ac:dyDescent="0.2">
      <c r="A283" s="8" t="s">
        <v>1406</v>
      </c>
      <c r="B283" s="3" t="s">
        <v>1407</v>
      </c>
      <c r="C283" s="3"/>
      <c r="D283" s="3" t="s">
        <v>1118</v>
      </c>
      <c r="E283" s="3">
        <v>1095579</v>
      </c>
      <c r="F283" s="3"/>
      <c r="G283" s="3" t="s">
        <v>644</v>
      </c>
      <c r="H283" s="3">
        <v>51</v>
      </c>
      <c r="I283" s="1">
        <f t="shared" si="2"/>
        <v>58</v>
      </c>
      <c r="J283" s="1">
        <f t="shared" si="3"/>
        <v>0</v>
      </c>
      <c r="K283" s="7"/>
      <c r="L283" s="3"/>
      <c r="M283" s="7">
        <v>45757</v>
      </c>
      <c r="N283" s="7">
        <v>24325</v>
      </c>
      <c r="O283" s="3" t="s">
        <v>50</v>
      </c>
      <c r="P283" s="3" t="s">
        <v>166</v>
      </c>
      <c r="Q283" s="3" t="s">
        <v>51</v>
      </c>
      <c r="R283" s="3"/>
      <c r="S283" s="3" t="s">
        <v>68</v>
      </c>
      <c r="Z283" s="1" t="s">
        <v>47</v>
      </c>
      <c r="AA283" s="1" t="s">
        <v>47</v>
      </c>
      <c r="AB283" s="1" t="s">
        <v>47</v>
      </c>
      <c r="AC283" s="1" t="s">
        <v>47</v>
      </c>
      <c r="AD283" s="1" t="s">
        <v>47</v>
      </c>
    </row>
    <row r="284" spans="1:34" ht="15" customHeight="1" x14ac:dyDescent="0.2">
      <c r="A284" s="8" t="s">
        <v>1408</v>
      </c>
      <c r="B284" s="3" t="s">
        <v>1409</v>
      </c>
      <c r="C284" s="19"/>
      <c r="D284" s="3" t="s">
        <v>1118</v>
      </c>
      <c r="E284" s="3">
        <v>1104596</v>
      </c>
      <c r="F284" s="3"/>
      <c r="G284" s="3" t="s">
        <v>654</v>
      </c>
      <c r="H284" s="3"/>
      <c r="I284" s="1">
        <f t="shared" si="2"/>
        <v>57</v>
      </c>
      <c r="J284" s="1">
        <f t="shared" si="3"/>
        <v>0</v>
      </c>
      <c r="K284" s="24"/>
      <c r="L284" s="19"/>
      <c r="M284" s="7">
        <v>45758</v>
      </c>
      <c r="N284" s="7">
        <v>24791</v>
      </c>
      <c r="O284" s="3" t="s">
        <v>50</v>
      </c>
      <c r="P284" s="3" t="s">
        <v>91</v>
      </c>
      <c r="Q284" s="3" t="s">
        <v>45</v>
      </c>
      <c r="S284" s="3" t="s">
        <v>92</v>
      </c>
      <c r="Z284" s="1" t="s">
        <v>47</v>
      </c>
      <c r="AA284" s="1" t="s">
        <v>47</v>
      </c>
      <c r="AB284" s="1" t="s">
        <v>1410</v>
      </c>
      <c r="AC284" s="1">
        <v>-10</v>
      </c>
      <c r="AD284" s="1" t="s">
        <v>1411</v>
      </c>
      <c r="AE284" s="1" t="s">
        <v>1412</v>
      </c>
      <c r="AF284" s="1" t="s">
        <v>1413</v>
      </c>
    </row>
    <row r="285" spans="1:34" ht="15" customHeight="1" x14ac:dyDescent="0.2">
      <c r="A285" s="8" t="s">
        <v>1414</v>
      </c>
      <c r="B285" s="3" t="s">
        <v>1415</v>
      </c>
      <c r="C285" s="19"/>
      <c r="D285" s="3" t="s">
        <v>1118</v>
      </c>
      <c r="E285" s="3">
        <v>7035634</v>
      </c>
      <c r="F285" s="3"/>
      <c r="G285" s="3"/>
      <c r="H285" s="3"/>
      <c r="I285" s="1">
        <f t="shared" si="2"/>
        <v>21</v>
      </c>
      <c r="J285" s="1">
        <f t="shared" si="3"/>
        <v>1</v>
      </c>
      <c r="K285" s="24"/>
      <c r="L285" s="19"/>
      <c r="M285" s="7">
        <v>45791</v>
      </c>
      <c r="N285" s="7">
        <v>38040</v>
      </c>
      <c r="O285" s="3" t="s">
        <v>177</v>
      </c>
      <c r="P285" s="3"/>
      <c r="Q285" s="3" t="s">
        <v>45</v>
      </c>
      <c r="R285" s="3"/>
      <c r="S285" s="1" t="s">
        <v>47</v>
      </c>
      <c r="Z285" s="1" t="s">
        <v>47</v>
      </c>
      <c r="AA285" s="1" t="s">
        <v>47</v>
      </c>
      <c r="AB285" s="1" t="s">
        <v>47</v>
      </c>
      <c r="AC285" s="1" t="s">
        <v>47</v>
      </c>
      <c r="AD285" s="1" t="s">
        <v>47</v>
      </c>
    </row>
    <row r="286" spans="1:34" ht="15" customHeight="1" x14ac:dyDescent="0.2">
      <c r="A286" s="3"/>
      <c r="B286" s="3"/>
      <c r="C286" s="19"/>
      <c r="D286" s="3"/>
      <c r="E286" s="3"/>
      <c r="F286" s="19"/>
      <c r="K286" s="24"/>
      <c r="L286" s="19"/>
      <c r="M286" s="27"/>
      <c r="N286" s="27"/>
      <c r="O286" s="3"/>
      <c r="P286" s="3"/>
      <c r="Q286" s="19"/>
      <c r="R286" s="19"/>
    </row>
    <row r="287" spans="1:34" ht="15.75" customHeight="1" x14ac:dyDescent="0.2"/>
    <row r="288" spans="1:34"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1284"/>
  <sheetViews>
    <sheetView tabSelected="1" topLeftCell="AT1" workbookViewId="0">
      <pane ySplit="1" topLeftCell="A2" activePane="bottomLeft" state="frozen"/>
      <selection pane="bottomLeft" activeCell="BA279" sqref="BA279"/>
    </sheetView>
  </sheetViews>
  <sheetFormatPr baseColWidth="10" defaultColWidth="12.6640625" defaultRowHeight="15" customHeight="1" x14ac:dyDescent="0.2"/>
  <cols>
    <col min="1" max="1" width="8.83203125" customWidth="1"/>
    <col min="2" max="3" width="11.1640625" customWidth="1"/>
    <col min="4" max="31" width="8.83203125" customWidth="1"/>
    <col min="32" max="32" width="15.33203125" customWidth="1"/>
    <col min="33" max="33" width="15.5" customWidth="1"/>
    <col min="34" max="34" width="34.83203125" customWidth="1"/>
    <col min="35" max="35" width="13.6640625" customWidth="1"/>
    <col min="36" max="36" width="18.83203125" customWidth="1"/>
    <col min="37" max="44" width="8.83203125" customWidth="1"/>
    <col min="45" max="45" width="26.33203125" customWidth="1"/>
    <col min="46" max="46" width="17.83203125" customWidth="1"/>
    <col min="47" max="47" width="34.33203125" customWidth="1"/>
    <col min="48" max="48" width="29.5" customWidth="1"/>
    <col min="49" max="49" width="16.33203125" customWidth="1"/>
    <col min="50" max="50" width="21.6640625" customWidth="1"/>
    <col min="51" max="51" width="16.33203125" customWidth="1"/>
    <col min="52" max="52" width="7" customWidth="1"/>
    <col min="53" max="53" width="14.83203125" bestFit="1" customWidth="1"/>
    <col min="54" max="56" width="8.83203125" customWidth="1"/>
    <col min="57" max="57" width="18.6640625" customWidth="1"/>
    <col min="58" max="58" width="18.1640625" customWidth="1"/>
    <col min="59" max="63" width="8.83203125" customWidth="1"/>
    <col min="64" max="64" width="11.1640625" customWidth="1"/>
    <col min="65" max="68" width="8.83203125" customWidth="1"/>
    <col min="69" max="69" width="17.5" customWidth="1"/>
    <col min="70" max="70" width="8.83203125" customWidth="1"/>
    <col min="71" max="72" width="17.6640625" customWidth="1"/>
    <col min="73" max="73" width="8.83203125" customWidth="1"/>
    <col min="74" max="74" width="10" customWidth="1"/>
    <col min="75" max="75" width="8.83203125" customWidth="1"/>
    <col min="76" max="76" width="11.1640625" customWidth="1"/>
    <col min="77" max="88" width="8.83203125" customWidth="1"/>
    <col min="89" max="89" width="11.1640625" customWidth="1"/>
    <col min="90" max="90" width="8.83203125" customWidth="1"/>
    <col min="91" max="91" width="11.1640625" customWidth="1"/>
    <col min="92" max="123" width="8.83203125" customWidth="1"/>
    <col min="124" max="124" width="11.1640625" customWidth="1"/>
    <col min="125" max="128" width="8.83203125" customWidth="1"/>
    <col min="129" max="129" width="10.1640625" customWidth="1"/>
    <col min="130" max="130" width="8.83203125" customWidth="1"/>
  </cols>
  <sheetData>
    <row r="1" spans="1:130" x14ac:dyDescent="0.2">
      <c r="A1" s="28" t="s">
        <v>1416</v>
      </c>
      <c r="B1" s="11" t="s">
        <v>1417</v>
      </c>
      <c r="C1" s="11" t="s">
        <v>1418</v>
      </c>
      <c r="D1" s="11" t="s">
        <v>1419</v>
      </c>
      <c r="E1" s="11" t="s">
        <v>5</v>
      </c>
      <c r="F1" s="11" t="s">
        <v>1420</v>
      </c>
      <c r="G1" s="11" t="s">
        <v>1421</v>
      </c>
      <c r="H1" s="11" t="s">
        <v>1422</v>
      </c>
      <c r="I1" s="11" t="s">
        <v>1423</v>
      </c>
      <c r="J1" s="11" t="s">
        <v>1424</v>
      </c>
      <c r="K1" s="11" t="s">
        <v>1425</v>
      </c>
      <c r="L1" s="11" t="s">
        <v>1426</v>
      </c>
      <c r="M1" s="11" t="s">
        <v>1427</v>
      </c>
      <c r="N1" s="11" t="s">
        <v>1428</v>
      </c>
      <c r="O1" s="11" t="s">
        <v>1429</v>
      </c>
      <c r="P1" s="11" t="s">
        <v>1430</v>
      </c>
      <c r="Q1" s="11" t="s">
        <v>1431</v>
      </c>
      <c r="R1" s="11" t="s">
        <v>1432</v>
      </c>
      <c r="S1" s="11" t="s">
        <v>1433</v>
      </c>
      <c r="T1" s="11" t="s">
        <v>1434</v>
      </c>
      <c r="U1" s="11" t="s">
        <v>1435</v>
      </c>
      <c r="V1" s="11" t="s">
        <v>1436</v>
      </c>
      <c r="W1" s="11" t="s">
        <v>1437</v>
      </c>
      <c r="X1" s="11" t="s">
        <v>1438</v>
      </c>
      <c r="Y1" s="11" t="s">
        <v>1439</v>
      </c>
      <c r="Z1" s="11" t="s">
        <v>1440</v>
      </c>
      <c r="AA1" s="11" t="s">
        <v>1441</v>
      </c>
      <c r="AB1" s="11" t="s">
        <v>1442</v>
      </c>
      <c r="AC1" s="11" t="s">
        <v>1443</v>
      </c>
      <c r="AD1" s="11" t="s">
        <v>1444</v>
      </c>
      <c r="AE1" s="11" t="s">
        <v>1445</v>
      </c>
      <c r="AF1" s="11" t="s">
        <v>1446</v>
      </c>
      <c r="AG1" s="11" t="s">
        <v>1447</v>
      </c>
      <c r="AH1" s="11" t="s">
        <v>1448</v>
      </c>
      <c r="AI1" s="11" t="s">
        <v>1449</v>
      </c>
      <c r="AJ1" s="11" t="s">
        <v>1450</v>
      </c>
      <c r="AK1" s="11" t="s">
        <v>1451</v>
      </c>
      <c r="AL1" s="11" t="s">
        <v>1452</v>
      </c>
      <c r="AM1" s="11" t="s">
        <v>1453</v>
      </c>
      <c r="AN1" s="11" t="s">
        <v>1454</v>
      </c>
      <c r="AO1" s="11" t="s">
        <v>1455</v>
      </c>
      <c r="AP1" s="11" t="s">
        <v>1456</v>
      </c>
      <c r="AQ1" s="11" t="s">
        <v>1457</v>
      </c>
      <c r="AR1" s="11" t="s">
        <v>1458</v>
      </c>
      <c r="AS1" s="11" t="s">
        <v>1459</v>
      </c>
      <c r="AT1" s="11" t="s">
        <v>1460</v>
      </c>
      <c r="AU1" s="11"/>
      <c r="AV1" s="11" t="s">
        <v>1461</v>
      </c>
      <c r="AW1" s="29" t="s">
        <v>1462</v>
      </c>
      <c r="AX1" s="30" t="s">
        <v>1463</v>
      </c>
      <c r="AY1" s="31" t="s">
        <v>1464</v>
      </c>
      <c r="AZ1" s="11" t="s">
        <v>1465</v>
      </c>
      <c r="BA1" s="11" t="s">
        <v>1466</v>
      </c>
      <c r="BB1" s="11" t="s">
        <v>1467</v>
      </c>
      <c r="BC1" s="11" t="s">
        <v>1468</v>
      </c>
      <c r="BD1" s="11" t="s">
        <v>1469</v>
      </c>
      <c r="BE1" s="11" t="s">
        <v>1470</v>
      </c>
      <c r="BF1" s="11" t="s">
        <v>1471</v>
      </c>
      <c r="BG1" s="11" t="s">
        <v>1472</v>
      </c>
      <c r="BH1" s="11" t="s">
        <v>1473</v>
      </c>
      <c r="BI1" s="11" t="s">
        <v>1474</v>
      </c>
      <c r="BJ1" s="11" t="s">
        <v>1475</v>
      </c>
      <c r="BK1" s="11" t="s">
        <v>1476</v>
      </c>
      <c r="BL1" s="11" t="s">
        <v>1477</v>
      </c>
      <c r="BM1" s="11" t="s">
        <v>1478</v>
      </c>
      <c r="BN1" s="11" t="s">
        <v>1479</v>
      </c>
      <c r="BO1" s="11" t="s">
        <v>1480</v>
      </c>
      <c r="BP1" s="11" t="s">
        <v>1481</v>
      </c>
      <c r="BQ1" s="11" t="s">
        <v>1482</v>
      </c>
      <c r="BR1" s="11" t="s">
        <v>1483</v>
      </c>
      <c r="BS1" s="11" t="s">
        <v>1484</v>
      </c>
      <c r="BT1" s="11"/>
      <c r="BU1" s="11" t="s">
        <v>1485</v>
      </c>
      <c r="BV1" s="11"/>
      <c r="BW1" s="11" t="s">
        <v>1486</v>
      </c>
      <c r="BX1" s="11" t="s">
        <v>1487</v>
      </c>
      <c r="BY1" s="11" t="s">
        <v>1488</v>
      </c>
      <c r="BZ1" s="11" t="s">
        <v>1489</v>
      </c>
      <c r="CA1" s="11" t="s">
        <v>1490</v>
      </c>
      <c r="CB1" s="11" t="s">
        <v>1491</v>
      </c>
      <c r="CC1" s="11" t="s">
        <v>1492</v>
      </c>
      <c r="CD1" s="11" t="s">
        <v>1493</v>
      </c>
      <c r="CE1" s="11" t="s">
        <v>1494</v>
      </c>
      <c r="CF1" s="11" t="s">
        <v>1495</v>
      </c>
      <c r="CG1" s="11" t="s">
        <v>1496</v>
      </c>
      <c r="CH1" s="11" t="s">
        <v>1497</v>
      </c>
      <c r="CI1" s="11" t="s">
        <v>1498</v>
      </c>
      <c r="CJ1" s="11" t="s">
        <v>1499</v>
      </c>
      <c r="CK1" s="11" t="s">
        <v>1500</v>
      </c>
      <c r="CL1" s="11" t="s">
        <v>1501</v>
      </c>
      <c r="CM1" s="11" t="s">
        <v>1502</v>
      </c>
      <c r="CN1" s="11" t="s">
        <v>1503</v>
      </c>
      <c r="CO1" s="11" t="s">
        <v>1504</v>
      </c>
      <c r="CP1" s="11" t="s">
        <v>1481</v>
      </c>
      <c r="CQ1" s="11" t="s">
        <v>1482</v>
      </c>
      <c r="CR1" s="11" t="s">
        <v>1483</v>
      </c>
      <c r="CS1" s="11" t="s">
        <v>1484</v>
      </c>
      <c r="CT1" s="11" t="s">
        <v>14</v>
      </c>
      <c r="CU1" s="11"/>
      <c r="CV1" s="11" t="s">
        <v>1461</v>
      </c>
      <c r="CW1" s="11" t="s">
        <v>1465</v>
      </c>
      <c r="CX1" s="11" t="s">
        <v>1466</v>
      </c>
      <c r="CY1" s="11" t="s">
        <v>1467</v>
      </c>
      <c r="CZ1" s="11" t="s">
        <v>1505</v>
      </c>
      <c r="DA1" s="11" t="s">
        <v>1506</v>
      </c>
      <c r="DB1" s="11" t="s">
        <v>1470</v>
      </c>
      <c r="DC1" s="11" t="s">
        <v>1471</v>
      </c>
      <c r="DD1" s="11" t="s">
        <v>1472</v>
      </c>
      <c r="DE1" s="11" t="s">
        <v>1473</v>
      </c>
      <c r="DF1" s="11" t="s">
        <v>1474</v>
      </c>
      <c r="DG1" s="11" t="s">
        <v>1475</v>
      </c>
      <c r="DH1" s="11" t="s">
        <v>1507</v>
      </c>
      <c r="DI1" s="11" t="s">
        <v>1508</v>
      </c>
      <c r="DJ1" s="11" t="s">
        <v>1509</v>
      </c>
      <c r="DK1" s="11" t="s">
        <v>1510</v>
      </c>
      <c r="DL1" s="11" t="s">
        <v>1511</v>
      </c>
      <c r="DM1" s="11" t="s">
        <v>1512</v>
      </c>
      <c r="DN1" s="11" t="s">
        <v>1513</v>
      </c>
      <c r="DO1" s="11" t="s">
        <v>1514</v>
      </c>
      <c r="DP1" s="11" t="s">
        <v>1515</v>
      </c>
      <c r="DQ1" s="11" t="s">
        <v>1512</v>
      </c>
      <c r="DR1" s="11" t="s">
        <v>1513</v>
      </c>
      <c r="DS1" s="11" t="s">
        <v>1498</v>
      </c>
      <c r="DT1" s="11" t="s">
        <v>1516</v>
      </c>
      <c r="DU1" s="11" t="s">
        <v>1517</v>
      </c>
      <c r="DV1" s="11" t="s">
        <v>1518</v>
      </c>
      <c r="DW1" s="11" t="s">
        <v>1519</v>
      </c>
      <c r="DX1" s="11" t="s">
        <v>1520</v>
      </c>
      <c r="DY1" s="11" t="s">
        <v>1521</v>
      </c>
      <c r="DZ1" s="11" t="s">
        <v>1522</v>
      </c>
    </row>
    <row r="2" spans="1:130" x14ac:dyDescent="0.2">
      <c r="A2" s="8" t="s">
        <v>40</v>
      </c>
      <c r="B2" s="32">
        <v>31256</v>
      </c>
      <c r="C2" s="32">
        <v>44453</v>
      </c>
      <c r="D2" s="1">
        <v>36.132158771227303</v>
      </c>
      <c r="E2" s="1" t="s">
        <v>1523</v>
      </c>
      <c r="F2" s="1" t="s">
        <v>1524</v>
      </c>
      <c r="G2" s="1" t="s">
        <v>1525</v>
      </c>
      <c r="H2" s="1" t="s">
        <v>51</v>
      </c>
      <c r="I2" s="1">
        <v>1.78</v>
      </c>
      <c r="J2" s="1" t="s">
        <v>51</v>
      </c>
      <c r="K2" s="1">
        <v>96.9</v>
      </c>
      <c r="L2" s="1">
        <v>30.583259689433099</v>
      </c>
      <c r="M2" s="1" t="s">
        <v>45</v>
      </c>
      <c r="N2" s="1" t="s">
        <v>45</v>
      </c>
      <c r="O2" s="1" t="s">
        <v>45</v>
      </c>
      <c r="P2" s="1" t="s">
        <v>45</v>
      </c>
      <c r="Q2" s="1" t="s">
        <v>45</v>
      </c>
      <c r="R2" s="1" t="s">
        <v>45</v>
      </c>
      <c r="S2" s="1" t="s">
        <v>45</v>
      </c>
      <c r="T2" s="1" t="s">
        <v>45</v>
      </c>
      <c r="U2" s="1" t="s">
        <v>45</v>
      </c>
      <c r="V2" s="1" t="s">
        <v>45</v>
      </c>
      <c r="W2" s="1" t="s">
        <v>45</v>
      </c>
      <c r="X2" s="1" t="s">
        <v>45</v>
      </c>
      <c r="Y2" s="1" t="s">
        <v>45</v>
      </c>
      <c r="Z2" s="1" t="s">
        <v>45</v>
      </c>
      <c r="AA2" s="1" t="s">
        <v>45</v>
      </c>
      <c r="AB2" s="1" t="s">
        <v>45</v>
      </c>
      <c r="AC2" s="1" t="s">
        <v>45</v>
      </c>
      <c r="AD2" s="1" t="s">
        <v>45</v>
      </c>
      <c r="AE2" s="1" t="s">
        <v>45</v>
      </c>
      <c r="AF2" s="32">
        <v>44455</v>
      </c>
      <c r="AG2" s="1">
        <v>36.137634585241301</v>
      </c>
      <c r="AH2" s="1" t="s">
        <v>1526</v>
      </c>
      <c r="AI2" s="1" t="s">
        <v>1527</v>
      </c>
      <c r="AJ2" s="1" t="s">
        <v>45</v>
      </c>
      <c r="AK2" s="1" t="s">
        <v>51</v>
      </c>
      <c r="AL2" s="1" t="s">
        <v>51</v>
      </c>
      <c r="AM2" s="1" t="s">
        <v>45</v>
      </c>
      <c r="AN2" s="1" t="s">
        <v>51</v>
      </c>
      <c r="AO2" s="1" t="s">
        <v>45</v>
      </c>
      <c r="AP2" s="1" t="s">
        <v>45</v>
      </c>
      <c r="AQ2" s="1" t="s">
        <v>45</v>
      </c>
      <c r="AR2" s="1" t="s">
        <v>45</v>
      </c>
      <c r="AT2" s="1" t="s">
        <v>1528</v>
      </c>
      <c r="AW2" s="33" t="s">
        <v>1463</v>
      </c>
      <c r="AX2" s="3" t="s">
        <v>1528</v>
      </c>
      <c r="AY2" s="3"/>
      <c r="AZ2" s="1">
        <v>4</v>
      </c>
      <c r="BA2" s="1" t="s">
        <v>1529</v>
      </c>
      <c r="BB2" s="1" t="s">
        <v>1530</v>
      </c>
      <c r="BC2" s="1" t="s">
        <v>1531</v>
      </c>
      <c r="BD2" s="1" t="s">
        <v>1532</v>
      </c>
      <c r="BE2" s="1" t="s">
        <v>1533</v>
      </c>
      <c r="BF2" s="1" t="s">
        <v>1534</v>
      </c>
      <c r="BG2" s="1" t="s">
        <v>45</v>
      </c>
      <c r="BH2" s="1" t="s">
        <v>46</v>
      </c>
      <c r="BI2" s="1" t="s">
        <v>1535</v>
      </c>
      <c r="BJ2" s="1" t="s">
        <v>45</v>
      </c>
      <c r="BK2" s="1" t="s">
        <v>1536</v>
      </c>
      <c r="BL2" s="32">
        <v>44455</v>
      </c>
      <c r="BM2" s="1" t="s">
        <v>41</v>
      </c>
      <c r="BO2" s="1" t="s">
        <v>1537</v>
      </c>
      <c r="BP2" s="1" t="s">
        <v>1538</v>
      </c>
      <c r="BQ2" s="1" t="s">
        <v>1539</v>
      </c>
      <c r="BR2" s="1" t="s">
        <v>1540</v>
      </c>
      <c r="BS2" s="1" t="s">
        <v>43</v>
      </c>
      <c r="BU2" s="1" t="s">
        <v>51</v>
      </c>
      <c r="BV2" s="1" t="s">
        <v>1541</v>
      </c>
      <c r="BW2" s="1" t="s">
        <v>1542</v>
      </c>
      <c r="CA2" s="1" t="s">
        <v>51</v>
      </c>
      <c r="CB2" s="1" t="s">
        <v>51</v>
      </c>
      <c r="CC2" s="32">
        <v>44468</v>
      </c>
      <c r="CD2" s="1">
        <v>40.049999999999997</v>
      </c>
      <c r="CE2" s="1">
        <v>15</v>
      </c>
      <c r="CJ2" s="1" t="s">
        <v>51</v>
      </c>
      <c r="CK2" s="32">
        <v>44576</v>
      </c>
      <c r="CL2" s="1" t="s">
        <v>45</v>
      </c>
      <c r="DH2" s="1" t="s">
        <v>45</v>
      </c>
      <c r="DM2" s="1" t="s">
        <v>45</v>
      </c>
      <c r="DO2" s="1" t="s">
        <v>45</v>
      </c>
      <c r="DQ2" s="1" t="s">
        <v>45</v>
      </c>
      <c r="DT2" s="32">
        <v>44595</v>
      </c>
      <c r="DU2" s="1" t="s">
        <v>1543</v>
      </c>
      <c r="DV2" s="1">
        <v>4.59921156373193</v>
      </c>
      <c r="DW2" s="1" t="s">
        <v>45</v>
      </c>
      <c r="DY2" s="32">
        <v>45805</v>
      </c>
      <c r="DZ2" s="1" t="s">
        <v>1544</v>
      </c>
    </row>
    <row r="3" spans="1:130" x14ac:dyDescent="0.2">
      <c r="A3" s="8" t="s">
        <v>471</v>
      </c>
      <c r="B3" s="32">
        <v>17314</v>
      </c>
      <c r="C3" s="32">
        <v>44530</v>
      </c>
      <c r="D3" s="1">
        <v>74.514991181657805</v>
      </c>
      <c r="E3" s="1" t="s">
        <v>1523</v>
      </c>
      <c r="F3" s="1" t="s">
        <v>1524</v>
      </c>
      <c r="G3" s="1" t="s">
        <v>1545</v>
      </c>
      <c r="H3" s="1" t="s">
        <v>51</v>
      </c>
      <c r="I3" s="1">
        <v>1.75</v>
      </c>
      <c r="J3" s="1" t="s">
        <v>51</v>
      </c>
      <c r="K3" s="1">
        <v>83.3</v>
      </c>
      <c r="L3" s="1">
        <v>27.2</v>
      </c>
      <c r="M3" s="1" t="s">
        <v>45</v>
      </c>
      <c r="N3" s="1" t="s">
        <v>45</v>
      </c>
      <c r="O3" s="1" t="s">
        <v>45</v>
      </c>
      <c r="P3" s="1" t="s">
        <v>45</v>
      </c>
      <c r="Q3" s="1" t="s">
        <v>45</v>
      </c>
      <c r="R3" s="1" t="s">
        <v>45</v>
      </c>
      <c r="S3" s="1" t="s">
        <v>45</v>
      </c>
      <c r="T3" s="1" t="s">
        <v>45</v>
      </c>
      <c r="U3" s="1" t="s">
        <v>45</v>
      </c>
      <c r="V3" s="1" t="s">
        <v>45</v>
      </c>
      <c r="W3" s="1" t="s">
        <v>45</v>
      </c>
      <c r="X3" s="1" t="s">
        <v>45</v>
      </c>
      <c r="Y3" s="1" t="s">
        <v>45</v>
      </c>
      <c r="Z3" s="1" t="s">
        <v>45</v>
      </c>
      <c r="AA3" s="1" t="s">
        <v>45</v>
      </c>
      <c r="AB3" s="1" t="s">
        <v>45</v>
      </c>
      <c r="AC3" s="1" t="s">
        <v>45</v>
      </c>
      <c r="AD3" s="1" t="s">
        <v>45</v>
      </c>
      <c r="AE3" s="1" t="s">
        <v>45</v>
      </c>
      <c r="AF3" s="32">
        <v>44530</v>
      </c>
      <c r="AG3" s="1">
        <v>74.514991181657805</v>
      </c>
      <c r="AH3" s="1" t="s">
        <v>1526</v>
      </c>
      <c r="AI3" s="1" t="s">
        <v>1527</v>
      </c>
      <c r="AJ3" s="1" t="s">
        <v>45</v>
      </c>
      <c r="AK3" s="1" t="s">
        <v>51</v>
      </c>
      <c r="AL3" s="1" t="s">
        <v>45</v>
      </c>
      <c r="AM3" s="1" t="s">
        <v>45</v>
      </c>
      <c r="AN3" s="1" t="s">
        <v>45</v>
      </c>
      <c r="AO3" s="1" t="s">
        <v>45</v>
      </c>
      <c r="AP3" s="1" t="s">
        <v>45</v>
      </c>
      <c r="AQ3" s="1" t="s">
        <v>45</v>
      </c>
      <c r="AR3" s="1" t="s">
        <v>45</v>
      </c>
      <c r="AT3" s="1" t="s">
        <v>1546</v>
      </c>
      <c r="AV3" s="1" t="s">
        <v>1463</v>
      </c>
      <c r="AW3" s="33" t="s">
        <v>1463</v>
      </c>
      <c r="AX3" s="33" t="s">
        <v>1547</v>
      </c>
      <c r="AY3" s="3"/>
      <c r="AZ3" s="1">
        <v>3</v>
      </c>
      <c r="BB3" s="1" t="s">
        <v>1530</v>
      </c>
      <c r="BC3" s="1" t="s">
        <v>1531</v>
      </c>
      <c r="BE3" s="1" t="s">
        <v>1533</v>
      </c>
      <c r="BF3" s="1" t="s">
        <v>1548</v>
      </c>
      <c r="BG3" s="1" t="s">
        <v>1525</v>
      </c>
      <c r="BH3" s="1" t="s">
        <v>46</v>
      </c>
      <c r="BI3" s="1" t="s">
        <v>1535</v>
      </c>
      <c r="BJ3" s="1" t="s">
        <v>51</v>
      </c>
      <c r="BK3" s="1" t="s">
        <v>1549</v>
      </c>
      <c r="BL3" s="32">
        <v>44530</v>
      </c>
      <c r="BM3" s="1" t="s">
        <v>1550</v>
      </c>
      <c r="BO3" s="1" t="s">
        <v>1537</v>
      </c>
      <c r="BP3" s="1" t="s">
        <v>1551</v>
      </c>
      <c r="BQ3" s="1" t="s">
        <v>1539</v>
      </c>
      <c r="BR3" s="1" t="s">
        <v>1552</v>
      </c>
      <c r="BS3" s="1" t="s">
        <v>106</v>
      </c>
      <c r="BU3" s="1" t="s">
        <v>51</v>
      </c>
      <c r="BW3" s="1" t="s">
        <v>1542</v>
      </c>
      <c r="CA3" s="1" t="s">
        <v>51</v>
      </c>
      <c r="CB3" s="1" t="s">
        <v>51</v>
      </c>
      <c r="CC3" s="32">
        <v>44562</v>
      </c>
      <c r="CD3" s="1">
        <v>40</v>
      </c>
      <c r="CE3" s="1">
        <v>15</v>
      </c>
      <c r="CI3" s="1" t="s">
        <v>1553</v>
      </c>
      <c r="CJ3" s="1" t="s">
        <v>51</v>
      </c>
      <c r="CK3" s="32">
        <v>44927</v>
      </c>
      <c r="CL3" s="1" t="s">
        <v>45</v>
      </c>
      <c r="DH3" s="1" t="s">
        <v>51</v>
      </c>
      <c r="DI3" s="1" t="s">
        <v>1554</v>
      </c>
      <c r="DJ3" s="32">
        <v>44927</v>
      </c>
      <c r="DM3" s="1" t="s">
        <v>45</v>
      </c>
      <c r="DO3" s="1" t="s">
        <v>45</v>
      </c>
      <c r="DQ3" s="1" t="s">
        <v>45</v>
      </c>
      <c r="DS3" s="1" t="s">
        <v>1555</v>
      </c>
      <c r="DT3" s="32">
        <v>45086</v>
      </c>
      <c r="DU3" s="1" t="s">
        <v>1556</v>
      </c>
      <c r="DV3" s="1">
        <v>18.264071397284201</v>
      </c>
      <c r="DW3" s="1" t="s">
        <v>45</v>
      </c>
      <c r="DY3" s="32">
        <v>45086</v>
      </c>
      <c r="DZ3" s="1" t="s">
        <v>1557</v>
      </c>
    </row>
    <row r="4" spans="1:130" x14ac:dyDescent="0.2">
      <c r="A4" s="8" t="s">
        <v>474</v>
      </c>
      <c r="B4" s="32">
        <v>34323</v>
      </c>
      <c r="C4" s="32">
        <v>41852</v>
      </c>
      <c r="D4" s="1">
        <v>20.6135877761578</v>
      </c>
      <c r="E4" s="1" t="s">
        <v>1523</v>
      </c>
      <c r="F4" s="1" t="s">
        <v>1524</v>
      </c>
      <c r="G4" s="1" t="s">
        <v>1545</v>
      </c>
      <c r="H4" s="1" t="s">
        <v>51</v>
      </c>
      <c r="I4" s="1">
        <v>1.88</v>
      </c>
      <c r="J4" s="1" t="s">
        <v>51</v>
      </c>
      <c r="K4" s="1">
        <v>93</v>
      </c>
      <c r="L4" s="1">
        <v>26.312811226799401</v>
      </c>
      <c r="M4" s="1" t="s">
        <v>45</v>
      </c>
      <c r="N4" s="1" t="s">
        <v>45</v>
      </c>
      <c r="O4" s="1" t="s">
        <v>45</v>
      </c>
      <c r="P4" s="1" t="s">
        <v>45</v>
      </c>
      <c r="Q4" s="1" t="s">
        <v>45</v>
      </c>
      <c r="R4" s="1" t="s">
        <v>45</v>
      </c>
      <c r="S4" s="1" t="s">
        <v>45</v>
      </c>
      <c r="T4" s="1" t="s">
        <v>45</v>
      </c>
      <c r="U4" s="1" t="s">
        <v>45</v>
      </c>
      <c r="V4" s="1" t="s">
        <v>45</v>
      </c>
      <c r="W4" s="1" t="s">
        <v>45</v>
      </c>
      <c r="X4" s="1" t="s">
        <v>45</v>
      </c>
      <c r="Y4" s="1" t="s">
        <v>45</v>
      </c>
      <c r="Z4" s="1" t="s">
        <v>45</v>
      </c>
      <c r="AA4" s="1" t="s">
        <v>45</v>
      </c>
      <c r="AB4" s="1" t="s">
        <v>45</v>
      </c>
      <c r="AC4" s="1" t="s">
        <v>45</v>
      </c>
      <c r="AD4" s="1" t="s">
        <v>45</v>
      </c>
      <c r="AE4" s="1" t="s">
        <v>45</v>
      </c>
      <c r="AF4" s="32">
        <v>41852</v>
      </c>
      <c r="AG4" s="1">
        <v>20.6135877761578</v>
      </c>
      <c r="AH4" s="1" t="s">
        <v>1558</v>
      </c>
      <c r="AI4" s="1" t="s">
        <v>1527</v>
      </c>
      <c r="AJ4" s="1" t="s">
        <v>45</v>
      </c>
      <c r="AK4" s="1" t="s">
        <v>45</v>
      </c>
      <c r="AL4" s="1" t="s">
        <v>45</v>
      </c>
      <c r="AM4" s="1" t="s">
        <v>45</v>
      </c>
      <c r="AN4" s="1" t="s">
        <v>45</v>
      </c>
      <c r="AO4" s="1" t="s">
        <v>45</v>
      </c>
      <c r="AP4" s="1" t="s">
        <v>45</v>
      </c>
      <c r="AQ4" s="1" t="s">
        <v>45</v>
      </c>
      <c r="AR4" s="1" t="s">
        <v>51</v>
      </c>
      <c r="AS4" s="1" t="s">
        <v>1559</v>
      </c>
      <c r="AT4" s="1" t="s">
        <v>1560</v>
      </c>
      <c r="AW4" s="33" t="s">
        <v>1464</v>
      </c>
      <c r="AX4" s="3"/>
      <c r="AY4" s="3" t="s">
        <v>1560</v>
      </c>
      <c r="AZ4" s="1">
        <v>2</v>
      </c>
      <c r="BB4" s="1" t="s">
        <v>1561</v>
      </c>
      <c r="BC4" s="1" t="s">
        <v>1531</v>
      </c>
      <c r="BE4" s="1" t="s">
        <v>1525</v>
      </c>
      <c r="BG4" s="1" t="s">
        <v>1525</v>
      </c>
      <c r="BH4" s="1" t="s">
        <v>1525</v>
      </c>
      <c r="BI4" s="1" t="s">
        <v>1525</v>
      </c>
      <c r="BJ4" s="1" t="s">
        <v>1525</v>
      </c>
      <c r="BK4" s="1" t="s">
        <v>1549</v>
      </c>
      <c r="BL4" s="32">
        <v>41852</v>
      </c>
      <c r="BM4" s="1" t="s">
        <v>1562</v>
      </c>
      <c r="BO4" s="1" t="s">
        <v>1537</v>
      </c>
      <c r="BP4" s="1" t="s">
        <v>1551</v>
      </c>
      <c r="BQ4" s="1" t="s">
        <v>1539</v>
      </c>
      <c r="BR4" s="1" t="s">
        <v>1552</v>
      </c>
      <c r="BS4" s="1" t="s">
        <v>50</v>
      </c>
      <c r="BU4" s="1" t="s">
        <v>1525</v>
      </c>
      <c r="BW4" s="1" t="s">
        <v>1563</v>
      </c>
      <c r="BX4" s="32">
        <v>41913</v>
      </c>
      <c r="BY4" s="1">
        <v>12</v>
      </c>
      <c r="CA4" s="1" t="s">
        <v>51</v>
      </c>
      <c r="CB4" s="1" t="s">
        <v>51</v>
      </c>
      <c r="CC4" s="32">
        <v>41883</v>
      </c>
      <c r="CD4" s="1" t="s">
        <v>1564</v>
      </c>
      <c r="CE4" s="1" t="s">
        <v>1564</v>
      </c>
      <c r="CI4" s="1" t="s">
        <v>1565</v>
      </c>
      <c r="CJ4" s="1" t="s">
        <v>51</v>
      </c>
      <c r="CK4" s="32">
        <v>44545</v>
      </c>
      <c r="CL4" s="1" t="s">
        <v>51</v>
      </c>
      <c r="CM4" s="32">
        <v>44545</v>
      </c>
      <c r="CN4" s="1">
        <v>7.3732976492786699</v>
      </c>
      <c r="CO4" s="1" t="s">
        <v>1537</v>
      </c>
      <c r="CP4" s="1" t="s">
        <v>1566</v>
      </c>
      <c r="CQ4" s="1" t="s">
        <v>1539</v>
      </c>
      <c r="CR4" s="1" t="s">
        <v>1552</v>
      </c>
      <c r="CS4" s="1" t="s">
        <v>50</v>
      </c>
      <c r="CT4" s="1" t="s">
        <v>1560</v>
      </c>
      <c r="CW4" s="1">
        <v>4</v>
      </c>
      <c r="CY4" s="1" t="s">
        <v>1567</v>
      </c>
      <c r="CZ4" s="1" t="s">
        <v>1531</v>
      </c>
      <c r="DB4" s="1" t="s">
        <v>1533</v>
      </c>
      <c r="DC4" s="1" t="s">
        <v>1548</v>
      </c>
      <c r="DD4" s="1" t="s">
        <v>1525</v>
      </c>
      <c r="DE4" s="1" t="s">
        <v>46</v>
      </c>
      <c r="DF4" s="1" t="s">
        <v>68</v>
      </c>
      <c r="DG4" s="1" t="s">
        <v>1525</v>
      </c>
      <c r="DH4" s="1" t="s">
        <v>51</v>
      </c>
      <c r="DI4" s="1" t="s">
        <v>1568</v>
      </c>
      <c r="DJ4" s="32">
        <v>44409</v>
      </c>
      <c r="DK4" s="1" t="s">
        <v>1569</v>
      </c>
      <c r="DM4" s="1" t="s">
        <v>45</v>
      </c>
      <c r="DO4" s="1" t="s">
        <v>51</v>
      </c>
      <c r="DP4" s="1" t="s">
        <v>1570</v>
      </c>
      <c r="DQ4" s="1" t="s">
        <v>51</v>
      </c>
      <c r="DR4" s="1" t="s">
        <v>1571</v>
      </c>
      <c r="DS4" s="1" t="s">
        <v>1572</v>
      </c>
      <c r="DT4" s="32">
        <v>45050</v>
      </c>
      <c r="DU4" s="1" t="s">
        <v>1543</v>
      </c>
      <c r="DV4" s="1">
        <v>105.059132720105</v>
      </c>
      <c r="DW4" s="1" t="s">
        <v>51</v>
      </c>
      <c r="DX4" s="1" t="s">
        <v>1573</v>
      </c>
      <c r="DY4" s="32">
        <v>45265</v>
      </c>
      <c r="DZ4" s="1" t="s">
        <v>1557</v>
      </c>
    </row>
    <row r="5" spans="1:130" x14ac:dyDescent="0.2">
      <c r="A5" s="8" t="s">
        <v>48</v>
      </c>
      <c r="B5" s="32">
        <v>25824</v>
      </c>
      <c r="C5" s="32">
        <v>44122</v>
      </c>
      <c r="D5" s="1">
        <v>50.098222413875703</v>
      </c>
      <c r="E5" s="1" t="s">
        <v>1523</v>
      </c>
      <c r="F5" s="1" t="s">
        <v>1524</v>
      </c>
      <c r="G5" s="1" t="s">
        <v>1574</v>
      </c>
      <c r="H5" s="1" t="s">
        <v>51</v>
      </c>
      <c r="I5" s="1">
        <v>1.75</v>
      </c>
      <c r="J5" s="1" t="s">
        <v>51</v>
      </c>
      <c r="K5" s="1">
        <v>109.2</v>
      </c>
      <c r="L5" s="1">
        <v>35.657142857142802</v>
      </c>
      <c r="M5" s="1" t="s">
        <v>51</v>
      </c>
      <c r="N5" s="1" t="s">
        <v>45</v>
      </c>
      <c r="O5" s="1" t="s">
        <v>45</v>
      </c>
      <c r="P5" s="1" t="s">
        <v>45</v>
      </c>
      <c r="Q5" s="1" t="s">
        <v>45</v>
      </c>
      <c r="R5" s="1" t="s">
        <v>45</v>
      </c>
      <c r="S5" s="1" t="s">
        <v>45</v>
      </c>
      <c r="T5" s="1" t="s">
        <v>45</v>
      </c>
      <c r="U5" s="1" t="s">
        <v>45</v>
      </c>
      <c r="V5" s="1" t="s">
        <v>45</v>
      </c>
      <c r="W5" s="1" t="s">
        <v>45</v>
      </c>
      <c r="X5" s="1" t="s">
        <v>45</v>
      </c>
      <c r="Y5" s="1" t="s">
        <v>45</v>
      </c>
      <c r="Z5" s="1" t="s">
        <v>45</v>
      </c>
      <c r="AA5" s="1" t="s">
        <v>45</v>
      </c>
      <c r="AB5" s="1" t="s">
        <v>45</v>
      </c>
      <c r="AC5" s="1" t="s">
        <v>45</v>
      </c>
      <c r="AD5" s="1" t="s">
        <v>45</v>
      </c>
      <c r="AE5" s="1" t="s">
        <v>45</v>
      </c>
      <c r="AF5" s="32">
        <v>44566</v>
      </c>
      <c r="AG5" s="1">
        <v>51.3138531249786</v>
      </c>
      <c r="AH5" s="1" t="s">
        <v>1526</v>
      </c>
      <c r="AI5" s="1" t="s">
        <v>1527</v>
      </c>
      <c r="AJ5" s="1" t="s">
        <v>45</v>
      </c>
      <c r="AK5" s="1" t="s">
        <v>45</v>
      </c>
      <c r="AL5" s="1" t="s">
        <v>45</v>
      </c>
      <c r="AM5" s="1" t="s">
        <v>51</v>
      </c>
      <c r="AN5" s="1" t="s">
        <v>45</v>
      </c>
      <c r="AO5" s="1" t="s">
        <v>45</v>
      </c>
      <c r="AP5" s="1" t="s">
        <v>45</v>
      </c>
      <c r="AQ5" s="1" t="s">
        <v>45</v>
      </c>
      <c r="AR5" s="1" t="s">
        <v>45</v>
      </c>
      <c r="AT5" s="1" t="s">
        <v>1528</v>
      </c>
      <c r="AW5" s="33" t="s">
        <v>1463</v>
      </c>
      <c r="AX5" s="3" t="s">
        <v>1528</v>
      </c>
      <c r="AY5" s="3"/>
      <c r="AZ5" s="1">
        <v>4</v>
      </c>
      <c r="BA5" s="1" t="s">
        <v>1529</v>
      </c>
      <c r="BB5" s="1" t="s">
        <v>1530</v>
      </c>
      <c r="BC5" s="1" t="s">
        <v>1531</v>
      </c>
      <c r="BD5" s="1" t="s">
        <v>1532</v>
      </c>
      <c r="BE5" s="1" t="s">
        <v>1533</v>
      </c>
      <c r="BF5" s="1" t="s">
        <v>1534</v>
      </c>
      <c r="BG5" s="1" t="s">
        <v>45</v>
      </c>
      <c r="BH5" s="1" t="s">
        <v>46</v>
      </c>
      <c r="BI5" s="1" t="s">
        <v>1535</v>
      </c>
      <c r="BJ5" s="1" t="s">
        <v>1525</v>
      </c>
      <c r="BK5" s="1" t="s">
        <v>1536</v>
      </c>
      <c r="BL5" s="32">
        <v>44119</v>
      </c>
      <c r="BM5" s="1" t="s">
        <v>49</v>
      </c>
      <c r="BO5" s="1" t="s">
        <v>1537</v>
      </c>
      <c r="BP5" s="1" t="s">
        <v>1538</v>
      </c>
      <c r="BQ5" s="1" t="s">
        <v>1539</v>
      </c>
      <c r="BR5" s="1" t="s">
        <v>1552</v>
      </c>
      <c r="BS5" s="1" t="s">
        <v>50</v>
      </c>
      <c r="BU5" s="1" t="s">
        <v>51</v>
      </c>
      <c r="BV5" s="1" t="s">
        <v>1541</v>
      </c>
      <c r="BW5" s="1" t="s">
        <v>1563</v>
      </c>
      <c r="BX5" s="32">
        <v>44216</v>
      </c>
      <c r="BY5" s="1">
        <v>9</v>
      </c>
      <c r="BZ5" s="1" t="s">
        <v>1575</v>
      </c>
      <c r="CA5" s="1" t="s">
        <v>51</v>
      </c>
      <c r="CB5" s="1" t="s">
        <v>51</v>
      </c>
      <c r="CC5" s="32">
        <v>44144</v>
      </c>
      <c r="CD5" s="1">
        <v>60</v>
      </c>
      <c r="CE5" s="1">
        <v>30</v>
      </c>
      <c r="CF5" s="1" t="s">
        <v>1576</v>
      </c>
      <c r="CG5" s="1" t="s">
        <v>1577</v>
      </c>
      <c r="CJ5" s="1" t="s">
        <v>51</v>
      </c>
      <c r="CK5" s="32">
        <v>44566</v>
      </c>
      <c r="CL5" s="1" t="s">
        <v>51</v>
      </c>
      <c r="CM5" s="32">
        <v>44566</v>
      </c>
      <c r="CN5" s="1">
        <v>1.22384443212386</v>
      </c>
      <c r="CO5" s="1" t="s">
        <v>1537</v>
      </c>
      <c r="CP5" s="1" t="s">
        <v>1566</v>
      </c>
      <c r="CQ5" s="1" t="s">
        <v>1539</v>
      </c>
      <c r="CR5" s="1" t="s">
        <v>1552</v>
      </c>
      <c r="CS5" s="1" t="s">
        <v>50</v>
      </c>
      <c r="CT5" s="1" t="s">
        <v>1528</v>
      </c>
      <c r="CW5" s="1">
        <v>4</v>
      </c>
      <c r="CX5" s="1" t="s">
        <v>1529</v>
      </c>
      <c r="CY5" s="1" t="s">
        <v>1530</v>
      </c>
      <c r="CZ5" s="1" t="s">
        <v>1531</v>
      </c>
      <c r="DA5" s="1" t="s">
        <v>1532</v>
      </c>
      <c r="DB5" s="1" t="s">
        <v>1533</v>
      </c>
      <c r="DC5" s="1" t="s">
        <v>1534</v>
      </c>
      <c r="DD5" s="1" t="s">
        <v>45</v>
      </c>
      <c r="DE5" s="1" t="s">
        <v>46</v>
      </c>
      <c r="DF5" s="1" t="s">
        <v>68</v>
      </c>
      <c r="DG5" s="1" t="s">
        <v>45</v>
      </c>
      <c r="DH5" s="1" t="s">
        <v>45</v>
      </c>
      <c r="DM5" s="1" t="s">
        <v>45</v>
      </c>
      <c r="DO5" s="1" t="s">
        <v>45</v>
      </c>
      <c r="DQ5" s="1" t="s">
        <v>45</v>
      </c>
      <c r="DT5" s="32">
        <v>44575</v>
      </c>
      <c r="DU5" s="1" t="s">
        <v>1543</v>
      </c>
      <c r="DV5" s="1">
        <v>0.29566360052562402</v>
      </c>
      <c r="DW5" s="1" t="s">
        <v>45</v>
      </c>
      <c r="DY5" s="32">
        <v>45805</v>
      </c>
      <c r="DZ5" s="1" t="s">
        <v>1544</v>
      </c>
    </row>
    <row r="6" spans="1:130" x14ac:dyDescent="0.2">
      <c r="A6" s="8" t="s">
        <v>52</v>
      </c>
      <c r="B6" s="32">
        <v>26721</v>
      </c>
      <c r="C6" s="32">
        <v>42491</v>
      </c>
      <c r="D6" s="1">
        <v>43.176679420750098</v>
      </c>
      <c r="E6" s="1" t="s">
        <v>1523</v>
      </c>
      <c r="F6" s="1" t="s">
        <v>1578</v>
      </c>
      <c r="G6" s="1" t="s">
        <v>1574</v>
      </c>
      <c r="H6" s="1" t="s">
        <v>51</v>
      </c>
      <c r="I6" s="1">
        <v>1.74</v>
      </c>
      <c r="J6" s="1" t="s">
        <v>51</v>
      </c>
      <c r="K6" s="1">
        <v>86.3</v>
      </c>
      <c r="L6" s="1">
        <v>28.504425947945499</v>
      </c>
      <c r="M6" s="1" t="s">
        <v>45</v>
      </c>
      <c r="N6" s="1" t="s">
        <v>45</v>
      </c>
      <c r="O6" s="1" t="s">
        <v>45</v>
      </c>
      <c r="P6" s="1" t="s">
        <v>45</v>
      </c>
      <c r="Q6" s="1" t="s">
        <v>45</v>
      </c>
      <c r="R6" s="1" t="s">
        <v>45</v>
      </c>
      <c r="S6" s="1" t="s">
        <v>45</v>
      </c>
      <c r="T6" s="1" t="s">
        <v>45</v>
      </c>
      <c r="U6" s="1" t="s">
        <v>45</v>
      </c>
      <c r="V6" s="1" t="s">
        <v>45</v>
      </c>
      <c r="W6" s="1" t="s">
        <v>45</v>
      </c>
      <c r="X6" s="1" t="s">
        <v>45</v>
      </c>
      <c r="Y6" s="1" t="s">
        <v>45</v>
      </c>
      <c r="Z6" s="1" t="s">
        <v>45</v>
      </c>
      <c r="AA6" s="1" t="s">
        <v>45</v>
      </c>
      <c r="AB6" s="1" t="s">
        <v>45</v>
      </c>
      <c r="AC6" s="1" t="s">
        <v>45</v>
      </c>
      <c r="AD6" s="1" t="s">
        <v>45</v>
      </c>
      <c r="AE6" s="1" t="s">
        <v>45</v>
      </c>
      <c r="AF6" s="32">
        <v>42491</v>
      </c>
      <c r="AG6" s="1">
        <v>43.176679420750098</v>
      </c>
      <c r="AH6" s="1" t="s">
        <v>1526</v>
      </c>
      <c r="AI6" s="1" t="s">
        <v>1527</v>
      </c>
      <c r="AJ6" s="1" t="s">
        <v>45</v>
      </c>
      <c r="AK6" s="1" t="s">
        <v>51</v>
      </c>
      <c r="AL6" s="1" t="s">
        <v>45</v>
      </c>
      <c r="AM6" s="1" t="s">
        <v>45</v>
      </c>
      <c r="AN6" s="1" t="s">
        <v>45</v>
      </c>
      <c r="AO6" s="1" t="s">
        <v>45</v>
      </c>
      <c r="AP6" s="1" t="s">
        <v>45</v>
      </c>
      <c r="AQ6" s="1" t="s">
        <v>45</v>
      </c>
      <c r="AR6" s="1" t="s">
        <v>45</v>
      </c>
      <c r="AT6" s="1" t="s">
        <v>1528</v>
      </c>
      <c r="AW6" s="33" t="s">
        <v>1463</v>
      </c>
      <c r="AX6" s="3" t="s">
        <v>1528</v>
      </c>
      <c r="AY6" s="3"/>
      <c r="AZ6" s="1">
        <v>4</v>
      </c>
      <c r="BB6" s="1" t="s">
        <v>1530</v>
      </c>
      <c r="BC6" s="1" t="s">
        <v>1561</v>
      </c>
      <c r="BE6" s="1" t="s">
        <v>1525</v>
      </c>
      <c r="BG6" s="1" t="s">
        <v>51</v>
      </c>
      <c r="BH6" s="1" t="s">
        <v>46</v>
      </c>
      <c r="BI6" s="1" t="s">
        <v>1535</v>
      </c>
      <c r="BJ6" s="1" t="s">
        <v>1525</v>
      </c>
      <c r="BK6" s="1" t="s">
        <v>1549</v>
      </c>
      <c r="BL6" s="32">
        <v>42491</v>
      </c>
      <c r="BM6" s="1" t="s">
        <v>1579</v>
      </c>
      <c r="BO6" s="1" t="s">
        <v>1537</v>
      </c>
      <c r="BP6" s="1" t="s">
        <v>1551</v>
      </c>
      <c r="BQ6" s="1" t="s">
        <v>1539</v>
      </c>
      <c r="BR6" s="1" t="s">
        <v>1580</v>
      </c>
      <c r="BS6" s="1" t="s">
        <v>1581</v>
      </c>
      <c r="BU6" s="1" t="s">
        <v>1525</v>
      </c>
      <c r="BW6" s="1" t="s">
        <v>1563</v>
      </c>
      <c r="BX6" s="32">
        <v>42956</v>
      </c>
      <c r="BY6" s="1">
        <v>8</v>
      </c>
      <c r="CA6" s="1" t="s">
        <v>51</v>
      </c>
      <c r="CB6" s="1" t="s">
        <v>51</v>
      </c>
      <c r="CC6" s="32">
        <v>42534</v>
      </c>
      <c r="CD6" s="1">
        <v>60</v>
      </c>
      <c r="CE6" s="1">
        <v>30</v>
      </c>
      <c r="CJ6" s="1" t="s">
        <v>51</v>
      </c>
      <c r="CK6" s="32">
        <v>44169</v>
      </c>
      <c r="CL6" s="1" t="s">
        <v>51</v>
      </c>
      <c r="CM6" s="32">
        <v>44568</v>
      </c>
      <c r="CN6" s="1">
        <v>5.6867469329737501</v>
      </c>
      <c r="CO6" s="1" t="s">
        <v>1537</v>
      </c>
      <c r="CP6" s="1" t="s">
        <v>1566</v>
      </c>
      <c r="CQ6" s="1" t="s">
        <v>1539</v>
      </c>
      <c r="CR6" s="1" t="s">
        <v>1580</v>
      </c>
      <c r="CS6" s="1" t="s">
        <v>1581</v>
      </c>
      <c r="CT6" s="1" t="s">
        <v>1528</v>
      </c>
      <c r="CW6" s="1">
        <v>4</v>
      </c>
      <c r="CY6" s="1" t="s">
        <v>1530</v>
      </c>
      <c r="CZ6" s="1" t="s">
        <v>1561</v>
      </c>
      <c r="DB6" s="1" t="s">
        <v>1525</v>
      </c>
      <c r="DD6" s="1" t="s">
        <v>51</v>
      </c>
      <c r="DE6" s="1" t="s">
        <v>46</v>
      </c>
      <c r="DF6" s="1" t="s">
        <v>68</v>
      </c>
      <c r="DG6" s="1" t="s">
        <v>45</v>
      </c>
      <c r="DH6" s="1" t="s">
        <v>51</v>
      </c>
      <c r="DI6" s="1" t="s">
        <v>1582</v>
      </c>
      <c r="DJ6" s="32">
        <v>44167</v>
      </c>
      <c r="DK6" s="1" t="s">
        <v>1583</v>
      </c>
      <c r="DL6" s="1" t="s">
        <v>1584</v>
      </c>
      <c r="DM6" s="1" t="s">
        <v>45</v>
      </c>
      <c r="DO6" s="1" t="s">
        <v>51</v>
      </c>
      <c r="DP6" s="1" t="s">
        <v>1585</v>
      </c>
      <c r="DQ6" s="1" t="s">
        <v>45</v>
      </c>
      <c r="DS6" s="1" t="s">
        <v>1586</v>
      </c>
      <c r="DT6" s="32">
        <v>44652</v>
      </c>
      <c r="DU6" s="1" t="s">
        <v>1543</v>
      </c>
      <c r="DV6" s="1">
        <v>70.992115637319301</v>
      </c>
      <c r="DW6" s="1" t="s">
        <v>45</v>
      </c>
    </row>
    <row r="7" spans="1:130" x14ac:dyDescent="0.2">
      <c r="A7" s="8" t="s">
        <v>61</v>
      </c>
      <c r="B7" s="32">
        <v>26186</v>
      </c>
      <c r="C7" s="32">
        <v>42041</v>
      </c>
      <c r="D7" s="1">
        <v>43.409629675261399</v>
      </c>
      <c r="E7" s="1" t="s">
        <v>1587</v>
      </c>
      <c r="F7" s="1" t="s">
        <v>1524</v>
      </c>
      <c r="G7" s="1" t="s">
        <v>1574</v>
      </c>
      <c r="H7" s="1" t="s">
        <v>51</v>
      </c>
      <c r="I7" s="1">
        <v>1.52</v>
      </c>
      <c r="J7" s="1" t="s">
        <v>51</v>
      </c>
      <c r="K7" s="1">
        <v>61.8</v>
      </c>
      <c r="L7" s="1">
        <v>26.748614958448702</v>
      </c>
      <c r="M7" s="1" t="s">
        <v>45</v>
      </c>
      <c r="N7" s="1" t="s">
        <v>45</v>
      </c>
      <c r="O7" s="1" t="s">
        <v>45</v>
      </c>
      <c r="P7" s="1" t="s">
        <v>45</v>
      </c>
      <c r="Q7" s="1" t="s">
        <v>45</v>
      </c>
      <c r="R7" s="1" t="s">
        <v>45</v>
      </c>
      <c r="S7" s="1" t="s">
        <v>45</v>
      </c>
      <c r="T7" s="1" t="s">
        <v>45</v>
      </c>
      <c r="U7" s="1" t="s">
        <v>45</v>
      </c>
      <c r="V7" s="1" t="s">
        <v>45</v>
      </c>
      <c r="W7" s="1" t="s">
        <v>45</v>
      </c>
      <c r="X7" s="1" t="s">
        <v>45</v>
      </c>
      <c r="Y7" s="1" t="s">
        <v>45</v>
      </c>
      <c r="Z7" s="1" t="s">
        <v>45</v>
      </c>
      <c r="AA7" s="1" t="s">
        <v>45</v>
      </c>
      <c r="AB7" s="1" t="s">
        <v>45</v>
      </c>
      <c r="AC7" s="1" t="s">
        <v>45</v>
      </c>
      <c r="AD7" s="1" t="s">
        <v>45</v>
      </c>
      <c r="AE7" s="1" t="s">
        <v>45</v>
      </c>
      <c r="AF7" s="32">
        <v>42041</v>
      </c>
      <c r="AG7" s="1">
        <v>43.409629675261399</v>
      </c>
      <c r="AH7" s="1" t="s">
        <v>1526</v>
      </c>
      <c r="AI7" s="1" t="s">
        <v>1527</v>
      </c>
      <c r="AJ7" s="1" t="s">
        <v>45</v>
      </c>
      <c r="AK7" s="1" t="s">
        <v>45</v>
      </c>
      <c r="AL7" s="1" t="s">
        <v>45</v>
      </c>
      <c r="AM7" s="1" t="s">
        <v>51</v>
      </c>
      <c r="AN7" s="1" t="s">
        <v>45</v>
      </c>
      <c r="AO7" s="1" t="s">
        <v>45</v>
      </c>
      <c r="AP7" s="1" t="s">
        <v>45</v>
      </c>
      <c r="AQ7" s="1" t="s">
        <v>45</v>
      </c>
      <c r="AR7" s="1" t="s">
        <v>45</v>
      </c>
      <c r="AT7" s="1" t="s">
        <v>1528</v>
      </c>
      <c r="AW7" s="33" t="s">
        <v>1463</v>
      </c>
      <c r="AX7" s="3" t="s">
        <v>1528</v>
      </c>
      <c r="AY7" s="3"/>
      <c r="AZ7" s="1">
        <v>4</v>
      </c>
      <c r="BB7" s="1" t="s">
        <v>1530</v>
      </c>
      <c r="BC7" s="1" t="s">
        <v>1561</v>
      </c>
      <c r="BE7" s="1" t="s">
        <v>1533</v>
      </c>
      <c r="BG7" s="1" t="s">
        <v>1525</v>
      </c>
      <c r="BH7" s="1" t="s">
        <v>46</v>
      </c>
      <c r="BI7" s="1" t="s">
        <v>1535</v>
      </c>
      <c r="BJ7" s="1" t="s">
        <v>1525</v>
      </c>
      <c r="BK7" s="1" t="s">
        <v>1549</v>
      </c>
      <c r="BL7" s="32">
        <v>42041</v>
      </c>
      <c r="BM7" s="1" t="s">
        <v>1588</v>
      </c>
      <c r="BO7" s="1" t="s">
        <v>1537</v>
      </c>
      <c r="BP7" s="1" t="s">
        <v>1551</v>
      </c>
      <c r="BQ7" s="1" t="s">
        <v>1539</v>
      </c>
      <c r="BR7" s="1" t="s">
        <v>1589</v>
      </c>
      <c r="BS7" s="1" t="s">
        <v>1590</v>
      </c>
      <c r="BU7" s="1" t="s">
        <v>1525</v>
      </c>
      <c r="BW7" s="1" t="s">
        <v>1563</v>
      </c>
      <c r="BX7" s="32">
        <v>42151</v>
      </c>
      <c r="BY7" s="1">
        <v>12</v>
      </c>
      <c r="BZ7" s="1" t="s">
        <v>1591</v>
      </c>
      <c r="CA7" s="1" t="s">
        <v>51</v>
      </c>
      <c r="CB7" s="1" t="s">
        <v>51</v>
      </c>
      <c r="CC7" s="32">
        <v>42074</v>
      </c>
      <c r="CD7" s="1">
        <v>60</v>
      </c>
      <c r="CE7" s="1">
        <v>30</v>
      </c>
      <c r="CJ7" s="1" t="s">
        <v>51</v>
      </c>
      <c r="CK7" s="32">
        <v>44572</v>
      </c>
      <c r="CL7" s="1" t="s">
        <v>51</v>
      </c>
      <c r="CM7" s="32">
        <v>44572</v>
      </c>
      <c r="CN7" s="1">
        <v>6.9296426346879096</v>
      </c>
      <c r="CO7" s="1" t="s">
        <v>1537</v>
      </c>
      <c r="CP7" s="1" t="s">
        <v>1566</v>
      </c>
      <c r="CQ7" s="1" t="s">
        <v>1539</v>
      </c>
      <c r="CR7" s="1" t="s">
        <v>1589</v>
      </c>
      <c r="CS7" s="1" t="s">
        <v>1592</v>
      </c>
      <c r="CT7" s="1" t="s">
        <v>1528</v>
      </c>
      <c r="CW7" s="1">
        <v>4</v>
      </c>
      <c r="CY7" s="1" t="s">
        <v>1530</v>
      </c>
      <c r="CZ7" s="1" t="s">
        <v>1561</v>
      </c>
      <c r="DB7" s="1" t="s">
        <v>1533</v>
      </c>
      <c r="DD7" s="1" t="s">
        <v>45</v>
      </c>
      <c r="DE7" s="1" t="s">
        <v>46</v>
      </c>
      <c r="DF7" s="1" t="s">
        <v>68</v>
      </c>
      <c r="DG7" s="1" t="s">
        <v>45</v>
      </c>
      <c r="DH7" s="1" t="s">
        <v>51</v>
      </c>
      <c r="DI7" s="1" t="s">
        <v>1593</v>
      </c>
      <c r="DJ7" s="32">
        <v>44678</v>
      </c>
      <c r="DK7" s="1" t="s">
        <v>1583</v>
      </c>
      <c r="DL7" s="1" t="s">
        <v>1594</v>
      </c>
      <c r="DM7" s="1" t="s">
        <v>51</v>
      </c>
      <c r="DN7" s="1" t="s">
        <v>1595</v>
      </c>
      <c r="DO7" s="1" t="s">
        <v>51</v>
      </c>
      <c r="DP7" s="1" t="s">
        <v>1596</v>
      </c>
      <c r="DQ7" s="1" t="s">
        <v>51</v>
      </c>
      <c r="DR7" s="1" t="s">
        <v>1597</v>
      </c>
      <c r="DT7" s="32">
        <v>45779</v>
      </c>
      <c r="DU7" s="1" t="s">
        <v>1598</v>
      </c>
      <c r="DV7" s="1">
        <v>122.797579938677</v>
      </c>
      <c r="DW7" s="1" t="s">
        <v>45</v>
      </c>
    </row>
    <row r="8" spans="1:130" x14ac:dyDescent="0.2">
      <c r="A8" s="8" t="s">
        <v>64</v>
      </c>
      <c r="B8" s="32">
        <v>32463</v>
      </c>
      <c r="C8" s="32">
        <v>44572</v>
      </c>
      <c r="D8" s="1">
        <v>33.153315947623803</v>
      </c>
      <c r="E8" s="1" t="s">
        <v>1523</v>
      </c>
      <c r="F8" s="1" t="s">
        <v>1524</v>
      </c>
      <c r="G8" s="1" t="s">
        <v>1545</v>
      </c>
      <c r="H8" s="1" t="s">
        <v>51</v>
      </c>
      <c r="I8" s="1">
        <v>1.7270000000000001</v>
      </c>
      <c r="J8" s="1" t="s">
        <v>51</v>
      </c>
      <c r="K8" s="1">
        <v>99.2</v>
      </c>
      <c r="L8" s="1">
        <v>33.260363939462103</v>
      </c>
      <c r="M8" s="1" t="s">
        <v>45</v>
      </c>
      <c r="N8" s="1" t="s">
        <v>45</v>
      </c>
      <c r="O8" s="1" t="s">
        <v>45</v>
      </c>
      <c r="P8" s="1" t="s">
        <v>45</v>
      </c>
      <c r="Q8" s="1" t="s">
        <v>45</v>
      </c>
      <c r="R8" s="1" t="s">
        <v>45</v>
      </c>
      <c r="S8" s="1" t="s">
        <v>45</v>
      </c>
      <c r="T8" s="1" t="s">
        <v>45</v>
      </c>
      <c r="U8" s="1" t="s">
        <v>45</v>
      </c>
      <c r="V8" s="1" t="s">
        <v>45</v>
      </c>
      <c r="W8" s="1" t="s">
        <v>45</v>
      </c>
      <c r="X8" s="1" t="s">
        <v>45</v>
      </c>
      <c r="Y8" s="1" t="s">
        <v>45</v>
      </c>
      <c r="Z8" s="1" t="s">
        <v>45</v>
      </c>
      <c r="AA8" s="1" t="s">
        <v>45</v>
      </c>
      <c r="AB8" s="1" t="s">
        <v>45</v>
      </c>
      <c r="AC8" s="1" t="s">
        <v>45</v>
      </c>
      <c r="AD8" s="1" t="s">
        <v>45</v>
      </c>
      <c r="AE8" s="1" t="s">
        <v>45</v>
      </c>
      <c r="AF8" s="32">
        <v>44578</v>
      </c>
      <c r="AG8" s="1">
        <v>33.169743389665697</v>
      </c>
      <c r="AH8" s="1" t="s">
        <v>1526</v>
      </c>
      <c r="AI8" s="1" t="s">
        <v>1527</v>
      </c>
      <c r="AJ8" s="1" t="s">
        <v>45</v>
      </c>
      <c r="AK8" s="1" t="s">
        <v>45</v>
      </c>
      <c r="AL8" s="1" t="s">
        <v>45</v>
      </c>
      <c r="AM8" s="1" t="s">
        <v>51</v>
      </c>
      <c r="AN8" s="1" t="s">
        <v>45</v>
      </c>
      <c r="AO8" s="1" t="s">
        <v>45</v>
      </c>
      <c r="AP8" s="1" t="s">
        <v>45</v>
      </c>
      <c r="AQ8" s="1" t="s">
        <v>45</v>
      </c>
      <c r="AR8" s="1" t="s">
        <v>45</v>
      </c>
      <c r="AT8" s="1" t="s">
        <v>1560</v>
      </c>
      <c r="AW8" s="33" t="s">
        <v>1464</v>
      </c>
      <c r="AX8" s="3"/>
      <c r="AY8" s="3" t="s">
        <v>1560</v>
      </c>
      <c r="AZ8" s="1">
        <v>2</v>
      </c>
      <c r="BB8" s="1" t="s">
        <v>1567</v>
      </c>
      <c r="BE8" s="1" t="s">
        <v>1525</v>
      </c>
      <c r="BG8" s="1" t="s">
        <v>45</v>
      </c>
      <c r="BH8" s="1" t="s">
        <v>46</v>
      </c>
      <c r="BI8" s="1" t="s">
        <v>1599</v>
      </c>
      <c r="BJ8" s="1" t="s">
        <v>45</v>
      </c>
      <c r="BK8" s="1" t="s">
        <v>1549</v>
      </c>
      <c r="BL8" s="32">
        <v>44578</v>
      </c>
      <c r="BM8" s="1" t="s">
        <v>65</v>
      </c>
      <c r="BO8" s="1" t="s">
        <v>1537</v>
      </c>
      <c r="BP8" s="1" t="s">
        <v>1551</v>
      </c>
      <c r="BQ8" s="1" t="s">
        <v>1539</v>
      </c>
      <c r="BR8" s="1" t="s">
        <v>1580</v>
      </c>
      <c r="BS8" s="1" t="s">
        <v>1600</v>
      </c>
      <c r="BU8" s="1" t="s">
        <v>51</v>
      </c>
      <c r="BW8" s="1" t="s">
        <v>1563</v>
      </c>
      <c r="BX8" s="32">
        <v>44685</v>
      </c>
      <c r="BY8" s="1">
        <v>12</v>
      </c>
      <c r="BZ8" s="1" t="s">
        <v>1591</v>
      </c>
      <c r="CA8" s="1" t="s">
        <v>51</v>
      </c>
      <c r="CB8" s="1" t="s">
        <v>51</v>
      </c>
      <c r="CC8" s="32">
        <v>44609</v>
      </c>
      <c r="CD8" s="1">
        <v>54</v>
      </c>
      <c r="CE8" s="1">
        <v>30</v>
      </c>
      <c r="CJ8" s="1" t="s">
        <v>45</v>
      </c>
      <c r="DH8" s="1" t="s">
        <v>45</v>
      </c>
      <c r="DM8" s="1" t="s">
        <v>45</v>
      </c>
      <c r="DO8" s="1" t="s">
        <v>45</v>
      </c>
      <c r="DQ8" s="1" t="s">
        <v>45</v>
      </c>
      <c r="DT8" s="32">
        <v>45712</v>
      </c>
      <c r="DU8" s="1" t="s">
        <v>1598</v>
      </c>
      <c r="DV8" s="1">
        <v>37.253613666228603</v>
      </c>
      <c r="DW8" s="1" t="s">
        <v>45</v>
      </c>
    </row>
    <row r="9" spans="1:130" x14ac:dyDescent="0.2">
      <c r="A9" s="8" t="s">
        <v>74</v>
      </c>
      <c r="B9" s="32">
        <v>25552</v>
      </c>
      <c r="C9" s="32">
        <v>44580</v>
      </c>
      <c r="D9" s="1">
        <v>52.096894528977302</v>
      </c>
      <c r="E9" s="1" t="s">
        <v>1523</v>
      </c>
      <c r="F9" s="1" t="s">
        <v>1524</v>
      </c>
      <c r="G9" s="1" t="s">
        <v>1525</v>
      </c>
      <c r="H9" s="1" t="s">
        <v>51</v>
      </c>
      <c r="I9" s="1">
        <v>1.68</v>
      </c>
      <c r="J9" s="1" t="s">
        <v>51</v>
      </c>
      <c r="K9" s="1">
        <v>108.9</v>
      </c>
      <c r="L9" s="1">
        <v>38.584183673469397</v>
      </c>
      <c r="M9" s="1" t="s">
        <v>45</v>
      </c>
      <c r="N9" s="1" t="s">
        <v>45</v>
      </c>
      <c r="O9" s="1" t="s">
        <v>45</v>
      </c>
      <c r="P9" s="1" t="s">
        <v>45</v>
      </c>
      <c r="Q9" s="1" t="s">
        <v>45</v>
      </c>
      <c r="R9" s="1" t="s">
        <v>45</v>
      </c>
      <c r="S9" s="1" t="s">
        <v>45</v>
      </c>
      <c r="T9" s="1" t="s">
        <v>45</v>
      </c>
      <c r="U9" s="1" t="s">
        <v>45</v>
      </c>
      <c r="V9" s="1" t="s">
        <v>45</v>
      </c>
      <c r="W9" s="1" t="s">
        <v>45</v>
      </c>
      <c r="X9" s="1" t="s">
        <v>45</v>
      </c>
      <c r="Y9" s="1" t="s">
        <v>45</v>
      </c>
      <c r="Z9" s="1" t="s">
        <v>45</v>
      </c>
      <c r="AA9" s="1" t="s">
        <v>45</v>
      </c>
      <c r="AB9" s="1" t="s">
        <v>45</v>
      </c>
      <c r="AC9" s="1" t="s">
        <v>45</v>
      </c>
      <c r="AD9" s="1" t="s">
        <v>45</v>
      </c>
      <c r="AE9" s="1" t="s">
        <v>45</v>
      </c>
      <c r="AF9" s="32">
        <v>44580</v>
      </c>
      <c r="AG9" s="1">
        <v>52.096894528977302</v>
      </c>
      <c r="AH9" s="1" t="s">
        <v>1526</v>
      </c>
      <c r="AI9" s="1" t="s">
        <v>1527</v>
      </c>
      <c r="AJ9" s="1" t="s">
        <v>45</v>
      </c>
      <c r="AK9" s="1" t="s">
        <v>45</v>
      </c>
      <c r="AL9" s="1" t="s">
        <v>51</v>
      </c>
      <c r="AM9" s="1" t="s">
        <v>45</v>
      </c>
      <c r="AN9" s="1" t="s">
        <v>45</v>
      </c>
      <c r="AO9" s="1" t="s">
        <v>45</v>
      </c>
      <c r="AP9" s="1" t="s">
        <v>45</v>
      </c>
      <c r="AQ9" s="1" t="s">
        <v>45</v>
      </c>
      <c r="AR9" s="1" t="s">
        <v>45</v>
      </c>
      <c r="AT9" s="1" t="s">
        <v>1601</v>
      </c>
      <c r="AW9" s="33" t="s">
        <v>1464</v>
      </c>
      <c r="AX9" s="3"/>
      <c r="AY9" s="3" t="s">
        <v>1601</v>
      </c>
      <c r="AZ9" s="1">
        <v>2</v>
      </c>
      <c r="BB9" s="1" t="s">
        <v>1567</v>
      </c>
      <c r="BC9" s="1" t="s">
        <v>1602</v>
      </c>
      <c r="BE9" s="1" t="s">
        <v>1603</v>
      </c>
      <c r="BF9" s="1" t="s">
        <v>1548</v>
      </c>
      <c r="BH9" s="1" t="s">
        <v>46</v>
      </c>
      <c r="BI9" s="1" t="s">
        <v>1535</v>
      </c>
      <c r="BJ9" s="1" t="s">
        <v>45</v>
      </c>
      <c r="BK9" s="1" t="s">
        <v>1549</v>
      </c>
      <c r="BL9" s="32">
        <v>44580</v>
      </c>
      <c r="BM9" s="1" t="s">
        <v>1604</v>
      </c>
      <c r="BO9" s="1" t="s">
        <v>1537</v>
      </c>
      <c r="BP9" s="1" t="s">
        <v>1551</v>
      </c>
      <c r="BQ9" s="1" t="s">
        <v>1605</v>
      </c>
      <c r="BR9" s="1" t="s">
        <v>1606</v>
      </c>
      <c r="BS9" s="1" t="s">
        <v>50</v>
      </c>
      <c r="BU9" s="1" t="s">
        <v>51</v>
      </c>
      <c r="BW9" s="1" t="s">
        <v>1563</v>
      </c>
      <c r="BX9" s="32">
        <v>44601</v>
      </c>
      <c r="BY9" s="1">
        <v>12</v>
      </c>
      <c r="CA9" s="1" t="s">
        <v>45</v>
      </c>
      <c r="CB9" s="1" t="s">
        <v>45</v>
      </c>
      <c r="CJ9" s="1" t="s">
        <v>51</v>
      </c>
      <c r="CK9" s="32">
        <v>45112</v>
      </c>
      <c r="CL9" s="1" t="s">
        <v>45</v>
      </c>
      <c r="DH9" s="1" t="s">
        <v>51</v>
      </c>
      <c r="DI9" s="1" t="s">
        <v>1607</v>
      </c>
      <c r="DJ9" s="32">
        <v>45112</v>
      </c>
      <c r="DM9" s="1" t="s">
        <v>45</v>
      </c>
      <c r="DO9" s="1" t="s">
        <v>45</v>
      </c>
      <c r="DQ9" s="1" t="s">
        <v>45</v>
      </c>
      <c r="DT9" s="32">
        <v>45154</v>
      </c>
      <c r="DU9" s="1" t="s">
        <v>1556</v>
      </c>
      <c r="DV9" s="1">
        <v>18.855398598335501</v>
      </c>
      <c r="DW9" s="1" t="s">
        <v>45</v>
      </c>
      <c r="DY9" s="32">
        <v>45154</v>
      </c>
      <c r="DZ9" s="1" t="s">
        <v>1557</v>
      </c>
    </row>
    <row r="10" spans="1:130" x14ac:dyDescent="0.2">
      <c r="A10" s="8" t="s">
        <v>477</v>
      </c>
      <c r="B10" s="32">
        <v>25608</v>
      </c>
      <c r="C10" s="32">
        <v>39381</v>
      </c>
      <c r="D10" s="1">
        <v>37.709079127793999</v>
      </c>
      <c r="E10" s="1" t="s">
        <v>1523</v>
      </c>
      <c r="F10" s="1" t="s">
        <v>1524</v>
      </c>
      <c r="G10" s="1" t="s">
        <v>1545</v>
      </c>
      <c r="H10" s="1" t="s">
        <v>51</v>
      </c>
      <c r="I10" s="1">
        <v>1.702</v>
      </c>
      <c r="J10" s="1" t="s">
        <v>51</v>
      </c>
      <c r="K10" s="1">
        <v>90</v>
      </c>
      <c r="L10" s="1">
        <v>31.068722633633399</v>
      </c>
      <c r="M10" s="1" t="s">
        <v>45</v>
      </c>
      <c r="N10" s="1" t="s">
        <v>45</v>
      </c>
      <c r="O10" s="1" t="s">
        <v>45</v>
      </c>
      <c r="P10" s="1" t="s">
        <v>45</v>
      </c>
      <c r="Q10" s="1" t="s">
        <v>45</v>
      </c>
      <c r="R10" s="1" t="s">
        <v>45</v>
      </c>
      <c r="S10" s="1" t="s">
        <v>45</v>
      </c>
      <c r="T10" s="1" t="s">
        <v>45</v>
      </c>
      <c r="U10" s="1" t="s">
        <v>45</v>
      </c>
      <c r="V10" s="1" t="s">
        <v>45</v>
      </c>
      <c r="W10" s="1" t="s">
        <v>45</v>
      </c>
      <c r="X10" s="1" t="s">
        <v>45</v>
      </c>
      <c r="Y10" s="1" t="s">
        <v>45</v>
      </c>
      <c r="Z10" s="1" t="s">
        <v>45</v>
      </c>
      <c r="AA10" s="1" t="s">
        <v>45</v>
      </c>
      <c r="AB10" s="1" t="s">
        <v>45</v>
      </c>
      <c r="AC10" s="1" t="s">
        <v>45</v>
      </c>
      <c r="AD10" s="1" t="s">
        <v>45</v>
      </c>
      <c r="AE10" s="1" t="s">
        <v>45</v>
      </c>
      <c r="AF10" s="32">
        <v>39381</v>
      </c>
      <c r="AG10" s="1">
        <v>37.709079127793999</v>
      </c>
      <c r="AH10" s="1" t="s">
        <v>1558</v>
      </c>
      <c r="AI10" s="1" t="s">
        <v>1527</v>
      </c>
      <c r="AJ10" s="1" t="s">
        <v>45</v>
      </c>
      <c r="AK10" s="1" t="s">
        <v>45</v>
      </c>
      <c r="AL10" s="1" t="s">
        <v>45</v>
      </c>
      <c r="AM10" s="1" t="s">
        <v>45</v>
      </c>
      <c r="AN10" s="1" t="s">
        <v>45</v>
      </c>
      <c r="AO10" s="1" t="s">
        <v>45</v>
      </c>
      <c r="AP10" s="1" t="s">
        <v>45</v>
      </c>
      <c r="AQ10" s="1" t="s">
        <v>45</v>
      </c>
      <c r="AR10" s="1" t="s">
        <v>51</v>
      </c>
      <c r="AS10" s="1" t="s">
        <v>1608</v>
      </c>
      <c r="AT10" s="1" t="s">
        <v>1601</v>
      </c>
      <c r="AW10" s="33" t="s">
        <v>1464</v>
      </c>
      <c r="AX10" s="3"/>
      <c r="AY10" s="3" t="s">
        <v>1601</v>
      </c>
      <c r="AZ10" s="1">
        <v>2</v>
      </c>
      <c r="BB10" s="1" t="s">
        <v>1561</v>
      </c>
      <c r="BC10" s="1" t="s">
        <v>1602</v>
      </c>
      <c r="BE10" s="1" t="s">
        <v>1525</v>
      </c>
      <c r="BG10" s="1" t="s">
        <v>1525</v>
      </c>
      <c r="BH10" s="1" t="s">
        <v>1525</v>
      </c>
      <c r="BI10" s="1" t="s">
        <v>1525</v>
      </c>
      <c r="BJ10" s="1" t="s">
        <v>1525</v>
      </c>
      <c r="BK10" s="1" t="s">
        <v>1549</v>
      </c>
      <c r="BL10" s="32">
        <v>39381</v>
      </c>
      <c r="BM10" s="1" t="s">
        <v>1562</v>
      </c>
      <c r="BO10" s="1" t="s">
        <v>1537</v>
      </c>
      <c r="BP10" s="1" t="s">
        <v>1551</v>
      </c>
      <c r="BQ10" s="1" t="s">
        <v>1539</v>
      </c>
      <c r="BR10" s="1" t="s">
        <v>1540</v>
      </c>
      <c r="BS10" s="1" t="s">
        <v>50</v>
      </c>
      <c r="BU10" s="1" t="s">
        <v>51</v>
      </c>
      <c r="BW10" s="1" t="s">
        <v>1563</v>
      </c>
      <c r="BX10" s="32">
        <v>39402</v>
      </c>
      <c r="BY10" s="1">
        <v>3</v>
      </c>
      <c r="BZ10" s="1" t="s">
        <v>1609</v>
      </c>
      <c r="CA10" s="1" t="s">
        <v>1525</v>
      </c>
      <c r="CB10" s="1" t="s">
        <v>51</v>
      </c>
      <c r="CC10" s="32">
        <v>39590</v>
      </c>
      <c r="CD10" s="1">
        <v>60</v>
      </c>
      <c r="CE10" s="1">
        <v>30</v>
      </c>
      <c r="CJ10" s="1" t="s">
        <v>51</v>
      </c>
      <c r="CK10" s="32">
        <v>44594</v>
      </c>
      <c r="CL10" s="1" t="s">
        <v>51</v>
      </c>
      <c r="CM10" s="32">
        <v>44594</v>
      </c>
      <c r="CN10" s="1">
        <v>14.2728233068897</v>
      </c>
      <c r="CO10" s="1" t="s">
        <v>1537</v>
      </c>
      <c r="CP10" s="1" t="s">
        <v>1566</v>
      </c>
      <c r="CQ10" s="1" t="s">
        <v>1539</v>
      </c>
      <c r="CR10" s="1" t="s">
        <v>1540</v>
      </c>
      <c r="CS10" s="1" t="s">
        <v>50</v>
      </c>
      <c r="CT10" s="1" t="s">
        <v>1601</v>
      </c>
      <c r="CY10" s="1" t="s">
        <v>1567</v>
      </c>
      <c r="CZ10" s="1" t="s">
        <v>1602</v>
      </c>
      <c r="DB10" s="1" t="s">
        <v>1525</v>
      </c>
      <c r="DD10" s="1" t="s">
        <v>1525</v>
      </c>
      <c r="DE10" s="1" t="s">
        <v>1525</v>
      </c>
      <c r="DF10" s="1" t="s">
        <v>1525</v>
      </c>
      <c r="DG10" s="1" t="s">
        <v>1525</v>
      </c>
      <c r="DH10" s="1" t="s">
        <v>51</v>
      </c>
      <c r="DI10" s="1" t="s">
        <v>1610</v>
      </c>
      <c r="DJ10" s="32">
        <v>44615</v>
      </c>
      <c r="DM10" s="1" t="s">
        <v>45</v>
      </c>
      <c r="DO10" s="1" t="s">
        <v>51</v>
      </c>
      <c r="DQ10" s="1" t="s">
        <v>51</v>
      </c>
      <c r="DS10" s="1" t="s">
        <v>1611</v>
      </c>
      <c r="DT10" s="32">
        <v>45714</v>
      </c>
      <c r="DU10" s="1" t="s">
        <v>1543</v>
      </c>
      <c r="DV10" s="1">
        <v>208.04998904949599</v>
      </c>
      <c r="DW10" s="1" t="s">
        <v>51</v>
      </c>
      <c r="DX10" s="1" t="s">
        <v>1612</v>
      </c>
      <c r="DY10" s="32">
        <v>45714</v>
      </c>
      <c r="DZ10" s="1" t="s">
        <v>1557</v>
      </c>
    </row>
    <row r="11" spans="1:130" x14ac:dyDescent="0.2">
      <c r="A11" s="8" t="s">
        <v>88</v>
      </c>
      <c r="B11" s="32">
        <v>24861</v>
      </c>
      <c r="C11" s="32">
        <v>44600</v>
      </c>
      <c r="D11" s="1">
        <v>54.043546410946099</v>
      </c>
      <c r="E11" s="1" t="s">
        <v>1587</v>
      </c>
      <c r="F11" s="1" t="s">
        <v>1578</v>
      </c>
      <c r="G11" s="1" t="s">
        <v>1525</v>
      </c>
      <c r="H11" s="1" t="s">
        <v>51</v>
      </c>
      <c r="I11" s="1">
        <v>1.55</v>
      </c>
      <c r="J11" s="1" t="s">
        <v>51</v>
      </c>
      <c r="K11" s="1">
        <v>50.6</v>
      </c>
      <c r="L11" s="1">
        <v>21.061394380853201</v>
      </c>
      <c r="M11" s="1" t="s">
        <v>45</v>
      </c>
      <c r="N11" s="1" t="s">
        <v>45</v>
      </c>
      <c r="O11" s="1" t="s">
        <v>45</v>
      </c>
      <c r="P11" s="1" t="s">
        <v>45</v>
      </c>
      <c r="Q11" s="1" t="s">
        <v>45</v>
      </c>
      <c r="R11" s="1" t="s">
        <v>45</v>
      </c>
      <c r="S11" s="1" t="s">
        <v>45</v>
      </c>
      <c r="T11" s="1" t="s">
        <v>45</v>
      </c>
      <c r="U11" s="1" t="s">
        <v>45</v>
      </c>
      <c r="V11" s="1" t="s">
        <v>45</v>
      </c>
      <c r="W11" s="1" t="s">
        <v>45</v>
      </c>
      <c r="X11" s="1" t="s">
        <v>45</v>
      </c>
      <c r="Y11" s="1" t="s">
        <v>45</v>
      </c>
      <c r="Z11" s="1" t="s">
        <v>45</v>
      </c>
      <c r="AA11" s="1" t="s">
        <v>45</v>
      </c>
      <c r="AB11" s="1" t="s">
        <v>45</v>
      </c>
      <c r="AC11" s="1" t="s">
        <v>45</v>
      </c>
      <c r="AD11" s="1" t="s">
        <v>45</v>
      </c>
      <c r="AE11" s="1" t="s">
        <v>45</v>
      </c>
      <c r="AF11" s="32">
        <v>44600</v>
      </c>
      <c r="AG11" s="1">
        <v>54.043546410946099</v>
      </c>
      <c r="AH11" s="1" t="s">
        <v>1613</v>
      </c>
      <c r="AI11" s="1" t="s">
        <v>1527</v>
      </c>
      <c r="AJ11" s="1" t="s">
        <v>45</v>
      </c>
      <c r="AK11" s="1" t="s">
        <v>45</v>
      </c>
      <c r="AL11" s="1" t="s">
        <v>45</v>
      </c>
      <c r="AM11" s="1" t="s">
        <v>45</v>
      </c>
      <c r="AN11" s="1" t="s">
        <v>51</v>
      </c>
      <c r="AO11" s="1" t="s">
        <v>45</v>
      </c>
      <c r="AP11" s="1" t="s">
        <v>45</v>
      </c>
      <c r="AQ11" s="1" t="s">
        <v>51</v>
      </c>
      <c r="AR11" s="1" t="s">
        <v>45</v>
      </c>
      <c r="AT11" s="1" t="s">
        <v>1546</v>
      </c>
      <c r="AV11" s="1" t="s">
        <v>1614</v>
      </c>
      <c r="AW11" s="33" t="s">
        <v>1463</v>
      </c>
      <c r="AX11" s="33" t="s">
        <v>1547</v>
      </c>
      <c r="AY11" s="3"/>
      <c r="AZ11" s="1">
        <v>3</v>
      </c>
      <c r="BB11" s="1" t="s">
        <v>1530</v>
      </c>
      <c r="BC11" s="1" t="s">
        <v>1531</v>
      </c>
      <c r="BE11" s="1" t="s">
        <v>1525</v>
      </c>
      <c r="BF11" s="1" t="s">
        <v>1548</v>
      </c>
      <c r="BG11" s="1" t="s">
        <v>45</v>
      </c>
      <c r="BH11" s="1" t="s">
        <v>46</v>
      </c>
      <c r="BI11" s="1" t="s">
        <v>1535</v>
      </c>
      <c r="BJ11" s="1" t="s">
        <v>1525</v>
      </c>
      <c r="BK11" s="1" t="s">
        <v>1549</v>
      </c>
      <c r="BL11" s="32">
        <v>44600</v>
      </c>
      <c r="BM11" s="1" t="s">
        <v>1615</v>
      </c>
      <c r="BO11" s="1" t="s">
        <v>1537</v>
      </c>
      <c r="BP11" s="1" t="s">
        <v>1551</v>
      </c>
      <c r="BQ11" s="1" t="s">
        <v>1605</v>
      </c>
      <c r="BR11" s="1" t="s">
        <v>1540</v>
      </c>
      <c r="BS11" s="1" t="s">
        <v>1616</v>
      </c>
      <c r="BU11" s="1" t="s">
        <v>51</v>
      </c>
      <c r="BW11" s="1" t="s">
        <v>1542</v>
      </c>
      <c r="CA11" s="1" t="s">
        <v>51</v>
      </c>
      <c r="CB11" s="1" t="s">
        <v>51</v>
      </c>
      <c r="CC11" s="32">
        <v>44610</v>
      </c>
      <c r="CD11" s="1">
        <v>54</v>
      </c>
      <c r="CE11" s="1">
        <v>30</v>
      </c>
      <c r="CJ11" s="1" t="s">
        <v>45</v>
      </c>
      <c r="DH11" s="1" t="s">
        <v>45</v>
      </c>
      <c r="DM11" s="1" t="s">
        <v>45</v>
      </c>
      <c r="DO11" s="1" t="s">
        <v>45</v>
      </c>
      <c r="DQ11" s="1" t="s">
        <v>45</v>
      </c>
      <c r="DS11" s="1" t="s">
        <v>1617</v>
      </c>
      <c r="DT11" s="32">
        <v>44671</v>
      </c>
      <c r="DU11" s="1" t="s">
        <v>1556</v>
      </c>
      <c r="DV11" s="1">
        <v>2.33108848007008</v>
      </c>
      <c r="DW11" s="1" t="s">
        <v>45</v>
      </c>
      <c r="DY11" s="32">
        <v>44671</v>
      </c>
      <c r="DZ11" s="1" t="s">
        <v>1557</v>
      </c>
    </row>
    <row r="12" spans="1:130" x14ac:dyDescent="0.2">
      <c r="A12" s="8" t="s">
        <v>97</v>
      </c>
      <c r="B12" s="32">
        <v>21747</v>
      </c>
      <c r="C12" s="32">
        <v>44601</v>
      </c>
      <c r="D12" s="1">
        <v>62.572240817173899</v>
      </c>
      <c r="E12" s="1" t="s">
        <v>1587</v>
      </c>
      <c r="F12" s="1" t="s">
        <v>1524</v>
      </c>
      <c r="G12" s="1" t="s">
        <v>1574</v>
      </c>
      <c r="H12" s="1" t="s">
        <v>51</v>
      </c>
      <c r="I12" s="1">
        <v>1.6</v>
      </c>
      <c r="J12" s="1" t="s">
        <v>51</v>
      </c>
      <c r="K12" s="1">
        <v>65.2</v>
      </c>
      <c r="L12" s="1">
        <v>25.468749999999901</v>
      </c>
      <c r="M12" s="1" t="s">
        <v>45</v>
      </c>
      <c r="N12" s="1" t="s">
        <v>45</v>
      </c>
      <c r="O12" s="1" t="s">
        <v>45</v>
      </c>
      <c r="P12" s="1" t="s">
        <v>45</v>
      </c>
      <c r="Q12" s="1" t="s">
        <v>45</v>
      </c>
      <c r="R12" s="1" t="s">
        <v>45</v>
      </c>
      <c r="S12" s="1" t="s">
        <v>45</v>
      </c>
      <c r="T12" s="1" t="s">
        <v>45</v>
      </c>
      <c r="U12" s="1" t="s">
        <v>45</v>
      </c>
      <c r="V12" s="1" t="s">
        <v>45</v>
      </c>
      <c r="W12" s="1" t="s">
        <v>45</v>
      </c>
      <c r="X12" s="1" t="s">
        <v>45</v>
      </c>
      <c r="Y12" s="1" t="s">
        <v>45</v>
      </c>
      <c r="Z12" s="1" t="s">
        <v>45</v>
      </c>
      <c r="AA12" s="1" t="s">
        <v>45</v>
      </c>
      <c r="AB12" s="1" t="s">
        <v>45</v>
      </c>
      <c r="AC12" s="1" t="s">
        <v>45</v>
      </c>
      <c r="AD12" s="1" t="s">
        <v>45</v>
      </c>
      <c r="AE12" s="1" t="s">
        <v>45</v>
      </c>
      <c r="AF12" s="32">
        <v>44601</v>
      </c>
      <c r="AG12" s="1">
        <v>62.572240817173899</v>
      </c>
      <c r="AH12" s="1" t="s">
        <v>1558</v>
      </c>
      <c r="AI12" s="1" t="s">
        <v>1618</v>
      </c>
      <c r="AJ12" s="1" t="s">
        <v>45</v>
      </c>
      <c r="AK12" s="1" t="s">
        <v>45</v>
      </c>
      <c r="AL12" s="1" t="s">
        <v>45</v>
      </c>
      <c r="AM12" s="1" t="s">
        <v>45</v>
      </c>
      <c r="AN12" s="1" t="s">
        <v>45</v>
      </c>
      <c r="AO12" s="1" t="s">
        <v>45</v>
      </c>
      <c r="AP12" s="1" t="s">
        <v>45</v>
      </c>
      <c r="AQ12" s="1" t="s">
        <v>45</v>
      </c>
      <c r="AR12" s="1" t="s">
        <v>51</v>
      </c>
      <c r="AS12" s="1" t="s">
        <v>1619</v>
      </c>
      <c r="AT12" s="1" t="s">
        <v>1583</v>
      </c>
      <c r="AU12" s="1" t="s">
        <v>1620</v>
      </c>
      <c r="AW12" s="33" t="s">
        <v>1464</v>
      </c>
      <c r="AX12" s="3"/>
      <c r="AY12" s="33" t="s">
        <v>1621</v>
      </c>
      <c r="AZ12" s="1">
        <v>1</v>
      </c>
      <c r="BB12" s="1" t="s">
        <v>1530</v>
      </c>
      <c r="BC12" s="1" t="s">
        <v>1561</v>
      </c>
      <c r="BE12" s="1" t="s">
        <v>1525</v>
      </c>
      <c r="BG12" s="1" t="s">
        <v>1525</v>
      </c>
      <c r="BH12" s="1" t="s">
        <v>46</v>
      </c>
      <c r="BI12" s="1" t="s">
        <v>1535</v>
      </c>
      <c r="BJ12" s="1" t="s">
        <v>1525</v>
      </c>
      <c r="BK12" s="1" t="s">
        <v>1549</v>
      </c>
      <c r="BL12" s="32">
        <v>44601</v>
      </c>
      <c r="BM12" s="1" t="s">
        <v>1622</v>
      </c>
      <c r="BO12" s="1" t="s">
        <v>1537</v>
      </c>
      <c r="BP12" s="1" t="s">
        <v>1551</v>
      </c>
      <c r="BQ12" s="1" t="s">
        <v>1605</v>
      </c>
      <c r="BR12" s="1" t="s">
        <v>1623</v>
      </c>
      <c r="BS12" s="1" t="s">
        <v>1624</v>
      </c>
      <c r="BU12" s="1" t="s">
        <v>51</v>
      </c>
      <c r="BW12" s="1" t="s">
        <v>1542</v>
      </c>
      <c r="CA12" s="1" t="s">
        <v>45</v>
      </c>
      <c r="CB12" s="1" t="s">
        <v>45</v>
      </c>
      <c r="CJ12" s="1" t="s">
        <v>45</v>
      </c>
      <c r="DH12" s="1" t="s">
        <v>45</v>
      </c>
      <c r="DM12" s="1" t="s">
        <v>45</v>
      </c>
      <c r="DO12" s="1" t="s">
        <v>45</v>
      </c>
      <c r="DQ12" s="1" t="s">
        <v>45</v>
      </c>
      <c r="DT12" s="32">
        <v>45777</v>
      </c>
      <c r="DU12" s="1" t="s">
        <v>1598</v>
      </c>
      <c r="DV12" s="1">
        <v>38.632008322382802</v>
      </c>
      <c r="DW12" s="1" t="s">
        <v>45</v>
      </c>
      <c r="DY12" s="32">
        <v>45777</v>
      </c>
      <c r="DZ12" s="1" t="s">
        <v>1557</v>
      </c>
    </row>
    <row r="13" spans="1:130" x14ac:dyDescent="0.2">
      <c r="A13" s="8" t="s">
        <v>104</v>
      </c>
      <c r="B13" s="32">
        <v>19779</v>
      </c>
      <c r="C13" s="32">
        <v>44602</v>
      </c>
      <c r="D13" s="1">
        <v>67.963065634475697</v>
      </c>
      <c r="E13" s="1" t="s">
        <v>1587</v>
      </c>
      <c r="F13" s="1" t="s">
        <v>1524</v>
      </c>
      <c r="G13" s="1" t="s">
        <v>1525</v>
      </c>
      <c r="H13" s="1" t="s">
        <v>51</v>
      </c>
      <c r="I13" s="1">
        <v>1.5329999999999999</v>
      </c>
      <c r="J13" s="1" t="s">
        <v>51</v>
      </c>
      <c r="K13" s="1">
        <v>59</v>
      </c>
      <c r="L13" s="1">
        <v>25.105432177249401</v>
      </c>
      <c r="M13" s="1" t="s">
        <v>45</v>
      </c>
      <c r="N13" s="1" t="s">
        <v>45</v>
      </c>
      <c r="O13" s="1" t="s">
        <v>45</v>
      </c>
      <c r="P13" s="1" t="s">
        <v>45</v>
      </c>
      <c r="Q13" s="1" t="s">
        <v>45</v>
      </c>
      <c r="R13" s="1" t="s">
        <v>45</v>
      </c>
      <c r="S13" s="1" t="s">
        <v>45</v>
      </c>
      <c r="T13" s="1" t="s">
        <v>45</v>
      </c>
      <c r="U13" s="1" t="s">
        <v>45</v>
      </c>
      <c r="V13" s="1" t="s">
        <v>45</v>
      </c>
      <c r="W13" s="1" t="s">
        <v>45</v>
      </c>
      <c r="X13" s="1" t="s">
        <v>45</v>
      </c>
      <c r="Y13" s="1" t="s">
        <v>45</v>
      </c>
      <c r="Z13" s="1" t="s">
        <v>45</v>
      </c>
      <c r="AA13" s="1" t="s">
        <v>45</v>
      </c>
      <c r="AB13" s="1" t="s">
        <v>45</v>
      </c>
      <c r="AC13" s="1" t="s">
        <v>45</v>
      </c>
      <c r="AD13" s="1" t="s">
        <v>45</v>
      </c>
      <c r="AE13" s="1" t="s">
        <v>45</v>
      </c>
      <c r="AF13" s="32">
        <v>44602</v>
      </c>
      <c r="AG13" s="1">
        <v>67.963065634475697</v>
      </c>
      <c r="AH13" s="1" t="s">
        <v>1625</v>
      </c>
      <c r="AI13" s="1" t="s">
        <v>1527</v>
      </c>
      <c r="AJ13" s="1" t="s">
        <v>45</v>
      </c>
      <c r="AK13" s="1" t="s">
        <v>45</v>
      </c>
      <c r="AL13" s="1" t="s">
        <v>51</v>
      </c>
      <c r="AM13" s="1" t="s">
        <v>45</v>
      </c>
      <c r="AN13" s="1" t="s">
        <v>45</v>
      </c>
      <c r="AO13" s="1" t="s">
        <v>45</v>
      </c>
      <c r="AP13" s="1" t="s">
        <v>45</v>
      </c>
      <c r="AQ13" s="1" t="s">
        <v>45</v>
      </c>
      <c r="AR13" s="1" t="s">
        <v>45</v>
      </c>
      <c r="AT13" s="1" t="s">
        <v>1528</v>
      </c>
      <c r="AW13" s="33" t="s">
        <v>1463</v>
      </c>
      <c r="AX13" s="3" t="s">
        <v>1528</v>
      </c>
      <c r="AY13" s="3"/>
      <c r="AZ13" s="1">
        <v>4</v>
      </c>
      <c r="BB13" s="1" t="s">
        <v>1530</v>
      </c>
      <c r="BC13" s="1" t="s">
        <v>1531</v>
      </c>
      <c r="BE13" s="1" t="s">
        <v>1533</v>
      </c>
      <c r="BF13" s="1" t="s">
        <v>1548</v>
      </c>
      <c r="BG13" s="1" t="s">
        <v>1525</v>
      </c>
      <c r="BH13" s="1" t="s">
        <v>46</v>
      </c>
      <c r="BI13" s="1" t="s">
        <v>1535</v>
      </c>
      <c r="BJ13" s="1" t="s">
        <v>1525</v>
      </c>
      <c r="BK13" s="1" t="s">
        <v>1549</v>
      </c>
      <c r="BL13" s="32">
        <v>44602</v>
      </c>
      <c r="BM13" s="1" t="s">
        <v>1626</v>
      </c>
      <c r="BO13" s="1" t="s">
        <v>1537</v>
      </c>
      <c r="BP13" s="1" t="s">
        <v>1551</v>
      </c>
      <c r="BQ13" s="1" t="s">
        <v>1605</v>
      </c>
      <c r="BR13" s="1" t="s">
        <v>1552</v>
      </c>
      <c r="BS13" s="1" t="s">
        <v>1627</v>
      </c>
      <c r="BU13" s="1" t="s">
        <v>51</v>
      </c>
      <c r="BW13" s="1" t="s">
        <v>1542</v>
      </c>
      <c r="CA13" s="1" t="s">
        <v>45</v>
      </c>
      <c r="CB13" s="1" t="s">
        <v>45</v>
      </c>
      <c r="CJ13" s="1" t="s">
        <v>45</v>
      </c>
      <c r="DH13" s="1" t="s">
        <v>45</v>
      </c>
      <c r="DM13" s="1" t="s">
        <v>45</v>
      </c>
      <c r="DO13" s="1" t="s">
        <v>45</v>
      </c>
      <c r="DQ13" s="1" t="s">
        <v>45</v>
      </c>
      <c r="DS13" s="1" t="s">
        <v>1628</v>
      </c>
      <c r="DT13" s="32">
        <v>44658</v>
      </c>
      <c r="DU13" s="1" t="s">
        <v>1556</v>
      </c>
      <c r="DV13" s="1">
        <v>1.83831581252737</v>
      </c>
      <c r="DW13" s="1" t="s">
        <v>45</v>
      </c>
      <c r="DY13" s="32">
        <v>44658</v>
      </c>
      <c r="DZ13" s="1" t="s">
        <v>1557</v>
      </c>
    </row>
    <row r="14" spans="1:130" x14ac:dyDescent="0.2">
      <c r="A14" s="8" t="s">
        <v>113</v>
      </c>
      <c r="B14" s="32">
        <v>27310</v>
      </c>
      <c r="C14" s="32">
        <v>44630</v>
      </c>
      <c r="D14" s="1">
        <v>47.420663440499503</v>
      </c>
      <c r="E14" s="1" t="s">
        <v>1587</v>
      </c>
      <c r="F14" s="1" t="s">
        <v>1578</v>
      </c>
      <c r="G14" s="1" t="s">
        <v>1525</v>
      </c>
      <c r="H14" s="1" t="s">
        <v>51</v>
      </c>
      <c r="I14" s="1">
        <v>1.61</v>
      </c>
      <c r="J14" s="1" t="s">
        <v>51</v>
      </c>
      <c r="K14" s="1">
        <v>71.8</v>
      </c>
      <c r="L14" s="1">
        <v>27.6995486285251</v>
      </c>
      <c r="M14" s="1" t="s">
        <v>45</v>
      </c>
      <c r="N14" s="1" t="s">
        <v>45</v>
      </c>
      <c r="O14" s="1" t="s">
        <v>45</v>
      </c>
      <c r="P14" s="1" t="s">
        <v>45</v>
      </c>
      <c r="Q14" s="1" t="s">
        <v>45</v>
      </c>
      <c r="R14" s="1" t="s">
        <v>45</v>
      </c>
      <c r="S14" s="1" t="s">
        <v>45</v>
      </c>
      <c r="T14" s="1" t="s">
        <v>45</v>
      </c>
      <c r="U14" s="1" t="s">
        <v>45</v>
      </c>
      <c r="V14" s="1" t="s">
        <v>45</v>
      </c>
      <c r="W14" s="1" t="s">
        <v>45</v>
      </c>
      <c r="X14" s="1" t="s">
        <v>45</v>
      </c>
      <c r="Y14" s="1" t="s">
        <v>45</v>
      </c>
      <c r="Z14" s="1" t="s">
        <v>45</v>
      </c>
      <c r="AA14" s="1" t="s">
        <v>45</v>
      </c>
      <c r="AB14" s="1" t="s">
        <v>45</v>
      </c>
      <c r="AC14" s="1" t="s">
        <v>45</v>
      </c>
      <c r="AD14" s="1" t="s">
        <v>45</v>
      </c>
      <c r="AE14" s="1" t="s">
        <v>45</v>
      </c>
      <c r="AF14" s="32">
        <v>44630</v>
      </c>
      <c r="AG14" s="1">
        <v>47.420663440499503</v>
      </c>
      <c r="AH14" s="1" t="s">
        <v>1558</v>
      </c>
      <c r="AI14" s="1" t="s">
        <v>1527</v>
      </c>
      <c r="AJ14" s="1" t="s">
        <v>45</v>
      </c>
      <c r="AK14" s="1" t="s">
        <v>45</v>
      </c>
      <c r="AL14" s="1" t="s">
        <v>45</v>
      </c>
      <c r="AM14" s="1" t="s">
        <v>51</v>
      </c>
      <c r="AN14" s="1" t="s">
        <v>45</v>
      </c>
      <c r="AO14" s="1" t="s">
        <v>45</v>
      </c>
      <c r="AP14" s="1" t="s">
        <v>45</v>
      </c>
      <c r="AQ14" s="1" t="s">
        <v>45</v>
      </c>
      <c r="AR14" s="1" t="s">
        <v>45</v>
      </c>
      <c r="AT14" s="1" t="s">
        <v>1528</v>
      </c>
      <c r="AW14" s="33" t="s">
        <v>1463</v>
      </c>
      <c r="AX14" s="3" t="s">
        <v>1528</v>
      </c>
      <c r="AY14" s="3"/>
      <c r="AZ14" s="1">
        <v>4</v>
      </c>
      <c r="BB14" s="1" t="s">
        <v>1530</v>
      </c>
      <c r="BC14" s="1" t="s">
        <v>1531</v>
      </c>
      <c r="BE14" s="1" t="s">
        <v>1603</v>
      </c>
      <c r="BF14" s="1" t="s">
        <v>1548</v>
      </c>
      <c r="BG14" s="1" t="s">
        <v>45</v>
      </c>
      <c r="BH14" s="1" t="s">
        <v>46</v>
      </c>
      <c r="BI14" s="1" t="s">
        <v>1535</v>
      </c>
      <c r="BJ14" s="1" t="s">
        <v>45</v>
      </c>
      <c r="BK14" s="1" t="s">
        <v>1549</v>
      </c>
      <c r="BL14" s="32">
        <v>44630</v>
      </c>
      <c r="BM14" s="1" t="s">
        <v>1629</v>
      </c>
      <c r="BO14" s="1" t="s">
        <v>1537</v>
      </c>
      <c r="BP14" s="1" t="s">
        <v>1551</v>
      </c>
      <c r="BQ14" s="1" t="s">
        <v>1539</v>
      </c>
      <c r="BR14" s="1" t="s">
        <v>1552</v>
      </c>
      <c r="BS14" s="1" t="s">
        <v>43</v>
      </c>
      <c r="BU14" s="1" t="s">
        <v>51</v>
      </c>
      <c r="BW14" s="1" t="s">
        <v>1563</v>
      </c>
      <c r="BX14" s="32">
        <v>44748</v>
      </c>
      <c r="BY14" s="1">
        <v>12</v>
      </c>
      <c r="CA14" s="1" t="s">
        <v>51</v>
      </c>
      <c r="CB14" s="1" t="s">
        <v>51</v>
      </c>
      <c r="CC14" s="32">
        <v>44680</v>
      </c>
      <c r="CD14" s="1">
        <v>60</v>
      </c>
      <c r="CE14" s="1">
        <v>30</v>
      </c>
      <c r="CJ14" s="1" t="s">
        <v>51</v>
      </c>
      <c r="CK14" s="32">
        <v>45056</v>
      </c>
      <c r="CL14" s="1" t="s">
        <v>45</v>
      </c>
      <c r="DH14" s="1" t="s">
        <v>51</v>
      </c>
      <c r="DI14" s="1" t="s">
        <v>1630</v>
      </c>
      <c r="DJ14" s="32">
        <v>45056</v>
      </c>
      <c r="DK14" s="1" t="s">
        <v>1631</v>
      </c>
      <c r="DM14" s="1" t="s">
        <v>45</v>
      </c>
      <c r="DO14" s="1" t="s">
        <v>45</v>
      </c>
      <c r="DQ14" s="1" t="s">
        <v>45</v>
      </c>
      <c r="DS14" s="1" t="s">
        <v>1632</v>
      </c>
      <c r="DT14" s="32">
        <v>45098</v>
      </c>
      <c r="DU14" s="1" t="s">
        <v>1556</v>
      </c>
      <c r="DV14" s="1">
        <v>15.373138414367</v>
      </c>
      <c r="DW14" s="1" t="s">
        <v>45</v>
      </c>
      <c r="DY14" s="32">
        <v>45098</v>
      </c>
      <c r="DZ14" s="1" t="s">
        <v>1557</v>
      </c>
    </row>
    <row r="15" spans="1:130" x14ac:dyDescent="0.2">
      <c r="A15" s="8" t="s">
        <v>479</v>
      </c>
      <c r="B15" s="32">
        <v>24105</v>
      </c>
      <c r="C15" s="32">
        <v>44632</v>
      </c>
      <c r="D15" s="1">
        <v>56.201017132453003</v>
      </c>
      <c r="E15" s="1" t="s">
        <v>1587</v>
      </c>
      <c r="F15" s="1" t="s">
        <v>1524</v>
      </c>
      <c r="G15" s="1" t="s">
        <v>1574</v>
      </c>
      <c r="H15" s="1" t="s">
        <v>51</v>
      </c>
      <c r="I15" s="1">
        <v>1.63</v>
      </c>
      <c r="J15" s="1" t="s">
        <v>51</v>
      </c>
      <c r="K15" s="1">
        <v>89.4</v>
      </c>
      <c r="L15" s="1">
        <v>33.648236666792101</v>
      </c>
      <c r="M15" s="1" t="s">
        <v>45</v>
      </c>
      <c r="N15" s="1" t="s">
        <v>45</v>
      </c>
      <c r="O15" s="1" t="s">
        <v>45</v>
      </c>
      <c r="P15" s="1" t="s">
        <v>45</v>
      </c>
      <c r="Q15" s="1" t="s">
        <v>45</v>
      </c>
      <c r="R15" s="1" t="s">
        <v>45</v>
      </c>
      <c r="S15" s="1" t="s">
        <v>45</v>
      </c>
      <c r="T15" s="1" t="s">
        <v>45</v>
      </c>
      <c r="U15" s="1" t="s">
        <v>45</v>
      </c>
      <c r="V15" s="1" t="s">
        <v>45</v>
      </c>
      <c r="W15" s="1" t="s">
        <v>45</v>
      </c>
      <c r="X15" s="1" t="s">
        <v>45</v>
      </c>
      <c r="Y15" s="1" t="s">
        <v>45</v>
      </c>
      <c r="Z15" s="1" t="s">
        <v>45</v>
      </c>
      <c r="AA15" s="1" t="s">
        <v>45</v>
      </c>
      <c r="AB15" s="1" t="s">
        <v>45</v>
      </c>
      <c r="AC15" s="1" t="s">
        <v>45</v>
      </c>
      <c r="AD15" s="1" t="s">
        <v>45</v>
      </c>
      <c r="AE15" s="1" t="s">
        <v>45</v>
      </c>
      <c r="AF15" s="32">
        <v>44632</v>
      </c>
      <c r="AG15" s="1">
        <v>56.201017132453003</v>
      </c>
      <c r="AH15" s="1" t="s">
        <v>1526</v>
      </c>
      <c r="AI15" s="1" t="s">
        <v>1527</v>
      </c>
      <c r="AJ15" s="1" t="s">
        <v>45</v>
      </c>
      <c r="AK15" s="1" t="s">
        <v>45</v>
      </c>
      <c r="AL15" s="1" t="s">
        <v>45</v>
      </c>
      <c r="AM15" s="1" t="s">
        <v>45</v>
      </c>
      <c r="AN15" s="1" t="s">
        <v>45</v>
      </c>
      <c r="AO15" s="1" t="s">
        <v>45</v>
      </c>
      <c r="AP15" s="1" t="s">
        <v>45</v>
      </c>
      <c r="AQ15" s="1" t="s">
        <v>51</v>
      </c>
      <c r="AR15" s="1" t="s">
        <v>45</v>
      </c>
      <c r="AT15" s="1" t="s">
        <v>1528</v>
      </c>
      <c r="AW15" s="33" t="s">
        <v>1463</v>
      </c>
      <c r="AX15" s="3" t="s">
        <v>1528</v>
      </c>
      <c r="AY15" s="3"/>
      <c r="AZ15" s="1">
        <v>4</v>
      </c>
      <c r="BB15" s="1" t="s">
        <v>1530</v>
      </c>
      <c r="BE15" s="1" t="s">
        <v>1533</v>
      </c>
      <c r="BF15" s="1" t="s">
        <v>1548</v>
      </c>
      <c r="BG15" s="1" t="s">
        <v>1525</v>
      </c>
      <c r="BH15" s="1" t="s">
        <v>46</v>
      </c>
      <c r="BI15" s="1" t="s">
        <v>1525</v>
      </c>
      <c r="BJ15" s="1" t="s">
        <v>1525</v>
      </c>
      <c r="BK15" s="1" t="s">
        <v>1549</v>
      </c>
      <c r="BL15" s="32">
        <v>44632</v>
      </c>
      <c r="BM15" s="1" t="s">
        <v>1633</v>
      </c>
      <c r="BO15" s="1" t="s">
        <v>1537</v>
      </c>
      <c r="BP15" s="1" t="s">
        <v>1551</v>
      </c>
      <c r="BQ15" s="1" t="s">
        <v>1539</v>
      </c>
      <c r="BR15" s="1" t="s">
        <v>1552</v>
      </c>
      <c r="BS15" s="1" t="s">
        <v>1634</v>
      </c>
      <c r="BU15" s="1" t="s">
        <v>51</v>
      </c>
      <c r="BW15" s="1" t="s">
        <v>1542</v>
      </c>
      <c r="CB15" s="1" t="s">
        <v>51</v>
      </c>
      <c r="CC15" s="32">
        <v>44657</v>
      </c>
      <c r="CD15" s="1">
        <v>60</v>
      </c>
      <c r="CE15" s="1">
        <v>30</v>
      </c>
      <c r="CI15" s="1" t="s">
        <v>1635</v>
      </c>
      <c r="CJ15" s="1" t="s">
        <v>51</v>
      </c>
      <c r="CK15" s="32">
        <v>44887</v>
      </c>
      <c r="CL15" s="1" t="s">
        <v>51</v>
      </c>
      <c r="CM15" s="32">
        <v>44887</v>
      </c>
      <c r="CN15" s="1">
        <v>0.69816628678206905</v>
      </c>
      <c r="CO15" s="1" t="s">
        <v>1537</v>
      </c>
      <c r="CP15" s="1" t="s">
        <v>1566</v>
      </c>
      <c r="CQ15" s="1" t="s">
        <v>1539</v>
      </c>
      <c r="CR15" s="1" t="s">
        <v>1552</v>
      </c>
      <c r="CS15" s="1" t="s">
        <v>1634</v>
      </c>
      <c r="CT15" s="1" t="s">
        <v>1528</v>
      </c>
      <c r="CW15" s="1">
        <v>4</v>
      </c>
      <c r="CY15" s="1" t="s">
        <v>1530</v>
      </c>
      <c r="CZ15" s="1" t="s">
        <v>1531</v>
      </c>
      <c r="DB15" s="1" t="s">
        <v>1525</v>
      </c>
      <c r="DD15" s="1" t="s">
        <v>1525</v>
      </c>
      <c r="DE15" s="1" t="s">
        <v>1525</v>
      </c>
      <c r="DF15" s="1" t="s">
        <v>1525</v>
      </c>
      <c r="DG15" s="1" t="s">
        <v>1525</v>
      </c>
      <c r="DH15" s="1" t="s">
        <v>51</v>
      </c>
      <c r="DI15" s="1" t="s">
        <v>1636</v>
      </c>
      <c r="DJ15" s="32">
        <v>44916</v>
      </c>
      <c r="DK15" s="1" t="s">
        <v>1569</v>
      </c>
      <c r="DM15" s="1" t="s">
        <v>45</v>
      </c>
      <c r="DO15" s="1" t="s">
        <v>51</v>
      </c>
      <c r="DP15" s="1" t="s">
        <v>1637</v>
      </c>
      <c r="DQ15" s="1" t="s">
        <v>51</v>
      </c>
      <c r="DS15" s="1" t="s">
        <v>1638</v>
      </c>
      <c r="DT15" s="32">
        <v>45457</v>
      </c>
      <c r="DU15" s="1" t="s">
        <v>1543</v>
      </c>
      <c r="DV15" s="1">
        <v>27.101127901883402</v>
      </c>
      <c r="DW15" s="1" t="s">
        <v>45</v>
      </c>
      <c r="DY15" s="32">
        <v>45457</v>
      </c>
      <c r="DZ15" s="1" t="s">
        <v>1557</v>
      </c>
    </row>
    <row r="16" spans="1:130" x14ac:dyDescent="0.2">
      <c r="A16" s="8" t="s">
        <v>120</v>
      </c>
      <c r="B16" s="32">
        <v>28126</v>
      </c>
      <c r="C16" s="32">
        <v>44620</v>
      </c>
      <c r="D16" s="1">
        <v>45.159038173268399</v>
      </c>
      <c r="E16" s="1" t="s">
        <v>1523</v>
      </c>
      <c r="F16" s="1" t="s">
        <v>1578</v>
      </c>
      <c r="G16" s="1" t="s">
        <v>1574</v>
      </c>
      <c r="H16" s="1" t="s">
        <v>51</v>
      </c>
      <c r="I16" s="1">
        <v>1.734</v>
      </c>
      <c r="J16" s="1" t="s">
        <v>51</v>
      </c>
      <c r="K16" s="1">
        <v>80.900000000000006</v>
      </c>
      <c r="L16" s="1">
        <v>26.9060741875962</v>
      </c>
      <c r="M16" s="1" t="s">
        <v>45</v>
      </c>
      <c r="N16" s="1" t="s">
        <v>45</v>
      </c>
      <c r="O16" s="1" t="s">
        <v>45</v>
      </c>
      <c r="P16" s="1" t="s">
        <v>45</v>
      </c>
      <c r="Q16" s="1" t="s">
        <v>45</v>
      </c>
      <c r="R16" s="1" t="s">
        <v>45</v>
      </c>
      <c r="S16" s="1" t="s">
        <v>45</v>
      </c>
      <c r="T16" s="1" t="s">
        <v>45</v>
      </c>
      <c r="U16" s="1" t="s">
        <v>45</v>
      </c>
      <c r="V16" s="1" t="s">
        <v>45</v>
      </c>
      <c r="W16" s="1" t="s">
        <v>45</v>
      </c>
      <c r="X16" s="1" t="s">
        <v>45</v>
      </c>
      <c r="Y16" s="1" t="s">
        <v>45</v>
      </c>
      <c r="Z16" s="1" t="s">
        <v>45</v>
      </c>
      <c r="AA16" s="1" t="s">
        <v>45</v>
      </c>
      <c r="AB16" s="1" t="s">
        <v>45</v>
      </c>
      <c r="AC16" s="1" t="s">
        <v>45</v>
      </c>
      <c r="AD16" s="1" t="s">
        <v>45</v>
      </c>
      <c r="AE16" s="1" t="s">
        <v>45</v>
      </c>
      <c r="AF16" s="32">
        <v>44637</v>
      </c>
      <c r="AG16" s="1">
        <v>45.205468512928597</v>
      </c>
      <c r="AH16" s="1" t="s">
        <v>1526</v>
      </c>
      <c r="AI16" s="1" t="s">
        <v>1527</v>
      </c>
      <c r="AJ16" s="1" t="s">
        <v>45</v>
      </c>
      <c r="AK16" s="1" t="s">
        <v>45</v>
      </c>
      <c r="AL16" s="1" t="s">
        <v>45</v>
      </c>
      <c r="AM16" s="1" t="s">
        <v>45</v>
      </c>
      <c r="AN16" s="1" t="s">
        <v>45</v>
      </c>
      <c r="AO16" s="1" t="s">
        <v>45</v>
      </c>
      <c r="AP16" s="1" t="s">
        <v>45</v>
      </c>
      <c r="AQ16" s="1" t="s">
        <v>45</v>
      </c>
      <c r="AR16" s="1" t="s">
        <v>51</v>
      </c>
      <c r="AS16" s="1" t="s">
        <v>1639</v>
      </c>
      <c r="AT16" s="1" t="s">
        <v>1560</v>
      </c>
      <c r="AW16" s="33" t="s">
        <v>1464</v>
      </c>
      <c r="AX16" s="3"/>
      <c r="AY16" s="3" t="s">
        <v>1560</v>
      </c>
      <c r="AZ16" s="1">
        <v>2</v>
      </c>
      <c r="BB16" s="1" t="s">
        <v>1567</v>
      </c>
      <c r="BC16" s="1" t="s">
        <v>1531</v>
      </c>
      <c r="BE16" s="1" t="s">
        <v>1603</v>
      </c>
      <c r="BG16" s="1" t="s">
        <v>1525</v>
      </c>
      <c r="BH16" s="1" t="s">
        <v>46</v>
      </c>
      <c r="BI16" s="1" t="s">
        <v>1599</v>
      </c>
      <c r="BJ16" s="1" t="s">
        <v>45</v>
      </c>
      <c r="BK16" s="1" t="s">
        <v>1549</v>
      </c>
      <c r="BL16" s="32">
        <v>44637</v>
      </c>
      <c r="BM16" s="1" t="s">
        <v>121</v>
      </c>
      <c r="BO16" s="1" t="s">
        <v>1537</v>
      </c>
      <c r="BP16" s="1" t="s">
        <v>1551</v>
      </c>
      <c r="BQ16" s="1" t="s">
        <v>1539</v>
      </c>
      <c r="BR16" s="1" t="s">
        <v>1589</v>
      </c>
      <c r="BS16" s="1" t="s">
        <v>1640</v>
      </c>
      <c r="BU16" s="1" t="s">
        <v>51</v>
      </c>
      <c r="BW16" s="1" t="s">
        <v>1563</v>
      </c>
      <c r="BX16" s="32">
        <v>44734</v>
      </c>
      <c r="BY16" s="1">
        <v>12</v>
      </c>
      <c r="BZ16" s="1" t="s">
        <v>1591</v>
      </c>
      <c r="CA16" s="1" t="s">
        <v>51</v>
      </c>
      <c r="CB16" s="1" t="s">
        <v>51</v>
      </c>
      <c r="CC16" s="32">
        <v>44662</v>
      </c>
      <c r="CD16" s="1">
        <v>54</v>
      </c>
      <c r="CE16" s="1">
        <v>30</v>
      </c>
      <c r="CJ16" s="1" t="s">
        <v>45</v>
      </c>
      <c r="DH16" s="1" t="s">
        <v>45</v>
      </c>
      <c r="DM16" s="1" t="s">
        <v>45</v>
      </c>
      <c r="DO16" s="1" t="s">
        <v>45</v>
      </c>
      <c r="DQ16" s="1" t="s">
        <v>45</v>
      </c>
      <c r="DT16" s="32">
        <v>45776</v>
      </c>
      <c r="DU16" s="1" t="s">
        <v>1598</v>
      </c>
      <c r="DV16" s="1">
        <v>37.417871222076201</v>
      </c>
      <c r="DW16" s="1" t="s">
        <v>45</v>
      </c>
    </row>
    <row r="17" spans="1:130" x14ac:dyDescent="0.2">
      <c r="A17" s="8" t="s">
        <v>126</v>
      </c>
      <c r="B17" s="32">
        <v>20242</v>
      </c>
      <c r="C17" s="32">
        <v>44487</v>
      </c>
      <c r="D17" s="1">
        <v>66.380555384436306</v>
      </c>
      <c r="E17" s="1" t="s">
        <v>1523</v>
      </c>
      <c r="F17" s="1" t="s">
        <v>1524</v>
      </c>
      <c r="G17" s="1" t="s">
        <v>1545</v>
      </c>
      <c r="H17" s="1" t="s">
        <v>51</v>
      </c>
      <c r="I17" s="1">
        <v>1.847</v>
      </c>
      <c r="J17" s="1" t="s">
        <v>51</v>
      </c>
      <c r="K17" s="1">
        <v>106.6</v>
      </c>
      <c r="L17" s="1">
        <v>31.248085468496999</v>
      </c>
      <c r="M17" s="1" t="s">
        <v>45</v>
      </c>
      <c r="N17" s="1" t="s">
        <v>45</v>
      </c>
      <c r="O17" s="1" t="s">
        <v>45</v>
      </c>
      <c r="P17" s="1" t="s">
        <v>45</v>
      </c>
      <c r="Q17" s="1" t="s">
        <v>45</v>
      </c>
      <c r="R17" s="1" t="s">
        <v>45</v>
      </c>
      <c r="S17" s="1" t="s">
        <v>45</v>
      </c>
      <c r="T17" s="1" t="s">
        <v>45</v>
      </c>
      <c r="U17" s="1" t="s">
        <v>45</v>
      </c>
      <c r="V17" s="1" t="s">
        <v>45</v>
      </c>
      <c r="W17" s="1" t="s">
        <v>45</v>
      </c>
      <c r="X17" s="1" t="s">
        <v>45</v>
      </c>
      <c r="Y17" s="1" t="s">
        <v>45</v>
      </c>
      <c r="Z17" s="1" t="s">
        <v>45</v>
      </c>
      <c r="AA17" s="1" t="s">
        <v>45</v>
      </c>
      <c r="AB17" s="1" t="s">
        <v>45</v>
      </c>
      <c r="AC17" s="1" t="s">
        <v>45</v>
      </c>
      <c r="AD17" s="1" t="s">
        <v>45</v>
      </c>
      <c r="AE17" s="1" t="s">
        <v>45</v>
      </c>
      <c r="AF17" s="32">
        <v>44639</v>
      </c>
      <c r="AG17" s="1">
        <v>66.796717249498599</v>
      </c>
      <c r="AH17" s="1" t="s">
        <v>1526</v>
      </c>
      <c r="AI17" s="1" t="s">
        <v>1527</v>
      </c>
      <c r="AJ17" s="1" t="s">
        <v>45</v>
      </c>
      <c r="AK17" s="1" t="s">
        <v>51</v>
      </c>
      <c r="AL17" s="1" t="s">
        <v>45</v>
      </c>
      <c r="AM17" s="1" t="s">
        <v>45</v>
      </c>
      <c r="AN17" s="1" t="s">
        <v>45</v>
      </c>
      <c r="AO17" s="1" t="s">
        <v>45</v>
      </c>
      <c r="AP17" s="1" t="s">
        <v>45</v>
      </c>
      <c r="AQ17" s="1" t="s">
        <v>45</v>
      </c>
      <c r="AR17" s="1" t="s">
        <v>45</v>
      </c>
      <c r="AT17" s="1" t="s">
        <v>1528</v>
      </c>
      <c r="AW17" s="33" t="s">
        <v>1463</v>
      </c>
      <c r="AX17" s="3" t="s">
        <v>1528</v>
      </c>
      <c r="AY17" s="3"/>
      <c r="AZ17" s="1">
        <v>4</v>
      </c>
      <c r="BB17" s="1" t="s">
        <v>1530</v>
      </c>
      <c r="BE17" s="1" t="s">
        <v>1533</v>
      </c>
      <c r="BG17" s="1" t="s">
        <v>1525</v>
      </c>
      <c r="BH17" s="1" t="s">
        <v>46</v>
      </c>
      <c r="BI17" s="1" t="s">
        <v>1525</v>
      </c>
      <c r="BJ17" s="1" t="s">
        <v>45</v>
      </c>
      <c r="BK17" s="1" t="s">
        <v>1549</v>
      </c>
      <c r="BL17" s="32">
        <v>44637</v>
      </c>
      <c r="BM17" s="1" t="s">
        <v>127</v>
      </c>
      <c r="BO17" s="1" t="s">
        <v>1537</v>
      </c>
      <c r="BP17" s="1" t="s">
        <v>1551</v>
      </c>
      <c r="BQ17" s="1" t="s">
        <v>1539</v>
      </c>
      <c r="BR17" s="1" t="s">
        <v>1589</v>
      </c>
      <c r="BS17" s="1" t="s">
        <v>1641</v>
      </c>
      <c r="BU17" s="1" t="s">
        <v>51</v>
      </c>
      <c r="BW17" s="1" t="s">
        <v>1542</v>
      </c>
      <c r="CA17" s="1" t="s">
        <v>51</v>
      </c>
      <c r="CB17" s="1" t="s">
        <v>51</v>
      </c>
      <c r="CC17" s="32">
        <v>44694</v>
      </c>
      <c r="CD17" s="1">
        <v>60</v>
      </c>
      <c r="CE17" s="1">
        <v>30</v>
      </c>
      <c r="CI17" s="1" t="s">
        <v>1642</v>
      </c>
      <c r="CJ17" s="1" t="s">
        <v>45</v>
      </c>
      <c r="DH17" s="1" t="s">
        <v>45</v>
      </c>
      <c r="DM17" s="1" t="s">
        <v>45</v>
      </c>
      <c r="DO17" s="1" t="s">
        <v>45</v>
      </c>
      <c r="DQ17" s="1" t="s">
        <v>45</v>
      </c>
      <c r="DS17" s="1" t="s">
        <v>1643</v>
      </c>
      <c r="DT17" s="32">
        <v>44753</v>
      </c>
      <c r="DU17" s="1" t="s">
        <v>1543</v>
      </c>
      <c r="DV17" s="1">
        <v>3.74507227332457</v>
      </c>
      <c r="DW17" s="1" t="s">
        <v>45</v>
      </c>
    </row>
    <row r="18" spans="1:130" x14ac:dyDescent="0.2">
      <c r="A18" s="8" t="s">
        <v>132</v>
      </c>
      <c r="B18" s="32">
        <v>29509</v>
      </c>
      <c r="C18" s="32">
        <v>44641</v>
      </c>
      <c r="D18" s="1">
        <v>41.430008829750101</v>
      </c>
      <c r="E18" s="1" t="s">
        <v>1587</v>
      </c>
      <c r="F18" s="1" t="s">
        <v>1524</v>
      </c>
      <c r="G18" s="1" t="s">
        <v>1525</v>
      </c>
      <c r="H18" s="1" t="s">
        <v>51</v>
      </c>
      <c r="I18" s="1">
        <v>1.65</v>
      </c>
      <c r="J18" s="1" t="s">
        <v>51</v>
      </c>
      <c r="K18" s="1">
        <v>69.599999999999994</v>
      </c>
      <c r="L18" s="1">
        <v>25.564738292011</v>
      </c>
      <c r="M18" s="1" t="s">
        <v>45</v>
      </c>
      <c r="N18" s="1" t="s">
        <v>45</v>
      </c>
      <c r="O18" s="1" t="s">
        <v>45</v>
      </c>
      <c r="P18" s="1" t="s">
        <v>45</v>
      </c>
      <c r="Q18" s="1" t="s">
        <v>45</v>
      </c>
      <c r="R18" s="1" t="s">
        <v>45</v>
      </c>
      <c r="S18" s="1" t="s">
        <v>45</v>
      </c>
      <c r="T18" s="1" t="s">
        <v>45</v>
      </c>
      <c r="U18" s="1" t="s">
        <v>45</v>
      </c>
      <c r="V18" s="1" t="s">
        <v>45</v>
      </c>
      <c r="W18" s="1" t="s">
        <v>45</v>
      </c>
      <c r="X18" s="1" t="s">
        <v>45</v>
      </c>
      <c r="Y18" s="1" t="s">
        <v>45</v>
      </c>
      <c r="Z18" s="1" t="s">
        <v>45</v>
      </c>
      <c r="AA18" s="1" t="s">
        <v>45</v>
      </c>
      <c r="AB18" s="1" t="s">
        <v>45</v>
      </c>
      <c r="AC18" s="1" t="s">
        <v>45</v>
      </c>
      <c r="AD18" s="1" t="s">
        <v>45</v>
      </c>
      <c r="AE18" s="1" t="s">
        <v>45</v>
      </c>
      <c r="AF18" s="32">
        <v>44641</v>
      </c>
      <c r="AG18" s="1">
        <v>41.430008829750101</v>
      </c>
      <c r="AH18" s="1" t="s">
        <v>1526</v>
      </c>
      <c r="AI18" s="1" t="s">
        <v>1527</v>
      </c>
      <c r="AJ18" s="1" t="s">
        <v>45</v>
      </c>
      <c r="AK18" s="1" t="s">
        <v>45</v>
      </c>
      <c r="AL18" s="1" t="s">
        <v>51</v>
      </c>
      <c r="AM18" s="1" t="s">
        <v>51</v>
      </c>
      <c r="AN18" s="1" t="s">
        <v>51</v>
      </c>
      <c r="AO18" s="1" t="s">
        <v>45</v>
      </c>
      <c r="AP18" s="1" t="s">
        <v>45</v>
      </c>
      <c r="AQ18" s="1" t="s">
        <v>45</v>
      </c>
      <c r="AR18" s="1" t="s">
        <v>45</v>
      </c>
      <c r="AT18" s="1" t="s">
        <v>1560</v>
      </c>
      <c r="AW18" s="33" t="s">
        <v>1463</v>
      </c>
      <c r="AX18" s="3" t="s">
        <v>1560</v>
      </c>
      <c r="AY18" s="3"/>
      <c r="AZ18" s="1">
        <v>4</v>
      </c>
      <c r="BB18" s="1" t="s">
        <v>1567</v>
      </c>
      <c r="BC18" s="1" t="s">
        <v>1531</v>
      </c>
      <c r="BE18" s="1" t="s">
        <v>1603</v>
      </c>
      <c r="BF18" s="1" t="s">
        <v>1548</v>
      </c>
      <c r="BG18" s="1" t="s">
        <v>45</v>
      </c>
      <c r="BH18" s="1" t="s">
        <v>46</v>
      </c>
      <c r="BI18" s="1" t="s">
        <v>1525</v>
      </c>
      <c r="BJ18" s="1" t="s">
        <v>1525</v>
      </c>
      <c r="BK18" s="1" t="s">
        <v>1549</v>
      </c>
      <c r="BL18" s="32">
        <v>44641</v>
      </c>
      <c r="BM18" s="1" t="s">
        <v>1644</v>
      </c>
      <c r="BO18" s="1" t="s">
        <v>1537</v>
      </c>
      <c r="BP18" s="1" t="s">
        <v>1551</v>
      </c>
      <c r="BQ18" s="1" t="s">
        <v>1539</v>
      </c>
      <c r="BR18" s="1" t="s">
        <v>1552</v>
      </c>
      <c r="BS18" s="1" t="s">
        <v>50</v>
      </c>
      <c r="BU18" s="1" t="s">
        <v>51</v>
      </c>
      <c r="BW18" s="1" t="s">
        <v>1563</v>
      </c>
      <c r="BX18" s="32">
        <v>44748</v>
      </c>
      <c r="BY18" s="1">
        <v>7</v>
      </c>
      <c r="CA18" s="1" t="s">
        <v>51</v>
      </c>
      <c r="CB18" s="1" t="s">
        <v>51</v>
      </c>
      <c r="CC18" s="32">
        <v>44669</v>
      </c>
      <c r="CD18" s="1">
        <v>54</v>
      </c>
      <c r="CE18" s="1">
        <v>30</v>
      </c>
      <c r="CJ18" s="1" t="s">
        <v>51</v>
      </c>
      <c r="CK18" s="32">
        <v>44947</v>
      </c>
      <c r="CL18" s="1" t="s">
        <v>45</v>
      </c>
      <c r="DH18" s="1" t="s">
        <v>51</v>
      </c>
      <c r="DI18" s="1" t="s">
        <v>1630</v>
      </c>
      <c r="DJ18" s="32">
        <v>45035</v>
      </c>
      <c r="DK18" s="1" t="s">
        <v>1569</v>
      </c>
      <c r="DM18" s="1" t="s">
        <v>51</v>
      </c>
      <c r="DN18" s="1" t="s">
        <v>1645</v>
      </c>
      <c r="DO18" s="1" t="s">
        <v>45</v>
      </c>
      <c r="DQ18" s="1" t="s">
        <v>45</v>
      </c>
      <c r="DT18" s="32">
        <v>45077</v>
      </c>
      <c r="DU18" s="1" t="s">
        <v>1543</v>
      </c>
      <c r="DV18" s="1">
        <v>14.323258869908001</v>
      </c>
      <c r="DW18" s="1" t="s">
        <v>45</v>
      </c>
      <c r="DY18" s="32">
        <v>45077</v>
      </c>
      <c r="DZ18" s="1" t="s">
        <v>1557</v>
      </c>
    </row>
    <row r="19" spans="1:130" x14ac:dyDescent="0.2">
      <c r="A19" s="8" t="s">
        <v>138</v>
      </c>
      <c r="B19" s="32">
        <v>29877</v>
      </c>
      <c r="C19" s="32">
        <v>43378</v>
      </c>
      <c r="D19" s="1">
        <v>36.964482501351803</v>
      </c>
      <c r="E19" s="1" t="s">
        <v>1523</v>
      </c>
      <c r="F19" s="1" t="s">
        <v>1524</v>
      </c>
      <c r="G19" s="1" t="s">
        <v>1545</v>
      </c>
      <c r="H19" s="1" t="s">
        <v>51</v>
      </c>
      <c r="I19" s="1">
        <v>1.71</v>
      </c>
      <c r="J19" s="1" t="s">
        <v>51</v>
      </c>
      <c r="K19" s="1">
        <v>92.5</v>
      </c>
      <c r="L19" s="1">
        <v>31.633665059334501</v>
      </c>
      <c r="M19" s="1" t="s">
        <v>45</v>
      </c>
      <c r="N19" s="1" t="s">
        <v>45</v>
      </c>
      <c r="O19" s="1" t="s">
        <v>45</v>
      </c>
      <c r="P19" s="1" t="s">
        <v>45</v>
      </c>
      <c r="Q19" s="1" t="s">
        <v>45</v>
      </c>
      <c r="R19" s="1" t="s">
        <v>45</v>
      </c>
      <c r="S19" s="1" t="s">
        <v>45</v>
      </c>
      <c r="T19" s="1" t="s">
        <v>45</v>
      </c>
      <c r="U19" s="1" t="s">
        <v>45</v>
      </c>
      <c r="V19" s="1" t="s">
        <v>45</v>
      </c>
      <c r="W19" s="1" t="s">
        <v>45</v>
      </c>
      <c r="X19" s="1" t="s">
        <v>45</v>
      </c>
      <c r="Y19" s="1" t="s">
        <v>45</v>
      </c>
      <c r="Z19" s="1" t="s">
        <v>45</v>
      </c>
      <c r="AA19" s="1" t="s">
        <v>45</v>
      </c>
      <c r="AB19" s="1" t="s">
        <v>45</v>
      </c>
      <c r="AC19" s="1" t="s">
        <v>45</v>
      </c>
      <c r="AD19" s="1" t="s">
        <v>45</v>
      </c>
      <c r="AE19" s="1" t="s">
        <v>45</v>
      </c>
      <c r="AF19" s="32">
        <v>44648</v>
      </c>
      <c r="AG19" s="1">
        <v>40.441624400227198</v>
      </c>
      <c r="AH19" s="1" t="s">
        <v>1526</v>
      </c>
      <c r="AI19" s="1" t="s">
        <v>1527</v>
      </c>
      <c r="AJ19" s="1" t="s">
        <v>45</v>
      </c>
      <c r="AK19" s="1" t="s">
        <v>51</v>
      </c>
      <c r="AL19" s="1" t="s">
        <v>45</v>
      </c>
      <c r="AM19" s="1" t="s">
        <v>45</v>
      </c>
      <c r="AN19" s="1" t="s">
        <v>45</v>
      </c>
      <c r="AO19" s="1" t="s">
        <v>45</v>
      </c>
      <c r="AP19" s="1" t="s">
        <v>45</v>
      </c>
      <c r="AQ19" s="1" t="s">
        <v>45</v>
      </c>
      <c r="AR19" s="1" t="s">
        <v>45</v>
      </c>
      <c r="AT19" s="1" t="s">
        <v>1560</v>
      </c>
      <c r="AV19" s="1" t="s">
        <v>1646</v>
      </c>
      <c r="AW19" s="33" t="s">
        <v>1464</v>
      </c>
      <c r="AX19" s="3"/>
      <c r="AY19" s="3" t="s">
        <v>1560</v>
      </c>
      <c r="AZ19" s="1">
        <v>1</v>
      </c>
      <c r="BB19" s="1" t="s">
        <v>1561</v>
      </c>
      <c r="BC19" s="1" t="s">
        <v>1561</v>
      </c>
      <c r="BE19" s="1" t="s">
        <v>1525</v>
      </c>
      <c r="BG19" s="1" t="s">
        <v>45</v>
      </c>
      <c r="BH19" s="1" t="s">
        <v>68</v>
      </c>
      <c r="BI19" s="1" t="s">
        <v>1535</v>
      </c>
      <c r="BJ19" s="1" t="s">
        <v>45</v>
      </c>
      <c r="BK19" s="1" t="s">
        <v>1549</v>
      </c>
      <c r="BL19" s="32">
        <v>44648</v>
      </c>
      <c r="BM19" s="1" t="s">
        <v>139</v>
      </c>
      <c r="BO19" s="1" t="s">
        <v>1537</v>
      </c>
      <c r="BP19" s="1" t="s">
        <v>1551</v>
      </c>
      <c r="BQ19" s="1" t="s">
        <v>1647</v>
      </c>
      <c r="BR19" s="1" t="s">
        <v>1589</v>
      </c>
      <c r="BS19" s="1" t="s">
        <v>1640</v>
      </c>
      <c r="BU19" s="1" t="s">
        <v>45</v>
      </c>
      <c r="BW19" s="1" t="s">
        <v>1561</v>
      </c>
      <c r="CA19" s="1" t="s">
        <v>45</v>
      </c>
      <c r="CB19" s="1" t="s">
        <v>45</v>
      </c>
      <c r="CI19" s="1" t="s">
        <v>1648</v>
      </c>
      <c r="CJ19" s="1" t="s">
        <v>45</v>
      </c>
      <c r="DH19" s="1" t="s">
        <v>45</v>
      </c>
      <c r="DM19" s="1" t="s">
        <v>45</v>
      </c>
      <c r="DO19" s="1" t="s">
        <v>45</v>
      </c>
      <c r="DQ19" s="1" t="s">
        <v>45</v>
      </c>
      <c r="DT19" s="32">
        <v>45616</v>
      </c>
      <c r="DU19" s="1" t="s">
        <v>1598</v>
      </c>
      <c r="DV19" s="1">
        <v>31.8016316250547</v>
      </c>
      <c r="DW19" s="1" t="s">
        <v>45</v>
      </c>
    </row>
    <row r="20" spans="1:130" x14ac:dyDescent="0.2">
      <c r="A20" s="8" t="s">
        <v>144</v>
      </c>
      <c r="B20" s="32">
        <v>22716</v>
      </c>
      <c r="C20" s="32">
        <v>44651</v>
      </c>
      <c r="D20" s="1">
        <v>60.055876118834199</v>
      </c>
      <c r="E20" s="1" t="s">
        <v>1523</v>
      </c>
      <c r="F20" s="1" t="s">
        <v>1524</v>
      </c>
      <c r="G20" s="1" t="s">
        <v>1525</v>
      </c>
      <c r="H20" s="1" t="s">
        <v>51</v>
      </c>
      <c r="I20" s="1">
        <v>1.69</v>
      </c>
      <c r="J20" s="1" t="s">
        <v>51</v>
      </c>
      <c r="K20" s="1">
        <v>90.3</v>
      </c>
      <c r="L20" s="1">
        <v>31.616540037113499</v>
      </c>
      <c r="M20" s="1" t="s">
        <v>45</v>
      </c>
      <c r="N20" s="1" t="s">
        <v>45</v>
      </c>
      <c r="O20" s="1" t="s">
        <v>45</v>
      </c>
      <c r="P20" s="1" t="s">
        <v>45</v>
      </c>
      <c r="Q20" s="1" t="s">
        <v>45</v>
      </c>
      <c r="R20" s="1" t="s">
        <v>45</v>
      </c>
      <c r="S20" s="1" t="s">
        <v>45</v>
      </c>
      <c r="T20" s="1" t="s">
        <v>45</v>
      </c>
      <c r="U20" s="1" t="s">
        <v>45</v>
      </c>
      <c r="V20" s="1" t="s">
        <v>45</v>
      </c>
      <c r="W20" s="1" t="s">
        <v>45</v>
      </c>
      <c r="X20" s="1" t="s">
        <v>45</v>
      </c>
      <c r="Y20" s="1" t="s">
        <v>45</v>
      </c>
      <c r="Z20" s="1" t="s">
        <v>45</v>
      </c>
      <c r="AA20" s="1" t="s">
        <v>45</v>
      </c>
      <c r="AB20" s="1" t="s">
        <v>45</v>
      </c>
      <c r="AC20" s="1" t="s">
        <v>45</v>
      </c>
      <c r="AD20" s="1" t="s">
        <v>45</v>
      </c>
      <c r="AE20" s="1" t="s">
        <v>45</v>
      </c>
      <c r="AF20" s="32">
        <v>44651</v>
      </c>
      <c r="AG20" s="1">
        <v>60.055876118834199</v>
      </c>
      <c r="AH20" s="1" t="s">
        <v>1526</v>
      </c>
      <c r="AI20" s="1" t="s">
        <v>1527</v>
      </c>
      <c r="AJ20" s="1" t="s">
        <v>45</v>
      </c>
      <c r="AK20" s="1" t="s">
        <v>45</v>
      </c>
      <c r="AL20" s="1" t="s">
        <v>45</v>
      </c>
      <c r="AM20" s="1" t="s">
        <v>51</v>
      </c>
      <c r="AN20" s="1" t="s">
        <v>45</v>
      </c>
      <c r="AO20" s="1" t="s">
        <v>45</v>
      </c>
      <c r="AP20" s="1" t="s">
        <v>45</v>
      </c>
      <c r="AQ20" s="1" t="s">
        <v>45</v>
      </c>
      <c r="AR20" s="1" t="s">
        <v>45</v>
      </c>
      <c r="AT20" s="1" t="s">
        <v>1560</v>
      </c>
      <c r="AW20" s="33" t="s">
        <v>1463</v>
      </c>
      <c r="AX20" s="3" t="s">
        <v>1560</v>
      </c>
      <c r="AY20" s="3"/>
      <c r="AZ20" s="1">
        <v>4</v>
      </c>
      <c r="BB20" s="1" t="s">
        <v>1567</v>
      </c>
      <c r="BC20" s="1" t="s">
        <v>1531</v>
      </c>
      <c r="BE20" s="1" t="s">
        <v>1603</v>
      </c>
      <c r="BF20" s="1" t="s">
        <v>1548</v>
      </c>
      <c r="BG20" s="1" t="s">
        <v>1525</v>
      </c>
      <c r="BH20" s="1" t="s">
        <v>1525</v>
      </c>
      <c r="BI20" s="1" t="s">
        <v>1599</v>
      </c>
      <c r="BJ20" s="1" t="s">
        <v>1525</v>
      </c>
      <c r="BK20" s="1" t="s">
        <v>1549</v>
      </c>
      <c r="BL20" s="32">
        <v>44651</v>
      </c>
      <c r="BM20" s="1" t="s">
        <v>1649</v>
      </c>
      <c r="BO20" s="1" t="s">
        <v>1537</v>
      </c>
      <c r="BP20" s="1" t="s">
        <v>1551</v>
      </c>
      <c r="BQ20" s="1" t="s">
        <v>1539</v>
      </c>
      <c r="BR20" s="1" t="s">
        <v>1552</v>
      </c>
      <c r="BS20" s="1" t="s">
        <v>50</v>
      </c>
      <c r="BU20" s="1" t="s">
        <v>51</v>
      </c>
      <c r="BW20" s="1" t="s">
        <v>1563</v>
      </c>
      <c r="BX20" s="32">
        <v>44748</v>
      </c>
      <c r="BY20" s="1">
        <v>12</v>
      </c>
      <c r="CA20" s="1" t="s">
        <v>51</v>
      </c>
      <c r="CB20" s="1" t="s">
        <v>51</v>
      </c>
      <c r="CC20" s="32">
        <v>44676</v>
      </c>
      <c r="CD20" s="1">
        <v>60</v>
      </c>
      <c r="CE20" s="1">
        <v>30</v>
      </c>
      <c r="CJ20" s="1" t="s">
        <v>45</v>
      </c>
      <c r="DH20" s="1" t="s">
        <v>45</v>
      </c>
      <c r="DM20" s="1" t="s">
        <v>45</v>
      </c>
      <c r="DO20" s="1" t="s">
        <v>45</v>
      </c>
      <c r="DQ20" s="1" t="s">
        <v>45</v>
      </c>
      <c r="DT20" s="32">
        <v>45707</v>
      </c>
      <c r="DU20" s="1" t="s">
        <v>1598</v>
      </c>
      <c r="DV20" s="1">
        <v>34.692564607971903</v>
      </c>
      <c r="DW20" s="1" t="s">
        <v>45</v>
      </c>
      <c r="DY20" s="32">
        <v>45707</v>
      </c>
      <c r="DZ20" s="1" t="s">
        <v>1557</v>
      </c>
    </row>
    <row r="21" spans="1:130" ht="15.75" customHeight="1" x14ac:dyDescent="0.2">
      <c r="A21" s="8" t="s">
        <v>486</v>
      </c>
      <c r="B21" s="32">
        <v>23095</v>
      </c>
      <c r="C21" s="32">
        <v>44652</v>
      </c>
      <c r="D21" s="1">
        <v>59.0209472701926</v>
      </c>
      <c r="E21" s="1" t="s">
        <v>1587</v>
      </c>
      <c r="F21" s="1" t="s">
        <v>1524</v>
      </c>
      <c r="G21" s="1" t="s">
        <v>1574</v>
      </c>
      <c r="H21" s="1" t="s">
        <v>51</v>
      </c>
      <c r="I21" s="1">
        <v>1.66</v>
      </c>
      <c r="J21" s="1" t="s">
        <v>51</v>
      </c>
      <c r="K21" s="1">
        <v>88</v>
      </c>
      <c r="L21" s="1">
        <v>31.934968790825899</v>
      </c>
      <c r="M21" s="1" t="s">
        <v>45</v>
      </c>
      <c r="N21" s="1" t="s">
        <v>45</v>
      </c>
      <c r="O21" s="1" t="s">
        <v>45</v>
      </c>
      <c r="P21" s="1" t="s">
        <v>45</v>
      </c>
      <c r="Q21" s="1" t="s">
        <v>45</v>
      </c>
      <c r="R21" s="1" t="s">
        <v>45</v>
      </c>
      <c r="S21" s="1" t="s">
        <v>45</v>
      </c>
      <c r="T21" s="1" t="s">
        <v>45</v>
      </c>
      <c r="U21" s="1" t="s">
        <v>45</v>
      </c>
      <c r="V21" s="1" t="s">
        <v>45</v>
      </c>
      <c r="W21" s="1" t="s">
        <v>45</v>
      </c>
      <c r="X21" s="1" t="s">
        <v>45</v>
      </c>
      <c r="Y21" s="1" t="s">
        <v>45</v>
      </c>
      <c r="Z21" s="1" t="s">
        <v>45</v>
      </c>
      <c r="AA21" s="1" t="s">
        <v>51</v>
      </c>
      <c r="AB21" s="1" t="s">
        <v>45</v>
      </c>
      <c r="AC21" s="1" t="s">
        <v>45</v>
      </c>
      <c r="AD21" s="1" t="s">
        <v>45</v>
      </c>
      <c r="AE21" s="1" t="s">
        <v>45</v>
      </c>
      <c r="AF21" s="32">
        <v>44652</v>
      </c>
      <c r="AG21" s="1">
        <v>59.0209472701926</v>
      </c>
      <c r="AH21" s="1" t="s">
        <v>1558</v>
      </c>
      <c r="AI21" s="1" t="s">
        <v>1527</v>
      </c>
      <c r="AJ21" s="1" t="s">
        <v>45</v>
      </c>
      <c r="AK21" s="1" t="s">
        <v>45</v>
      </c>
      <c r="AL21" s="1" t="s">
        <v>45</v>
      </c>
      <c r="AM21" s="1" t="s">
        <v>45</v>
      </c>
      <c r="AN21" s="1" t="s">
        <v>45</v>
      </c>
      <c r="AO21" s="1" t="s">
        <v>45</v>
      </c>
      <c r="AP21" s="1" t="s">
        <v>45</v>
      </c>
      <c r="AQ21" s="1" t="s">
        <v>45</v>
      </c>
      <c r="AR21" s="1" t="s">
        <v>51</v>
      </c>
      <c r="AT21" s="34" t="s">
        <v>1650</v>
      </c>
      <c r="AW21" s="35" t="s">
        <v>1463</v>
      </c>
      <c r="AX21" s="33" t="s">
        <v>1547</v>
      </c>
      <c r="AY21" s="3"/>
      <c r="BB21" s="1" t="s">
        <v>1530</v>
      </c>
      <c r="BC21" s="1" t="s">
        <v>1531</v>
      </c>
      <c r="BE21" s="1" t="s">
        <v>1533</v>
      </c>
      <c r="BF21" s="1" t="s">
        <v>1548</v>
      </c>
      <c r="BG21" s="1" t="s">
        <v>1525</v>
      </c>
      <c r="BH21" s="1" t="s">
        <v>46</v>
      </c>
      <c r="BI21" s="1" t="s">
        <v>1535</v>
      </c>
      <c r="BJ21" s="1" t="s">
        <v>51</v>
      </c>
      <c r="BK21" s="1" t="s">
        <v>1549</v>
      </c>
      <c r="BL21" s="32">
        <v>44652</v>
      </c>
      <c r="BM21" s="1" t="s">
        <v>1651</v>
      </c>
      <c r="BO21" s="1" t="s">
        <v>1537</v>
      </c>
      <c r="BP21" s="1" t="s">
        <v>1551</v>
      </c>
      <c r="BQ21" s="1" t="s">
        <v>1539</v>
      </c>
      <c r="BR21" s="1" t="s">
        <v>1540</v>
      </c>
      <c r="BS21" s="1" t="s">
        <v>50</v>
      </c>
      <c r="BU21" s="1" t="s">
        <v>51</v>
      </c>
      <c r="BW21" s="1" t="s">
        <v>1563</v>
      </c>
      <c r="BX21" s="32">
        <v>44797</v>
      </c>
      <c r="BY21" s="1">
        <v>3</v>
      </c>
      <c r="CA21" s="1" t="s">
        <v>51</v>
      </c>
      <c r="CB21" s="1" t="s">
        <v>51</v>
      </c>
      <c r="CC21" s="32">
        <v>44711</v>
      </c>
      <c r="CD21" s="1">
        <v>5940</v>
      </c>
      <c r="CE21" s="1">
        <v>33</v>
      </c>
      <c r="CJ21" s="1" t="s">
        <v>51</v>
      </c>
      <c r="CK21" s="32">
        <v>44883</v>
      </c>
      <c r="CL21" s="1" t="s">
        <v>51</v>
      </c>
      <c r="CM21" s="32">
        <v>44907</v>
      </c>
      <c r="CN21" s="1">
        <v>0.69828036624069401</v>
      </c>
      <c r="CO21" s="1" t="s">
        <v>1537</v>
      </c>
      <c r="CP21" s="1" t="s">
        <v>1566</v>
      </c>
      <c r="CQ21" s="1" t="s">
        <v>1539</v>
      </c>
      <c r="CR21" s="1" t="s">
        <v>1540</v>
      </c>
      <c r="CS21" s="1" t="s">
        <v>50</v>
      </c>
      <c r="CT21" s="1" t="s">
        <v>1546</v>
      </c>
      <c r="CV21" s="1" t="s">
        <v>1463</v>
      </c>
      <c r="CY21" s="1" t="s">
        <v>1561</v>
      </c>
      <c r="DB21" s="1" t="s">
        <v>1525</v>
      </c>
      <c r="DD21" s="1" t="s">
        <v>1525</v>
      </c>
      <c r="DE21" s="1" t="s">
        <v>68</v>
      </c>
      <c r="DF21" s="1" t="s">
        <v>1525</v>
      </c>
      <c r="DG21" s="1" t="s">
        <v>51</v>
      </c>
      <c r="DH21" s="1" t="s">
        <v>51</v>
      </c>
      <c r="DI21" s="1" t="s">
        <v>1652</v>
      </c>
      <c r="DJ21" s="32">
        <v>44958</v>
      </c>
      <c r="DK21" s="1" t="s">
        <v>1569</v>
      </c>
      <c r="DM21" s="1" t="s">
        <v>51</v>
      </c>
      <c r="DN21" s="1" t="s">
        <v>1653</v>
      </c>
      <c r="DO21" s="1" t="s">
        <v>51</v>
      </c>
      <c r="DP21" s="1" t="s">
        <v>1654</v>
      </c>
      <c r="DQ21" s="1" t="s">
        <v>45</v>
      </c>
      <c r="DT21" s="32">
        <v>45138</v>
      </c>
      <c r="DU21" s="1" t="s">
        <v>1543</v>
      </c>
      <c r="DV21" s="1">
        <v>15.965834428383699</v>
      </c>
      <c r="DW21" s="1" t="s">
        <v>45</v>
      </c>
      <c r="DY21" s="32">
        <v>45138</v>
      </c>
      <c r="DZ21" s="1" t="s">
        <v>1557</v>
      </c>
    </row>
    <row r="22" spans="1:130" ht="15.75" customHeight="1" x14ac:dyDescent="0.2">
      <c r="A22" s="8" t="s">
        <v>149</v>
      </c>
      <c r="B22" s="32">
        <v>29567</v>
      </c>
      <c r="C22" s="32">
        <v>44655</v>
      </c>
      <c r="D22" s="1">
        <v>41.3094268419839</v>
      </c>
      <c r="E22" s="1" t="s">
        <v>1587</v>
      </c>
      <c r="F22" s="1" t="s">
        <v>1524</v>
      </c>
      <c r="G22" s="1" t="s">
        <v>1525</v>
      </c>
      <c r="H22" s="1" t="s">
        <v>51</v>
      </c>
      <c r="I22" s="1">
        <v>1.635</v>
      </c>
      <c r="J22" s="1" t="s">
        <v>51</v>
      </c>
      <c r="K22" s="1">
        <v>57.8</v>
      </c>
      <c r="L22" s="1">
        <v>21.621823827025398</v>
      </c>
      <c r="M22" s="1" t="s">
        <v>45</v>
      </c>
      <c r="N22" s="1" t="s">
        <v>45</v>
      </c>
      <c r="O22" s="1" t="s">
        <v>45</v>
      </c>
      <c r="P22" s="1" t="s">
        <v>45</v>
      </c>
      <c r="Q22" s="1" t="s">
        <v>45</v>
      </c>
      <c r="R22" s="1" t="s">
        <v>45</v>
      </c>
      <c r="S22" s="1" t="s">
        <v>45</v>
      </c>
      <c r="T22" s="1" t="s">
        <v>45</v>
      </c>
      <c r="U22" s="1" t="s">
        <v>45</v>
      </c>
      <c r="V22" s="1" t="s">
        <v>45</v>
      </c>
      <c r="W22" s="1" t="s">
        <v>45</v>
      </c>
      <c r="X22" s="1" t="s">
        <v>45</v>
      </c>
      <c r="Y22" s="1" t="s">
        <v>45</v>
      </c>
      <c r="Z22" s="1" t="s">
        <v>45</v>
      </c>
      <c r="AA22" s="1" t="s">
        <v>45</v>
      </c>
      <c r="AB22" s="1" t="s">
        <v>45</v>
      </c>
      <c r="AC22" s="1" t="s">
        <v>45</v>
      </c>
      <c r="AD22" s="1" t="s">
        <v>45</v>
      </c>
      <c r="AE22" s="1" t="s">
        <v>45</v>
      </c>
      <c r="AF22" s="32">
        <v>44655</v>
      </c>
      <c r="AG22" s="1">
        <v>41.3094268419839</v>
      </c>
      <c r="AH22" s="1" t="s">
        <v>1558</v>
      </c>
      <c r="AI22" s="1" t="s">
        <v>1527</v>
      </c>
      <c r="AJ22" s="1" t="s">
        <v>45</v>
      </c>
      <c r="AK22" s="1" t="s">
        <v>45</v>
      </c>
      <c r="AL22" s="1" t="s">
        <v>45</v>
      </c>
      <c r="AM22" s="1" t="s">
        <v>45</v>
      </c>
      <c r="AN22" s="1" t="s">
        <v>45</v>
      </c>
      <c r="AO22" s="1" t="s">
        <v>45</v>
      </c>
      <c r="AP22" s="1" t="s">
        <v>45</v>
      </c>
      <c r="AQ22" s="1" t="s">
        <v>51</v>
      </c>
      <c r="AR22" s="1" t="s">
        <v>45</v>
      </c>
      <c r="AT22" s="1" t="s">
        <v>1546</v>
      </c>
      <c r="AV22" s="1" t="s">
        <v>1655</v>
      </c>
      <c r="AW22" s="33" t="s">
        <v>1463</v>
      </c>
      <c r="AX22" s="33" t="s">
        <v>1656</v>
      </c>
      <c r="AY22" s="3"/>
      <c r="AZ22" s="1">
        <v>4</v>
      </c>
      <c r="BB22" s="1" t="s">
        <v>1530</v>
      </c>
      <c r="BE22" s="1" t="s">
        <v>1533</v>
      </c>
      <c r="BF22" s="1" t="s">
        <v>1548</v>
      </c>
      <c r="BG22" s="1" t="s">
        <v>45</v>
      </c>
      <c r="BH22" s="1" t="s">
        <v>46</v>
      </c>
      <c r="BI22" s="1" t="s">
        <v>1535</v>
      </c>
      <c r="BJ22" s="1" t="s">
        <v>1525</v>
      </c>
      <c r="BK22" s="1" t="s">
        <v>1549</v>
      </c>
      <c r="BL22" s="32">
        <v>44655</v>
      </c>
      <c r="BM22" s="1" t="s">
        <v>1657</v>
      </c>
      <c r="BO22" s="1" t="s">
        <v>1537</v>
      </c>
      <c r="BP22" s="1" t="s">
        <v>1551</v>
      </c>
      <c r="BQ22" s="1" t="s">
        <v>1539</v>
      </c>
      <c r="BR22" s="1" t="s">
        <v>1540</v>
      </c>
      <c r="BS22" s="1" t="s">
        <v>1658</v>
      </c>
      <c r="BU22" s="1" t="s">
        <v>51</v>
      </c>
      <c r="BW22" s="1" t="s">
        <v>1563</v>
      </c>
      <c r="BX22" s="32">
        <v>44762</v>
      </c>
      <c r="BY22" s="1">
        <v>7</v>
      </c>
      <c r="CA22" s="1" t="s">
        <v>51</v>
      </c>
      <c r="CB22" s="1" t="s">
        <v>51</v>
      </c>
      <c r="CC22" s="32">
        <v>44684</v>
      </c>
      <c r="CD22" s="1">
        <v>60</v>
      </c>
      <c r="CE22" s="1">
        <v>33</v>
      </c>
      <c r="CJ22" s="1" t="s">
        <v>51</v>
      </c>
      <c r="CK22" s="32">
        <v>44958</v>
      </c>
      <c r="CL22" s="1" t="s">
        <v>45</v>
      </c>
      <c r="DH22" s="1" t="s">
        <v>45</v>
      </c>
      <c r="DM22" s="1" t="s">
        <v>51</v>
      </c>
      <c r="DN22" s="1" t="s">
        <v>1659</v>
      </c>
      <c r="DO22" s="1" t="s">
        <v>45</v>
      </c>
      <c r="DQ22" s="1" t="s">
        <v>45</v>
      </c>
      <c r="DT22" s="32">
        <v>45252</v>
      </c>
      <c r="DU22" s="1" t="s">
        <v>1543</v>
      </c>
      <c r="DV22" s="1">
        <v>19.613720981165098</v>
      </c>
      <c r="DW22" s="1" t="s">
        <v>45</v>
      </c>
      <c r="DY22" s="32">
        <v>45252</v>
      </c>
      <c r="DZ22" s="1" t="s">
        <v>1557</v>
      </c>
    </row>
    <row r="23" spans="1:130" ht="15.75" customHeight="1" x14ac:dyDescent="0.2">
      <c r="A23" s="8" t="s">
        <v>490</v>
      </c>
      <c r="B23" s="32">
        <v>35504</v>
      </c>
      <c r="C23" s="32">
        <v>44013</v>
      </c>
      <c r="D23" s="1">
        <v>23.296736643006501</v>
      </c>
      <c r="E23" s="1" t="s">
        <v>1523</v>
      </c>
      <c r="F23" s="1" t="s">
        <v>1524</v>
      </c>
      <c r="G23" s="1" t="s">
        <v>1525</v>
      </c>
      <c r="H23" s="1" t="s">
        <v>51</v>
      </c>
      <c r="I23" s="1">
        <v>1.829</v>
      </c>
      <c r="J23" s="1" t="s">
        <v>51</v>
      </c>
      <c r="K23" s="1">
        <v>74.8</v>
      </c>
      <c r="L23" s="1">
        <v>22.360122932846899</v>
      </c>
      <c r="M23" s="1" t="s">
        <v>45</v>
      </c>
      <c r="N23" s="1" t="s">
        <v>45</v>
      </c>
      <c r="O23" s="1" t="s">
        <v>45</v>
      </c>
      <c r="P23" s="1" t="s">
        <v>45</v>
      </c>
      <c r="Q23" s="1" t="s">
        <v>45</v>
      </c>
      <c r="R23" s="1" t="s">
        <v>45</v>
      </c>
      <c r="S23" s="1" t="s">
        <v>45</v>
      </c>
      <c r="T23" s="1" t="s">
        <v>45</v>
      </c>
      <c r="U23" s="1" t="s">
        <v>45</v>
      </c>
      <c r="V23" s="1" t="s">
        <v>45</v>
      </c>
      <c r="W23" s="1" t="s">
        <v>45</v>
      </c>
      <c r="X23" s="1" t="s">
        <v>45</v>
      </c>
      <c r="Y23" s="1" t="s">
        <v>45</v>
      </c>
      <c r="Z23" s="1" t="s">
        <v>45</v>
      </c>
      <c r="AA23" s="1" t="s">
        <v>45</v>
      </c>
      <c r="AB23" s="1" t="s">
        <v>45</v>
      </c>
      <c r="AC23" s="1" t="s">
        <v>45</v>
      </c>
      <c r="AD23" s="1" t="s">
        <v>45</v>
      </c>
      <c r="AE23" s="1" t="s">
        <v>45</v>
      </c>
      <c r="AF23" s="32">
        <v>44013</v>
      </c>
      <c r="AG23" s="1">
        <v>23.296736643006501</v>
      </c>
      <c r="AH23" s="1" t="s">
        <v>1558</v>
      </c>
      <c r="AI23" s="1" t="s">
        <v>1527</v>
      </c>
      <c r="AJ23" s="1" t="s">
        <v>45</v>
      </c>
      <c r="AK23" s="1" t="s">
        <v>51</v>
      </c>
      <c r="AL23" s="1" t="s">
        <v>45</v>
      </c>
      <c r="AM23" s="1" t="s">
        <v>45</v>
      </c>
      <c r="AN23" s="1" t="s">
        <v>45</v>
      </c>
      <c r="AO23" s="1" t="s">
        <v>45</v>
      </c>
      <c r="AP23" s="1" t="s">
        <v>45</v>
      </c>
      <c r="AQ23" s="1" t="s">
        <v>45</v>
      </c>
      <c r="AR23" s="1" t="s">
        <v>45</v>
      </c>
      <c r="AT23" s="1" t="s">
        <v>1601</v>
      </c>
      <c r="AW23" s="33" t="s">
        <v>1464</v>
      </c>
      <c r="AX23" s="3"/>
      <c r="AY23" s="3" t="s">
        <v>1601</v>
      </c>
      <c r="AZ23" s="1">
        <v>2</v>
      </c>
      <c r="BB23" s="1" t="s">
        <v>1567</v>
      </c>
      <c r="BC23" s="1" t="s">
        <v>1602</v>
      </c>
      <c r="BE23" s="1" t="s">
        <v>1525</v>
      </c>
      <c r="BG23" s="1" t="s">
        <v>1525</v>
      </c>
      <c r="BH23" s="1" t="s">
        <v>1525</v>
      </c>
      <c r="BI23" s="1" t="s">
        <v>1525</v>
      </c>
      <c r="BJ23" s="1" t="s">
        <v>1525</v>
      </c>
      <c r="BK23" s="1" t="s">
        <v>1549</v>
      </c>
      <c r="BL23" s="32">
        <v>44013</v>
      </c>
      <c r="BM23" s="1" t="s">
        <v>1562</v>
      </c>
      <c r="BO23" s="1" t="s">
        <v>1537</v>
      </c>
      <c r="BP23" s="1" t="s">
        <v>1551</v>
      </c>
      <c r="BQ23" s="1" t="s">
        <v>1539</v>
      </c>
      <c r="BR23" s="1" t="s">
        <v>1552</v>
      </c>
      <c r="BS23" s="1" t="s">
        <v>43</v>
      </c>
      <c r="BU23" s="1" t="s">
        <v>51</v>
      </c>
      <c r="BW23" s="1" t="s">
        <v>1542</v>
      </c>
      <c r="CA23" s="1" t="s">
        <v>45</v>
      </c>
      <c r="CB23" s="1" t="s">
        <v>45</v>
      </c>
      <c r="CJ23" s="1" t="s">
        <v>51</v>
      </c>
      <c r="CK23" s="32">
        <v>44656</v>
      </c>
      <c r="CL23" s="1" t="s">
        <v>51</v>
      </c>
      <c r="CM23" s="32">
        <v>44656</v>
      </c>
      <c r="CN23" s="1">
        <v>1.76047420549361</v>
      </c>
      <c r="CO23" s="1" t="s">
        <v>1537</v>
      </c>
      <c r="CP23" s="1" t="s">
        <v>1566</v>
      </c>
      <c r="CQ23" s="1" t="s">
        <v>1539</v>
      </c>
      <c r="CR23" s="1" t="s">
        <v>1552</v>
      </c>
      <c r="CS23" s="1" t="s">
        <v>43</v>
      </c>
      <c r="CT23" s="1" t="s">
        <v>1601</v>
      </c>
      <c r="CW23" s="1">
        <v>3</v>
      </c>
      <c r="CY23" s="1" t="s">
        <v>1567</v>
      </c>
      <c r="CZ23" s="1" t="s">
        <v>1602</v>
      </c>
      <c r="DD23" s="1" t="s">
        <v>1525</v>
      </c>
      <c r="DE23" s="1" t="s">
        <v>1525</v>
      </c>
      <c r="DF23" s="1" t="s">
        <v>46</v>
      </c>
      <c r="DG23" s="1" t="s">
        <v>1525</v>
      </c>
      <c r="DH23" s="1" t="s">
        <v>51</v>
      </c>
      <c r="DI23" s="1" t="s">
        <v>1660</v>
      </c>
      <c r="DJ23" s="32">
        <v>44778</v>
      </c>
      <c r="DK23" s="1" t="s">
        <v>1631</v>
      </c>
      <c r="DM23" s="1" t="s">
        <v>51</v>
      </c>
      <c r="DN23" s="1" t="s">
        <v>1661</v>
      </c>
      <c r="DO23" s="1" t="s">
        <v>45</v>
      </c>
      <c r="DQ23" s="1" t="s">
        <v>45</v>
      </c>
      <c r="DT23" s="32">
        <v>45707</v>
      </c>
      <c r="DU23" s="1" t="s">
        <v>1598</v>
      </c>
      <c r="DV23" s="1">
        <v>55.6518287341217</v>
      </c>
      <c r="DW23" s="1" t="s">
        <v>45</v>
      </c>
      <c r="DY23" s="32">
        <v>45707</v>
      </c>
      <c r="DZ23" s="1" t="s">
        <v>1557</v>
      </c>
    </row>
    <row r="24" spans="1:130" ht="15.75" customHeight="1" x14ac:dyDescent="0.2">
      <c r="A24" s="8" t="s">
        <v>380</v>
      </c>
      <c r="B24" s="32">
        <v>23559</v>
      </c>
      <c r="C24" s="32">
        <v>44657</v>
      </c>
      <c r="D24" s="1">
        <v>57.764362033443497</v>
      </c>
      <c r="E24" s="1" t="s">
        <v>1587</v>
      </c>
      <c r="F24" s="1" t="s">
        <v>1524</v>
      </c>
      <c r="G24" s="1" t="s">
        <v>1574</v>
      </c>
      <c r="H24" s="1" t="s">
        <v>51</v>
      </c>
      <c r="I24" s="1">
        <v>1.61</v>
      </c>
      <c r="J24" s="1" t="s">
        <v>51</v>
      </c>
      <c r="K24" s="1">
        <v>73</v>
      </c>
      <c r="L24" s="1">
        <v>28.162493730951699</v>
      </c>
      <c r="M24" s="1" t="s">
        <v>45</v>
      </c>
      <c r="N24" s="1" t="s">
        <v>45</v>
      </c>
      <c r="O24" s="1" t="s">
        <v>45</v>
      </c>
      <c r="P24" s="1" t="s">
        <v>45</v>
      </c>
      <c r="Q24" s="1" t="s">
        <v>45</v>
      </c>
      <c r="R24" s="1" t="s">
        <v>45</v>
      </c>
      <c r="S24" s="1" t="s">
        <v>45</v>
      </c>
      <c r="T24" s="1" t="s">
        <v>45</v>
      </c>
      <c r="U24" s="1" t="s">
        <v>45</v>
      </c>
      <c r="V24" s="1" t="s">
        <v>45</v>
      </c>
      <c r="W24" s="1" t="s">
        <v>45</v>
      </c>
      <c r="X24" s="1" t="s">
        <v>45</v>
      </c>
      <c r="Y24" s="1" t="s">
        <v>45</v>
      </c>
      <c r="Z24" s="1" t="s">
        <v>45</v>
      </c>
      <c r="AA24" s="1" t="s">
        <v>45</v>
      </c>
      <c r="AB24" s="1" t="s">
        <v>45</v>
      </c>
      <c r="AC24" s="1" t="s">
        <v>45</v>
      </c>
      <c r="AD24" s="1" t="s">
        <v>45</v>
      </c>
      <c r="AE24" s="1" t="s">
        <v>45</v>
      </c>
      <c r="AF24" s="32">
        <v>44657</v>
      </c>
      <c r="AG24" s="1">
        <v>57.764362033443497</v>
      </c>
      <c r="AH24" s="1" t="s">
        <v>1558</v>
      </c>
      <c r="AI24" s="1" t="s">
        <v>1527</v>
      </c>
      <c r="AJ24" s="1" t="s">
        <v>45</v>
      </c>
      <c r="AK24" s="1" t="s">
        <v>51</v>
      </c>
      <c r="AL24" s="1" t="s">
        <v>45</v>
      </c>
      <c r="AM24" s="1" t="s">
        <v>45</v>
      </c>
      <c r="AN24" s="1" t="s">
        <v>45</v>
      </c>
      <c r="AO24" s="1" t="s">
        <v>45</v>
      </c>
      <c r="AP24" s="1" t="s">
        <v>45</v>
      </c>
      <c r="AQ24" s="1" t="s">
        <v>45</v>
      </c>
      <c r="AR24" s="1" t="s">
        <v>45</v>
      </c>
      <c r="AT24" s="1" t="s">
        <v>1528</v>
      </c>
      <c r="AW24" s="33" t="s">
        <v>1463</v>
      </c>
      <c r="AX24" s="3" t="s">
        <v>1528</v>
      </c>
      <c r="AY24" s="3"/>
      <c r="AZ24" s="1">
        <v>4</v>
      </c>
      <c r="BB24" s="1" t="s">
        <v>1530</v>
      </c>
      <c r="BC24" s="1" t="s">
        <v>1531</v>
      </c>
      <c r="BE24" s="1" t="s">
        <v>1533</v>
      </c>
      <c r="BH24" s="1" t="s">
        <v>46</v>
      </c>
      <c r="BI24" s="1" t="s">
        <v>1535</v>
      </c>
      <c r="BJ24" s="1" t="s">
        <v>1525</v>
      </c>
      <c r="BK24" s="1" t="s">
        <v>1549</v>
      </c>
      <c r="BL24" s="32">
        <v>44657</v>
      </c>
      <c r="BM24" s="1" t="s">
        <v>1662</v>
      </c>
      <c r="BO24" s="1" t="s">
        <v>1537</v>
      </c>
      <c r="BP24" s="1" t="s">
        <v>1551</v>
      </c>
      <c r="BQ24" s="1" t="s">
        <v>1539</v>
      </c>
      <c r="BR24" s="1" t="s">
        <v>1552</v>
      </c>
      <c r="BS24" s="1" t="s">
        <v>106</v>
      </c>
      <c r="BU24" s="1" t="s">
        <v>51</v>
      </c>
      <c r="BW24" s="1" t="s">
        <v>1563</v>
      </c>
      <c r="BX24" s="32">
        <v>45070</v>
      </c>
      <c r="BY24" s="1">
        <v>4</v>
      </c>
      <c r="CA24" s="1" t="s">
        <v>51</v>
      </c>
      <c r="CB24" s="1" t="s">
        <v>51</v>
      </c>
      <c r="CC24" s="32">
        <v>44684</v>
      </c>
      <c r="CD24" s="1" t="s">
        <v>1663</v>
      </c>
      <c r="CE24" s="1">
        <v>30</v>
      </c>
      <c r="CF24" s="1" t="s">
        <v>1664</v>
      </c>
      <c r="CJ24" s="1" t="s">
        <v>51</v>
      </c>
      <c r="CK24" s="32">
        <v>45070</v>
      </c>
      <c r="CL24" s="1" t="s">
        <v>51</v>
      </c>
      <c r="CM24" s="32">
        <v>45245</v>
      </c>
      <c r="CN24" s="1">
        <v>1.61000339956786</v>
      </c>
      <c r="CO24" s="1" t="s">
        <v>1537</v>
      </c>
      <c r="CP24" s="1" t="s">
        <v>1566</v>
      </c>
      <c r="CQ24" s="1" t="s">
        <v>1539</v>
      </c>
      <c r="CR24" s="1" t="s">
        <v>1552</v>
      </c>
      <c r="CS24" s="1" t="s">
        <v>1640</v>
      </c>
      <c r="CT24" s="1" t="s">
        <v>1528</v>
      </c>
      <c r="CX24" s="1">
        <v>4</v>
      </c>
      <c r="CY24" s="1" t="s">
        <v>1530</v>
      </c>
      <c r="CZ24" s="1" t="s">
        <v>1531</v>
      </c>
      <c r="DB24" s="1" t="s">
        <v>1533</v>
      </c>
      <c r="DE24" s="1" t="s">
        <v>46</v>
      </c>
      <c r="DG24" s="1" t="s">
        <v>1525</v>
      </c>
      <c r="DH24" s="1" t="s">
        <v>51</v>
      </c>
      <c r="DI24" s="1" t="s">
        <v>1660</v>
      </c>
      <c r="DJ24" s="32">
        <v>45071</v>
      </c>
      <c r="DK24" s="1" t="s">
        <v>1569</v>
      </c>
      <c r="DM24" s="1" t="s">
        <v>51</v>
      </c>
      <c r="DN24" s="1" t="s">
        <v>1665</v>
      </c>
      <c r="DO24" s="1" t="s">
        <v>51</v>
      </c>
      <c r="DS24" s="1" t="s">
        <v>1666</v>
      </c>
      <c r="DT24" s="32">
        <v>45635</v>
      </c>
      <c r="DU24" s="1" t="s">
        <v>1543</v>
      </c>
      <c r="DV24" s="1">
        <v>32.130146736749801</v>
      </c>
      <c r="DW24" s="1" t="s">
        <v>45</v>
      </c>
      <c r="DZ24" s="1" t="s">
        <v>1557</v>
      </c>
    </row>
    <row r="25" spans="1:130" ht="15.75" customHeight="1" x14ac:dyDescent="0.2">
      <c r="A25" s="8" t="s">
        <v>385</v>
      </c>
      <c r="B25" s="32">
        <v>28595</v>
      </c>
      <c r="C25" s="32">
        <v>44672</v>
      </c>
      <c r="D25" s="1">
        <v>44.017216871895599</v>
      </c>
      <c r="E25" s="1" t="s">
        <v>1587</v>
      </c>
      <c r="F25" s="1" t="s">
        <v>1524</v>
      </c>
      <c r="G25" s="1" t="s">
        <v>1525</v>
      </c>
      <c r="H25" s="1" t="s">
        <v>51</v>
      </c>
      <c r="I25" s="1">
        <v>1.7150000000000001</v>
      </c>
      <c r="J25" s="1" t="s">
        <v>51</v>
      </c>
      <c r="K25" s="1">
        <v>70.7</v>
      </c>
      <c r="L25" s="1">
        <v>24.037603379544201</v>
      </c>
      <c r="M25" s="1" t="s">
        <v>45</v>
      </c>
      <c r="N25" s="1" t="s">
        <v>45</v>
      </c>
      <c r="O25" s="1" t="s">
        <v>45</v>
      </c>
      <c r="P25" s="1" t="s">
        <v>45</v>
      </c>
      <c r="Q25" s="1" t="s">
        <v>45</v>
      </c>
      <c r="R25" s="1" t="s">
        <v>45</v>
      </c>
      <c r="S25" s="1" t="s">
        <v>45</v>
      </c>
      <c r="T25" s="1" t="s">
        <v>45</v>
      </c>
      <c r="U25" s="1" t="s">
        <v>45</v>
      </c>
      <c r="V25" s="1" t="s">
        <v>45</v>
      </c>
      <c r="W25" s="1" t="s">
        <v>45</v>
      </c>
      <c r="X25" s="1" t="s">
        <v>45</v>
      </c>
      <c r="Y25" s="1" t="s">
        <v>45</v>
      </c>
      <c r="Z25" s="1" t="s">
        <v>45</v>
      </c>
      <c r="AA25" s="1" t="s">
        <v>45</v>
      </c>
      <c r="AB25" s="1" t="s">
        <v>45</v>
      </c>
      <c r="AC25" s="1" t="s">
        <v>45</v>
      </c>
      <c r="AD25" s="1" t="s">
        <v>45</v>
      </c>
      <c r="AE25" s="1" t="s">
        <v>45</v>
      </c>
      <c r="AF25" s="32">
        <v>44672</v>
      </c>
      <c r="AG25" s="1">
        <v>44.017216871895599</v>
      </c>
      <c r="AH25" s="1" t="s">
        <v>1526</v>
      </c>
      <c r="AI25" s="1" t="s">
        <v>1527</v>
      </c>
      <c r="AJ25" s="1" t="s">
        <v>45</v>
      </c>
      <c r="AK25" s="1" t="s">
        <v>51</v>
      </c>
      <c r="AL25" s="1" t="s">
        <v>45</v>
      </c>
      <c r="AM25" s="1" t="s">
        <v>45</v>
      </c>
      <c r="AN25" s="1" t="s">
        <v>45</v>
      </c>
      <c r="AO25" s="1" t="s">
        <v>51</v>
      </c>
      <c r="AP25" s="1" t="s">
        <v>45</v>
      </c>
      <c r="AQ25" s="1" t="s">
        <v>45</v>
      </c>
      <c r="AR25" s="1" t="s">
        <v>45</v>
      </c>
      <c r="AT25" s="1" t="s">
        <v>1583</v>
      </c>
      <c r="AU25" s="1" t="s">
        <v>1667</v>
      </c>
      <c r="AW25" s="33" t="s">
        <v>1464</v>
      </c>
      <c r="AX25" s="3"/>
      <c r="AY25" s="33" t="s">
        <v>1668</v>
      </c>
      <c r="AZ25" s="1">
        <v>1</v>
      </c>
      <c r="BB25" s="1" t="s">
        <v>1530</v>
      </c>
      <c r="BC25" s="1" t="s">
        <v>1561</v>
      </c>
      <c r="BE25" s="1" t="s">
        <v>1533</v>
      </c>
      <c r="BF25" s="1" t="s">
        <v>1548</v>
      </c>
      <c r="BH25" s="1" t="s">
        <v>46</v>
      </c>
      <c r="BI25" s="1" t="s">
        <v>1535</v>
      </c>
      <c r="BJ25" s="1" t="s">
        <v>45</v>
      </c>
      <c r="BK25" s="1" t="s">
        <v>1549</v>
      </c>
      <c r="BL25" s="32">
        <v>44672</v>
      </c>
      <c r="BM25" s="1" t="s">
        <v>1669</v>
      </c>
      <c r="BO25" s="1" t="s">
        <v>1537</v>
      </c>
      <c r="BP25" s="1" t="s">
        <v>1551</v>
      </c>
      <c r="BQ25" s="1" t="s">
        <v>1647</v>
      </c>
      <c r="BR25" s="1" t="s">
        <v>1540</v>
      </c>
      <c r="BS25" s="1" t="s">
        <v>1670</v>
      </c>
      <c r="BU25" s="1" t="s">
        <v>51</v>
      </c>
      <c r="BW25" s="1" t="s">
        <v>1542</v>
      </c>
      <c r="CA25" s="1" t="s">
        <v>45</v>
      </c>
      <c r="CB25" s="1" t="s">
        <v>45</v>
      </c>
      <c r="CJ25" s="1" t="s">
        <v>45</v>
      </c>
      <c r="DH25" s="1" t="s">
        <v>45</v>
      </c>
      <c r="DM25" s="1" t="s">
        <v>45</v>
      </c>
      <c r="DO25" s="1" t="s">
        <v>45</v>
      </c>
      <c r="DQ25" s="1" t="s">
        <v>45</v>
      </c>
      <c r="DT25" s="32">
        <v>45222</v>
      </c>
      <c r="DU25" s="1" t="s">
        <v>1598</v>
      </c>
      <c r="DV25" s="1">
        <v>18.068331143232498</v>
      </c>
      <c r="DW25" s="1" t="s">
        <v>45</v>
      </c>
      <c r="DY25" s="32">
        <v>45549</v>
      </c>
      <c r="DZ25" s="1" t="s">
        <v>1557</v>
      </c>
    </row>
    <row r="26" spans="1:130" ht="15.75" customHeight="1" x14ac:dyDescent="0.2">
      <c r="A26" s="8" t="s">
        <v>387</v>
      </c>
      <c r="B26" s="32">
        <v>21744</v>
      </c>
      <c r="C26" s="32">
        <v>44677</v>
      </c>
      <c r="D26" s="1">
        <v>62.788421391267399</v>
      </c>
      <c r="E26" s="1" t="s">
        <v>1523</v>
      </c>
      <c r="F26" s="1" t="s">
        <v>1524</v>
      </c>
      <c r="G26" s="1" t="s">
        <v>1525</v>
      </c>
      <c r="H26" s="1" t="s">
        <v>51</v>
      </c>
      <c r="I26" s="1">
        <v>1.7350000000000001</v>
      </c>
      <c r="J26" s="1" t="s">
        <v>51</v>
      </c>
      <c r="K26" s="1">
        <v>77.599999999999994</v>
      </c>
      <c r="L26" s="1">
        <v>25.778803910006701</v>
      </c>
      <c r="M26" s="1" t="s">
        <v>45</v>
      </c>
      <c r="N26" s="1" t="s">
        <v>45</v>
      </c>
      <c r="O26" s="1" t="s">
        <v>45</v>
      </c>
      <c r="P26" s="1" t="s">
        <v>45</v>
      </c>
      <c r="Q26" s="1" t="s">
        <v>45</v>
      </c>
      <c r="R26" s="1" t="s">
        <v>45</v>
      </c>
      <c r="S26" s="1" t="s">
        <v>45</v>
      </c>
      <c r="T26" s="1" t="s">
        <v>45</v>
      </c>
      <c r="U26" s="1" t="s">
        <v>45</v>
      </c>
      <c r="V26" s="1" t="s">
        <v>45</v>
      </c>
      <c r="W26" s="1" t="s">
        <v>45</v>
      </c>
      <c r="X26" s="1" t="s">
        <v>45</v>
      </c>
      <c r="Y26" s="1" t="s">
        <v>45</v>
      </c>
      <c r="Z26" s="1" t="s">
        <v>45</v>
      </c>
      <c r="AA26" s="1" t="s">
        <v>45</v>
      </c>
      <c r="AB26" s="1" t="s">
        <v>45</v>
      </c>
      <c r="AC26" s="1" t="s">
        <v>45</v>
      </c>
      <c r="AD26" s="1" t="s">
        <v>45</v>
      </c>
      <c r="AE26" s="1" t="s">
        <v>45</v>
      </c>
      <c r="AF26" s="32">
        <v>44677</v>
      </c>
      <c r="AG26" s="1">
        <v>62.788421391267399</v>
      </c>
      <c r="AH26" s="1" t="s">
        <v>1625</v>
      </c>
      <c r="AI26" s="1" t="s">
        <v>1527</v>
      </c>
      <c r="AJ26" s="1" t="s">
        <v>45</v>
      </c>
      <c r="AK26" s="1" t="s">
        <v>51</v>
      </c>
      <c r="AL26" s="1" t="s">
        <v>45</v>
      </c>
      <c r="AM26" s="1" t="s">
        <v>45</v>
      </c>
      <c r="AN26" s="1" t="s">
        <v>45</v>
      </c>
      <c r="AO26" s="1" t="s">
        <v>45</v>
      </c>
      <c r="AP26" s="1" t="s">
        <v>45</v>
      </c>
      <c r="AQ26" s="1" t="s">
        <v>51</v>
      </c>
      <c r="AR26" s="1" t="s">
        <v>45</v>
      </c>
      <c r="AT26" s="1" t="s">
        <v>1528</v>
      </c>
      <c r="AW26" s="33" t="s">
        <v>1463</v>
      </c>
      <c r="AX26" s="3" t="s">
        <v>1528</v>
      </c>
      <c r="AY26" s="3"/>
      <c r="AZ26" s="1">
        <v>4</v>
      </c>
      <c r="BB26" s="1" t="s">
        <v>1530</v>
      </c>
      <c r="BC26" s="1" t="s">
        <v>1531</v>
      </c>
      <c r="BE26" s="1" t="s">
        <v>1603</v>
      </c>
      <c r="BF26" s="1" t="s">
        <v>1548</v>
      </c>
      <c r="BG26" s="1" t="s">
        <v>1525</v>
      </c>
      <c r="BH26" s="1" t="s">
        <v>46</v>
      </c>
      <c r="BI26" s="1" t="s">
        <v>1535</v>
      </c>
      <c r="BJ26" s="1" t="s">
        <v>51</v>
      </c>
      <c r="BK26" s="1" t="s">
        <v>1549</v>
      </c>
      <c r="BL26" s="32">
        <v>44679</v>
      </c>
      <c r="BM26" s="1" t="s">
        <v>1671</v>
      </c>
      <c r="BO26" s="1" t="s">
        <v>1537</v>
      </c>
      <c r="BP26" s="1" t="s">
        <v>1551</v>
      </c>
      <c r="BQ26" s="1" t="s">
        <v>1539</v>
      </c>
      <c r="BR26" s="1" t="s">
        <v>1552</v>
      </c>
      <c r="BS26" s="1" t="s">
        <v>50</v>
      </c>
      <c r="BU26" s="1" t="s">
        <v>51</v>
      </c>
      <c r="BW26" s="1" t="s">
        <v>1563</v>
      </c>
      <c r="BX26" s="32">
        <v>44776</v>
      </c>
      <c r="BY26" s="1">
        <v>1</v>
      </c>
      <c r="CA26" s="1" t="s">
        <v>51</v>
      </c>
      <c r="CB26" s="1" t="s">
        <v>51</v>
      </c>
      <c r="CC26" s="32">
        <v>44705</v>
      </c>
      <c r="CD26" s="1" t="s">
        <v>1672</v>
      </c>
      <c r="CE26" s="1">
        <v>30</v>
      </c>
      <c r="CJ26" s="1" t="s">
        <v>51</v>
      </c>
      <c r="CK26" s="32">
        <v>44802</v>
      </c>
      <c r="CL26" s="1" t="s">
        <v>45</v>
      </c>
      <c r="DH26" s="1" t="s">
        <v>45</v>
      </c>
      <c r="DM26" s="1" t="s">
        <v>45</v>
      </c>
      <c r="DO26" s="1" t="s">
        <v>45</v>
      </c>
      <c r="DQ26" s="1" t="s">
        <v>45</v>
      </c>
      <c r="DT26" s="32">
        <v>44802</v>
      </c>
      <c r="DU26" s="1" t="s">
        <v>1543</v>
      </c>
      <c r="DV26" s="1">
        <v>4.1064388961892204</v>
      </c>
      <c r="DW26" s="1" t="s">
        <v>45</v>
      </c>
      <c r="DY26" s="32">
        <v>44802</v>
      </c>
      <c r="DZ26" s="1" t="s">
        <v>1557</v>
      </c>
    </row>
    <row r="27" spans="1:130" ht="15.75" customHeight="1" x14ac:dyDescent="0.2">
      <c r="A27" s="8" t="s">
        <v>394</v>
      </c>
      <c r="B27" s="32">
        <v>27567</v>
      </c>
      <c r="C27" s="32">
        <v>44684</v>
      </c>
      <c r="D27" s="1">
        <v>46.864754238622197</v>
      </c>
      <c r="E27" s="1" t="s">
        <v>1523</v>
      </c>
      <c r="F27" s="1" t="s">
        <v>1524</v>
      </c>
      <c r="G27" s="1" t="s">
        <v>1574</v>
      </c>
      <c r="H27" s="1" t="s">
        <v>51</v>
      </c>
      <c r="I27" s="1">
        <v>1.9410000000000001</v>
      </c>
      <c r="J27" s="1" t="s">
        <v>51</v>
      </c>
      <c r="K27" s="1">
        <v>139.6</v>
      </c>
      <c r="L27" s="1">
        <v>37.053936038429903</v>
      </c>
      <c r="M27" s="1" t="s">
        <v>45</v>
      </c>
      <c r="N27" s="1" t="s">
        <v>45</v>
      </c>
      <c r="O27" s="1" t="s">
        <v>45</v>
      </c>
      <c r="P27" s="1" t="s">
        <v>45</v>
      </c>
      <c r="Q27" s="1" t="s">
        <v>45</v>
      </c>
      <c r="R27" s="1" t="s">
        <v>45</v>
      </c>
      <c r="S27" s="1" t="s">
        <v>45</v>
      </c>
      <c r="T27" s="1" t="s">
        <v>45</v>
      </c>
      <c r="U27" s="1" t="s">
        <v>45</v>
      </c>
      <c r="V27" s="1" t="s">
        <v>45</v>
      </c>
      <c r="W27" s="1" t="s">
        <v>45</v>
      </c>
      <c r="X27" s="1" t="s">
        <v>45</v>
      </c>
      <c r="Y27" s="1" t="s">
        <v>45</v>
      </c>
      <c r="Z27" s="1" t="s">
        <v>45</v>
      </c>
      <c r="AA27" s="1" t="s">
        <v>45</v>
      </c>
      <c r="AB27" s="1" t="s">
        <v>45</v>
      </c>
      <c r="AC27" s="1" t="s">
        <v>45</v>
      </c>
      <c r="AD27" s="1" t="s">
        <v>45</v>
      </c>
      <c r="AE27" s="1" t="s">
        <v>45</v>
      </c>
      <c r="AF27" s="32">
        <v>44684</v>
      </c>
      <c r="AG27" s="1">
        <v>46.864754238622197</v>
      </c>
      <c r="AH27" s="1" t="s">
        <v>1558</v>
      </c>
      <c r="AI27" s="1" t="s">
        <v>1618</v>
      </c>
      <c r="AJ27" s="1" t="s">
        <v>45</v>
      </c>
      <c r="AK27" s="1" t="s">
        <v>45</v>
      </c>
      <c r="AL27" s="1" t="s">
        <v>45</v>
      </c>
      <c r="AM27" s="1" t="s">
        <v>45</v>
      </c>
      <c r="AN27" s="1" t="s">
        <v>45</v>
      </c>
      <c r="AO27" s="1" t="s">
        <v>45</v>
      </c>
      <c r="AP27" s="1" t="s">
        <v>45</v>
      </c>
      <c r="AQ27" s="1" t="s">
        <v>45</v>
      </c>
      <c r="AR27" s="1" t="s">
        <v>51</v>
      </c>
      <c r="AS27" s="1" t="s">
        <v>1673</v>
      </c>
      <c r="AT27" s="1" t="s">
        <v>1528</v>
      </c>
      <c r="AW27" s="33" t="s">
        <v>1463</v>
      </c>
      <c r="AX27" s="3" t="s">
        <v>1528</v>
      </c>
      <c r="AY27" s="3"/>
      <c r="AZ27" s="1">
        <v>4</v>
      </c>
      <c r="BB27" s="1" t="s">
        <v>1530</v>
      </c>
      <c r="BC27" s="1" t="s">
        <v>1531</v>
      </c>
      <c r="BE27" s="1" t="s">
        <v>1533</v>
      </c>
      <c r="BF27" s="1" t="s">
        <v>1548</v>
      </c>
      <c r="BH27" s="1" t="s">
        <v>46</v>
      </c>
      <c r="BI27" s="1" t="s">
        <v>1535</v>
      </c>
      <c r="BJ27" s="1" t="s">
        <v>51</v>
      </c>
      <c r="BK27" s="1" t="s">
        <v>1549</v>
      </c>
      <c r="BL27" s="32">
        <v>44684</v>
      </c>
      <c r="BM27" s="1" t="s">
        <v>1674</v>
      </c>
      <c r="BO27" s="1" t="s">
        <v>1537</v>
      </c>
      <c r="BP27" s="1" t="s">
        <v>1551</v>
      </c>
      <c r="BQ27" s="1" t="s">
        <v>1539</v>
      </c>
      <c r="BR27" s="1" t="s">
        <v>1540</v>
      </c>
      <c r="BS27" s="1" t="s">
        <v>50</v>
      </c>
      <c r="BU27" s="1" t="s">
        <v>51</v>
      </c>
      <c r="BW27" s="1" t="s">
        <v>1563</v>
      </c>
      <c r="BX27" s="32">
        <v>44820</v>
      </c>
      <c r="BY27" s="1">
        <v>5</v>
      </c>
      <c r="CA27" s="1" t="s">
        <v>51</v>
      </c>
      <c r="CB27" s="1" t="s">
        <v>51</v>
      </c>
      <c r="CC27" s="32">
        <v>44707</v>
      </c>
      <c r="CD27" s="1" t="s">
        <v>1672</v>
      </c>
      <c r="CE27" s="1">
        <v>30</v>
      </c>
      <c r="CJ27" s="1" t="s">
        <v>45</v>
      </c>
      <c r="DH27" s="1" t="s">
        <v>45</v>
      </c>
      <c r="DM27" s="1" t="s">
        <v>45</v>
      </c>
      <c r="DO27" s="1" t="s">
        <v>45</v>
      </c>
      <c r="DQ27" s="1" t="s">
        <v>45</v>
      </c>
      <c r="DT27" s="32">
        <v>44967</v>
      </c>
      <c r="DU27" s="1" t="s">
        <v>1543</v>
      </c>
      <c r="DV27" s="1">
        <v>9.2983464739377997</v>
      </c>
      <c r="DW27" s="1" t="s">
        <v>51</v>
      </c>
      <c r="DX27" s="1" t="s">
        <v>1675</v>
      </c>
      <c r="DY27" s="32">
        <v>44967</v>
      </c>
      <c r="DZ27" s="1" t="s">
        <v>1557</v>
      </c>
    </row>
    <row r="28" spans="1:130" ht="15.75" customHeight="1" x14ac:dyDescent="0.2">
      <c r="A28" s="8" t="s">
        <v>400</v>
      </c>
      <c r="B28" s="32">
        <v>30560</v>
      </c>
      <c r="C28" s="32">
        <v>39437</v>
      </c>
      <c r="D28" s="1">
        <v>24.304514580495599</v>
      </c>
      <c r="E28" s="1" t="s">
        <v>1523</v>
      </c>
      <c r="F28" s="1" t="s">
        <v>1578</v>
      </c>
      <c r="G28" s="1" t="s">
        <v>1525</v>
      </c>
      <c r="H28" s="1" t="s">
        <v>51</v>
      </c>
      <c r="I28" s="1">
        <v>1.78</v>
      </c>
      <c r="J28" s="1" t="s">
        <v>51</v>
      </c>
      <c r="K28" s="1">
        <v>68.2</v>
      </c>
      <c r="L28" s="1">
        <v>21.5250599671758</v>
      </c>
      <c r="M28" s="1" t="s">
        <v>45</v>
      </c>
      <c r="N28" s="1" t="s">
        <v>45</v>
      </c>
      <c r="O28" s="1" t="s">
        <v>45</v>
      </c>
      <c r="P28" s="1" t="s">
        <v>45</v>
      </c>
      <c r="Q28" s="1" t="s">
        <v>45</v>
      </c>
      <c r="R28" s="1" t="s">
        <v>45</v>
      </c>
      <c r="S28" s="1" t="s">
        <v>45</v>
      </c>
      <c r="T28" s="1" t="s">
        <v>45</v>
      </c>
      <c r="U28" s="1" t="s">
        <v>45</v>
      </c>
      <c r="V28" s="1" t="s">
        <v>45</v>
      </c>
      <c r="W28" s="1" t="s">
        <v>45</v>
      </c>
      <c r="X28" s="1" t="s">
        <v>45</v>
      </c>
      <c r="Y28" s="1" t="s">
        <v>45</v>
      </c>
      <c r="Z28" s="1" t="s">
        <v>45</v>
      </c>
      <c r="AA28" s="1" t="s">
        <v>45</v>
      </c>
      <c r="AB28" s="1" t="s">
        <v>45</v>
      </c>
      <c r="AC28" s="1" t="s">
        <v>45</v>
      </c>
      <c r="AD28" s="1" t="s">
        <v>45</v>
      </c>
      <c r="AE28" s="1" t="s">
        <v>45</v>
      </c>
      <c r="AF28" s="32">
        <v>39437</v>
      </c>
      <c r="AG28" s="1">
        <v>24.304514580495599</v>
      </c>
      <c r="AH28" s="1" t="s">
        <v>1558</v>
      </c>
      <c r="AI28" s="1" t="s">
        <v>1527</v>
      </c>
      <c r="AJ28" s="1" t="s">
        <v>45</v>
      </c>
      <c r="AK28" s="1" t="s">
        <v>45</v>
      </c>
      <c r="AL28" s="1" t="s">
        <v>45</v>
      </c>
      <c r="AM28" s="1" t="s">
        <v>45</v>
      </c>
      <c r="AN28" s="1" t="s">
        <v>45</v>
      </c>
      <c r="AO28" s="1" t="s">
        <v>45</v>
      </c>
      <c r="AP28" s="1" t="s">
        <v>45</v>
      </c>
      <c r="AQ28" s="1" t="s">
        <v>45</v>
      </c>
      <c r="AR28" s="1" t="s">
        <v>51</v>
      </c>
      <c r="AS28" s="1" t="s">
        <v>1608</v>
      </c>
      <c r="AT28" s="1" t="s">
        <v>1560</v>
      </c>
      <c r="AW28" s="33" t="s">
        <v>1463</v>
      </c>
      <c r="AX28" s="3" t="s">
        <v>1560</v>
      </c>
      <c r="AY28" s="3"/>
      <c r="AZ28" s="1">
        <v>4</v>
      </c>
      <c r="BB28" s="1" t="s">
        <v>1567</v>
      </c>
      <c r="BC28" s="1" t="s">
        <v>1531</v>
      </c>
      <c r="BE28" s="1" t="s">
        <v>1603</v>
      </c>
      <c r="BF28" s="1" t="s">
        <v>1548</v>
      </c>
      <c r="BH28" s="1" t="s">
        <v>46</v>
      </c>
      <c r="BI28" s="1" t="s">
        <v>1599</v>
      </c>
      <c r="BJ28" s="1" t="s">
        <v>1525</v>
      </c>
      <c r="BK28" s="1" t="s">
        <v>1549</v>
      </c>
      <c r="BL28" s="32">
        <v>39437</v>
      </c>
      <c r="BM28" s="1" t="s">
        <v>1676</v>
      </c>
      <c r="BO28" s="1" t="s">
        <v>1537</v>
      </c>
      <c r="BP28" s="1" t="s">
        <v>1551</v>
      </c>
      <c r="BQ28" s="1" t="s">
        <v>1539</v>
      </c>
      <c r="BR28" s="1" t="s">
        <v>1552</v>
      </c>
      <c r="BS28" s="1" t="s">
        <v>50</v>
      </c>
      <c r="BU28" s="1" t="s">
        <v>51</v>
      </c>
      <c r="BW28" s="1" t="s">
        <v>1563</v>
      </c>
      <c r="BX28" s="32">
        <v>39597</v>
      </c>
      <c r="BY28" s="1">
        <v>2</v>
      </c>
      <c r="CA28" s="1" t="s">
        <v>51</v>
      </c>
      <c r="CB28" s="1" t="s">
        <v>51</v>
      </c>
      <c r="CC28" s="32">
        <v>39525</v>
      </c>
      <c r="CD28" s="1">
        <v>60</v>
      </c>
      <c r="CE28" s="1">
        <v>30</v>
      </c>
      <c r="CJ28" s="1" t="s">
        <v>51</v>
      </c>
      <c r="CK28" s="32">
        <v>39658</v>
      </c>
      <c r="CL28" s="1" t="s">
        <v>51</v>
      </c>
      <c r="CM28" s="32">
        <v>39658</v>
      </c>
      <c r="CN28" s="1">
        <v>0.60496336908583503</v>
      </c>
      <c r="CO28" s="1" t="s">
        <v>1537</v>
      </c>
      <c r="CP28" s="1" t="s">
        <v>1566</v>
      </c>
      <c r="CQ28" s="1" t="s">
        <v>1539</v>
      </c>
      <c r="CR28" s="1" t="s">
        <v>1552</v>
      </c>
      <c r="CS28" s="1" t="s">
        <v>1677</v>
      </c>
      <c r="CT28" s="1" t="s">
        <v>1560</v>
      </c>
      <c r="CW28" s="1">
        <v>4</v>
      </c>
      <c r="CY28" s="1" t="s">
        <v>1567</v>
      </c>
      <c r="CZ28" s="1" t="s">
        <v>1531</v>
      </c>
      <c r="DB28" s="1" t="s">
        <v>1603</v>
      </c>
      <c r="DC28" s="1" t="s">
        <v>1548</v>
      </c>
      <c r="DE28" s="1" t="s">
        <v>46</v>
      </c>
      <c r="DF28" s="1" t="s">
        <v>68</v>
      </c>
      <c r="DG28" s="1" t="s">
        <v>1525</v>
      </c>
      <c r="DH28" s="1" t="s">
        <v>51</v>
      </c>
      <c r="DI28" s="1" t="s">
        <v>1678</v>
      </c>
      <c r="DM28" s="1" t="s">
        <v>45</v>
      </c>
      <c r="DO28" s="1" t="s">
        <v>45</v>
      </c>
      <c r="DQ28" s="1" t="s">
        <v>51</v>
      </c>
      <c r="DR28" s="1" t="s">
        <v>1679</v>
      </c>
      <c r="DS28" s="1" t="s">
        <v>1680</v>
      </c>
      <c r="DT28" s="32">
        <v>44827</v>
      </c>
      <c r="DU28" s="1" t="s">
        <v>1556</v>
      </c>
      <c r="DV28" s="1">
        <v>177.06827639071301</v>
      </c>
      <c r="DW28" s="1" t="s">
        <v>51</v>
      </c>
      <c r="DX28" s="1" t="s">
        <v>1681</v>
      </c>
      <c r="DY28" s="32">
        <v>44827</v>
      </c>
      <c r="DZ28" s="1" t="s">
        <v>1557</v>
      </c>
    </row>
    <row r="29" spans="1:130" ht="15.75" customHeight="1" x14ac:dyDescent="0.2">
      <c r="A29" s="8" t="s">
        <v>406</v>
      </c>
      <c r="B29" s="32">
        <v>29198</v>
      </c>
      <c r="C29" s="32">
        <v>37848</v>
      </c>
      <c r="D29" s="1">
        <v>23.6827815309919</v>
      </c>
      <c r="E29" s="1" t="s">
        <v>1523</v>
      </c>
      <c r="F29" s="1" t="s">
        <v>1524</v>
      </c>
      <c r="G29" s="1" t="s">
        <v>1525</v>
      </c>
      <c r="H29" s="1" t="s">
        <v>51</v>
      </c>
      <c r="I29" s="1">
        <v>1.6259999999999999</v>
      </c>
      <c r="J29" s="1" t="s">
        <v>51</v>
      </c>
      <c r="K29" s="1">
        <v>71.599999999999994</v>
      </c>
      <c r="L29" s="1">
        <v>27.081451626324299</v>
      </c>
      <c r="M29" s="1" t="s">
        <v>45</v>
      </c>
      <c r="N29" s="1" t="s">
        <v>45</v>
      </c>
      <c r="O29" s="1" t="s">
        <v>45</v>
      </c>
      <c r="P29" s="1" t="s">
        <v>45</v>
      </c>
      <c r="Q29" s="1" t="s">
        <v>45</v>
      </c>
      <c r="R29" s="1" t="s">
        <v>45</v>
      </c>
      <c r="S29" s="1" t="s">
        <v>45</v>
      </c>
      <c r="T29" s="1" t="s">
        <v>45</v>
      </c>
      <c r="U29" s="1" t="s">
        <v>45</v>
      </c>
      <c r="V29" s="1" t="s">
        <v>45</v>
      </c>
      <c r="W29" s="1" t="s">
        <v>45</v>
      </c>
      <c r="X29" s="1" t="s">
        <v>45</v>
      </c>
      <c r="Y29" s="1" t="s">
        <v>45</v>
      </c>
      <c r="Z29" s="1" t="s">
        <v>45</v>
      </c>
      <c r="AA29" s="1" t="s">
        <v>45</v>
      </c>
      <c r="AB29" s="1" t="s">
        <v>45</v>
      </c>
      <c r="AC29" s="1" t="s">
        <v>45</v>
      </c>
      <c r="AD29" s="1" t="s">
        <v>45</v>
      </c>
      <c r="AE29" s="1" t="s">
        <v>45</v>
      </c>
      <c r="AF29" s="32">
        <v>37848</v>
      </c>
      <c r="AG29" s="1">
        <v>23.6827815309919</v>
      </c>
      <c r="AH29" s="1" t="s">
        <v>1558</v>
      </c>
      <c r="AI29" s="1" t="s">
        <v>1527</v>
      </c>
      <c r="AJ29" s="1" t="s">
        <v>45</v>
      </c>
      <c r="AK29" s="1" t="s">
        <v>45</v>
      </c>
      <c r="AL29" s="1" t="s">
        <v>45</v>
      </c>
      <c r="AM29" s="1" t="s">
        <v>45</v>
      </c>
      <c r="AN29" s="1" t="s">
        <v>45</v>
      </c>
      <c r="AO29" s="1" t="s">
        <v>45</v>
      </c>
      <c r="AP29" s="1" t="s">
        <v>45</v>
      </c>
      <c r="AQ29" s="1" t="s">
        <v>45</v>
      </c>
      <c r="AR29" s="1" t="s">
        <v>51</v>
      </c>
      <c r="AS29" s="1" t="s">
        <v>1608</v>
      </c>
      <c r="AT29" s="1" t="s">
        <v>1601</v>
      </c>
      <c r="AW29" s="33" t="s">
        <v>1464</v>
      </c>
      <c r="AX29" s="3"/>
      <c r="AY29" s="3" t="s">
        <v>1601</v>
      </c>
      <c r="AZ29" s="1">
        <v>2</v>
      </c>
      <c r="BB29" s="1" t="s">
        <v>1561</v>
      </c>
      <c r="BC29" s="1" t="s">
        <v>1602</v>
      </c>
      <c r="BE29" s="1" t="s">
        <v>1525</v>
      </c>
      <c r="BH29" s="1" t="s">
        <v>1525</v>
      </c>
      <c r="BI29" s="1" t="s">
        <v>1525</v>
      </c>
      <c r="BJ29" s="1" t="s">
        <v>1525</v>
      </c>
      <c r="BK29" s="1" t="s">
        <v>1549</v>
      </c>
      <c r="BL29" s="32">
        <v>37848</v>
      </c>
      <c r="BM29" s="1" t="s">
        <v>1562</v>
      </c>
      <c r="BO29" s="1" t="s">
        <v>1537</v>
      </c>
      <c r="BP29" s="1" t="s">
        <v>1551</v>
      </c>
      <c r="BQ29" s="1" t="s">
        <v>1539</v>
      </c>
      <c r="BR29" s="1" t="s">
        <v>1552</v>
      </c>
      <c r="BS29" s="1" t="s">
        <v>50</v>
      </c>
      <c r="BU29" s="1" t="s">
        <v>51</v>
      </c>
      <c r="BW29" s="1" t="s">
        <v>1542</v>
      </c>
      <c r="CA29" s="1" t="s">
        <v>45</v>
      </c>
      <c r="CB29" s="1" t="s">
        <v>51</v>
      </c>
      <c r="CC29" s="32">
        <v>37882</v>
      </c>
      <c r="CD29" s="1">
        <v>50</v>
      </c>
      <c r="CE29" s="1">
        <v>25</v>
      </c>
      <c r="CJ29" s="1" t="s">
        <v>51</v>
      </c>
      <c r="CK29" s="32">
        <v>38902</v>
      </c>
      <c r="CL29" s="1" t="s">
        <v>51</v>
      </c>
      <c r="CM29" s="32">
        <v>38902</v>
      </c>
      <c r="CN29" s="1">
        <v>2.8857539853658798</v>
      </c>
      <c r="CO29" s="1" t="s">
        <v>1537</v>
      </c>
      <c r="CP29" s="1" t="s">
        <v>1566</v>
      </c>
      <c r="CQ29" s="1" t="s">
        <v>1539</v>
      </c>
      <c r="CR29" s="1" t="s">
        <v>1552</v>
      </c>
      <c r="CS29" s="1" t="s">
        <v>50</v>
      </c>
      <c r="CT29" s="1" t="s">
        <v>1601</v>
      </c>
      <c r="CW29" s="1">
        <v>3</v>
      </c>
      <c r="CY29" s="1" t="s">
        <v>1567</v>
      </c>
      <c r="CZ29" s="1" t="s">
        <v>1602</v>
      </c>
      <c r="DB29" s="1" t="s">
        <v>1525</v>
      </c>
      <c r="DD29" s="1" t="s">
        <v>1525</v>
      </c>
      <c r="DE29" s="1" t="s">
        <v>1525</v>
      </c>
      <c r="DF29" s="1" t="s">
        <v>1525</v>
      </c>
      <c r="DG29" s="1" t="s">
        <v>1525</v>
      </c>
      <c r="DH29" s="1" t="s">
        <v>51</v>
      </c>
      <c r="DI29" s="1" t="s">
        <v>1682</v>
      </c>
      <c r="DJ29" s="32">
        <v>38966</v>
      </c>
      <c r="DK29" s="1" t="s">
        <v>1569</v>
      </c>
      <c r="DM29" s="1" t="s">
        <v>45</v>
      </c>
      <c r="DO29" s="1" t="s">
        <v>51</v>
      </c>
      <c r="DP29" s="1" t="s">
        <v>1683</v>
      </c>
      <c r="DQ29" s="1" t="s">
        <v>45</v>
      </c>
      <c r="DS29" s="1" t="s">
        <v>1684</v>
      </c>
      <c r="DT29" s="32">
        <v>45763</v>
      </c>
      <c r="DU29" s="1" t="s">
        <v>1598</v>
      </c>
      <c r="DV29" s="1">
        <v>260.01971090670099</v>
      </c>
      <c r="DW29" s="1" t="s">
        <v>51</v>
      </c>
      <c r="DX29" s="1" t="s">
        <v>1685</v>
      </c>
      <c r="DY29" s="32">
        <v>45763</v>
      </c>
      <c r="DZ29" s="1" t="s">
        <v>1557</v>
      </c>
    </row>
    <row r="30" spans="1:130" ht="15.75" customHeight="1" x14ac:dyDescent="0.2">
      <c r="A30" s="8" t="s">
        <v>412</v>
      </c>
      <c r="B30" s="32">
        <v>25808</v>
      </c>
      <c r="C30" s="32">
        <v>44693</v>
      </c>
      <c r="D30" s="1">
        <v>51.705373826977898</v>
      </c>
      <c r="E30" s="1" t="s">
        <v>1523</v>
      </c>
      <c r="F30" s="1" t="s">
        <v>1524</v>
      </c>
      <c r="G30" s="1" t="s">
        <v>1686</v>
      </c>
      <c r="H30" s="1" t="s">
        <v>51</v>
      </c>
      <c r="I30" s="1">
        <v>1.73</v>
      </c>
      <c r="J30" s="1" t="s">
        <v>51</v>
      </c>
      <c r="K30" s="1">
        <v>78.7</v>
      </c>
      <c r="L30" s="1">
        <v>26.295566173276701</v>
      </c>
      <c r="M30" s="1" t="s">
        <v>45</v>
      </c>
      <c r="N30" s="1" t="s">
        <v>45</v>
      </c>
      <c r="O30" s="1" t="s">
        <v>45</v>
      </c>
      <c r="P30" s="1" t="s">
        <v>45</v>
      </c>
      <c r="Q30" s="1" t="s">
        <v>45</v>
      </c>
      <c r="R30" s="1" t="s">
        <v>45</v>
      </c>
      <c r="S30" s="1" t="s">
        <v>45</v>
      </c>
      <c r="T30" s="1" t="s">
        <v>45</v>
      </c>
      <c r="U30" s="1" t="s">
        <v>45</v>
      </c>
      <c r="V30" s="1" t="s">
        <v>45</v>
      </c>
      <c r="W30" s="1" t="s">
        <v>45</v>
      </c>
      <c r="X30" s="1" t="s">
        <v>45</v>
      </c>
      <c r="Y30" s="1" t="s">
        <v>45</v>
      </c>
      <c r="Z30" s="1" t="s">
        <v>45</v>
      </c>
      <c r="AA30" s="1" t="s">
        <v>45</v>
      </c>
      <c r="AB30" s="1" t="s">
        <v>45</v>
      </c>
      <c r="AC30" s="1" t="s">
        <v>45</v>
      </c>
      <c r="AD30" s="1" t="s">
        <v>45</v>
      </c>
      <c r="AE30" s="1" t="s">
        <v>45</v>
      </c>
      <c r="AF30" s="32">
        <v>44693</v>
      </c>
      <c r="AG30" s="1">
        <v>51.705373826977898</v>
      </c>
      <c r="AH30" s="1" t="s">
        <v>1558</v>
      </c>
      <c r="AI30" s="1" t="s">
        <v>1527</v>
      </c>
      <c r="AJ30" s="1" t="s">
        <v>45</v>
      </c>
      <c r="AK30" s="1" t="s">
        <v>51</v>
      </c>
      <c r="AL30" s="1" t="s">
        <v>45</v>
      </c>
      <c r="AM30" s="1" t="s">
        <v>45</v>
      </c>
      <c r="AN30" s="1" t="s">
        <v>45</v>
      </c>
      <c r="AO30" s="1" t="s">
        <v>45</v>
      </c>
      <c r="AP30" s="1" t="s">
        <v>45</v>
      </c>
      <c r="AQ30" s="1" t="s">
        <v>45</v>
      </c>
      <c r="AR30" s="1" t="s">
        <v>45</v>
      </c>
      <c r="AT30" s="1" t="s">
        <v>1528</v>
      </c>
      <c r="AW30" s="33" t="s">
        <v>1463</v>
      </c>
      <c r="AX30" s="3" t="s">
        <v>1528</v>
      </c>
      <c r="AY30" s="3"/>
      <c r="AZ30" s="1">
        <v>4</v>
      </c>
      <c r="BB30" s="1" t="s">
        <v>1530</v>
      </c>
      <c r="BC30" s="1" t="s">
        <v>1531</v>
      </c>
      <c r="BE30" s="1" t="s">
        <v>1525</v>
      </c>
      <c r="BH30" s="1" t="s">
        <v>46</v>
      </c>
      <c r="BI30" s="1" t="s">
        <v>1535</v>
      </c>
      <c r="BJ30" s="1" t="s">
        <v>45</v>
      </c>
      <c r="BK30" s="1" t="s">
        <v>1549</v>
      </c>
      <c r="BL30" s="32">
        <v>44693</v>
      </c>
      <c r="BM30" s="1" t="s">
        <v>1687</v>
      </c>
      <c r="BO30" s="1" t="s">
        <v>1537</v>
      </c>
      <c r="BP30" s="1" t="s">
        <v>1551</v>
      </c>
      <c r="BQ30" s="1" t="s">
        <v>1605</v>
      </c>
      <c r="BR30" s="1" t="s">
        <v>1540</v>
      </c>
      <c r="BS30" s="1" t="s">
        <v>177</v>
      </c>
      <c r="BU30" s="1" t="s">
        <v>51</v>
      </c>
      <c r="BW30" s="1" t="s">
        <v>1561</v>
      </c>
      <c r="CA30" s="1" t="s">
        <v>51</v>
      </c>
      <c r="CB30" s="1" t="s">
        <v>51</v>
      </c>
      <c r="CC30" s="32">
        <v>44682</v>
      </c>
      <c r="CD30" s="1">
        <v>60</v>
      </c>
      <c r="CE30" s="1">
        <v>30</v>
      </c>
      <c r="CI30" s="1" t="s">
        <v>1688</v>
      </c>
      <c r="CJ30" s="1" t="s">
        <v>51</v>
      </c>
      <c r="CK30" s="32">
        <v>45049</v>
      </c>
      <c r="CL30" s="1" t="s">
        <v>45</v>
      </c>
      <c r="DH30" s="1" t="s">
        <v>51</v>
      </c>
      <c r="DI30" s="1" t="s">
        <v>1660</v>
      </c>
      <c r="DJ30" s="32">
        <v>45049</v>
      </c>
      <c r="DK30" s="1" t="s">
        <v>1583</v>
      </c>
      <c r="DL30" s="1" t="s">
        <v>1689</v>
      </c>
      <c r="DM30" s="1" t="s">
        <v>45</v>
      </c>
      <c r="DO30" s="1" t="s">
        <v>45</v>
      </c>
      <c r="DQ30" s="1" t="s">
        <v>45</v>
      </c>
      <c r="DT30" s="32">
        <v>45693</v>
      </c>
      <c r="DU30" s="1" t="s">
        <v>1598</v>
      </c>
      <c r="DV30" s="1">
        <v>32.852879982479102</v>
      </c>
      <c r="DW30" s="1" t="s">
        <v>45</v>
      </c>
      <c r="DY30" s="32">
        <v>45693</v>
      </c>
      <c r="DZ30" s="1" t="s">
        <v>1557</v>
      </c>
    </row>
    <row r="31" spans="1:130" ht="15.75" customHeight="1" x14ac:dyDescent="0.2">
      <c r="A31" s="8" t="s">
        <v>416</v>
      </c>
      <c r="B31" s="32">
        <v>33742</v>
      </c>
      <c r="C31" s="32">
        <v>44694</v>
      </c>
      <c r="D31" s="1">
        <v>29.9855575405381</v>
      </c>
      <c r="E31" s="1" t="s">
        <v>1587</v>
      </c>
      <c r="F31" s="1" t="s">
        <v>1578</v>
      </c>
      <c r="G31" s="1" t="s">
        <v>1574</v>
      </c>
      <c r="H31" s="1" t="s">
        <v>51</v>
      </c>
      <c r="I31" s="1">
        <v>1.55</v>
      </c>
      <c r="J31" s="1" t="s">
        <v>51</v>
      </c>
      <c r="K31" s="1">
        <v>118</v>
      </c>
      <c r="L31" s="1">
        <v>49.115504682622202</v>
      </c>
      <c r="M31" s="1" t="s">
        <v>45</v>
      </c>
      <c r="N31" s="1" t="s">
        <v>45</v>
      </c>
      <c r="O31" s="1" t="s">
        <v>45</v>
      </c>
      <c r="P31" s="1" t="s">
        <v>45</v>
      </c>
      <c r="Q31" s="1" t="s">
        <v>45</v>
      </c>
      <c r="R31" s="1" t="s">
        <v>45</v>
      </c>
      <c r="S31" s="1" t="s">
        <v>45</v>
      </c>
      <c r="T31" s="1" t="s">
        <v>45</v>
      </c>
      <c r="U31" s="1" t="s">
        <v>45</v>
      </c>
      <c r="V31" s="1" t="s">
        <v>45</v>
      </c>
      <c r="W31" s="1" t="s">
        <v>45</v>
      </c>
      <c r="X31" s="1" t="s">
        <v>45</v>
      </c>
      <c r="Y31" s="1" t="s">
        <v>45</v>
      </c>
      <c r="Z31" s="1" t="s">
        <v>45</v>
      </c>
      <c r="AA31" s="1" t="s">
        <v>51</v>
      </c>
      <c r="AB31" s="1" t="s">
        <v>45</v>
      </c>
      <c r="AC31" s="1" t="s">
        <v>45</v>
      </c>
      <c r="AD31" s="1" t="s">
        <v>45</v>
      </c>
      <c r="AE31" s="1" t="s">
        <v>45</v>
      </c>
      <c r="AF31" s="32">
        <v>44694</v>
      </c>
      <c r="AG31" s="1">
        <v>29.9855575405381</v>
      </c>
      <c r="AH31" s="1" t="s">
        <v>1526</v>
      </c>
      <c r="AI31" s="1" t="s">
        <v>1527</v>
      </c>
      <c r="AJ31" s="1" t="s">
        <v>45</v>
      </c>
      <c r="AK31" s="1" t="s">
        <v>45</v>
      </c>
      <c r="AL31" s="1" t="s">
        <v>45</v>
      </c>
      <c r="AM31" s="1" t="s">
        <v>45</v>
      </c>
      <c r="AN31" s="1" t="s">
        <v>45</v>
      </c>
      <c r="AO31" s="1" t="s">
        <v>45</v>
      </c>
      <c r="AP31" s="1" t="s">
        <v>51</v>
      </c>
      <c r="AQ31" s="1" t="s">
        <v>45</v>
      </c>
      <c r="AR31" s="1" t="s">
        <v>45</v>
      </c>
      <c r="AT31" s="1" t="s">
        <v>1528</v>
      </c>
      <c r="AW31" s="33" t="s">
        <v>1463</v>
      </c>
      <c r="AX31" s="3" t="s">
        <v>1528</v>
      </c>
      <c r="AY31" s="3"/>
      <c r="AZ31" s="1">
        <v>4</v>
      </c>
      <c r="BB31" s="1" t="s">
        <v>1530</v>
      </c>
      <c r="BE31" s="1" t="s">
        <v>1525</v>
      </c>
      <c r="BF31" s="1" t="s">
        <v>1548</v>
      </c>
      <c r="BH31" s="1" t="s">
        <v>46</v>
      </c>
      <c r="BI31" s="1" t="s">
        <v>1535</v>
      </c>
      <c r="BJ31" s="1" t="s">
        <v>51</v>
      </c>
      <c r="BK31" s="1" t="s">
        <v>1549</v>
      </c>
      <c r="BL31" s="32">
        <v>44694</v>
      </c>
      <c r="BM31" s="1" t="s">
        <v>1690</v>
      </c>
      <c r="BO31" s="1" t="s">
        <v>1537</v>
      </c>
      <c r="BP31" s="1" t="s">
        <v>1551</v>
      </c>
      <c r="BQ31" s="1" t="s">
        <v>1605</v>
      </c>
      <c r="BR31" s="1" t="s">
        <v>1552</v>
      </c>
      <c r="BS31" s="1" t="s">
        <v>1691</v>
      </c>
      <c r="BU31" s="1" t="s">
        <v>51</v>
      </c>
      <c r="BW31" s="1" t="s">
        <v>1542</v>
      </c>
      <c r="CA31" s="1" t="s">
        <v>51</v>
      </c>
      <c r="CB31" s="1" t="s">
        <v>51</v>
      </c>
      <c r="CC31" s="32">
        <v>44708</v>
      </c>
      <c r="CD31" s="1" t="s">
        <v>1672</v>
      </c>
      <c r="CE31" s="1">
        <v>30</v>
      </c>
      <c r="CF31" s="1" t="s">
        <v>1692</v>
      </c>
      <c r="CJ31" s="1" t="s">
        <v>51</v>
      </c>
      <c r="CK31" s="32">
        <v>44868</v>
      </c>
      <c r="CL31" s="1" t="s">
        <v>45</v>
      </c>
      <c r="DH31" s="1" t="s">
        <v>45</v>
      </c>
      <c r="DM31" s="1" t="s">
        <v>45</v>
      </c>
      <c r="DO31" s="1" t="s">
        <v>45</v>
      </c>
      <c r="DQ31" s="1" t="s">
        <v>45</v>
      </c>
      <c r="DS31" s="1" t="s">
        <v>1693</v>
      </c>
      <c r="DT31" s="32">
        <v>44797</v>
      </c>
      <c r="DU31" s="1" t="s">
        <v>1543</v>
      </c>
      <c r="DV31" s="1">
        <v>3.3837056504599201</v>
      </c>
      <c r="DW31" s="1" t="s">
        <v>45</v>
      </c>
      <c r="DY31" s="32">
        <v>44875</v>
      </c>
      <c r="DZ31" s="1" t="s">
        <v>1557</v>
      </c>
    </row>
    <row r="32" spans="1:130" ht="15.75" customHeight="1" x14ac:dyDescent="0.2">
      <c r="A32" s="8" t="s">
        <v>494</v>
      </c>
      <c r="B32" s="32">
        <v>28984</v>
      </c>
      <c r="C32" s="32">
        <v>44696</v>
      </c>
      <c r="D32" s="1">
        <v>43.017994893803397</v>
      </c>
      <c r="E32" s="1" t="s">
        <v>1523</v>
      </c>
      <c r="F32" s="1" t="s">
        <v>1524</v>
      </c>
      <c r="G32" s="1" t="s">
        <v>1574</v>
      </c>
      <c r="H32" s="1" t="s">
        <v>51</v>
      </c>
      <c r="I32" s="1">
        <v>1.8149999999999999</v>
      </c>
      <c r="J32" s="1" t="s">
        <v>51</v>
      </c>
      <c r="K32" s="1">
        <v>96.7</v>
      </c>
      <c r="L32" s="1">
        <v>29.3544005039121</v>
      </c>
      <c r="M32" s="1" t="s">
        <v>45</v>
      </c>
      <c r="N32" s="1" t="s">
        <v>45</v>
      </c>
      <c r="O32" s="1" t="s">
        <v>45</v>
      </c>
      <c r="P32" s="1" t="s">
        <v>45</v>
      </c>
      <c r="Q32" s="1" t="s">
        <v>45</v>
      </c>
      <c r="R32" s="1" t="s">
        <v>45</v>
      </c>
      <c r="S32" s="1" t="s">
        <v>45</v>
      </c>
      <c r="T32" s="1" t="s">
        <v>45</v>
      </c>
      <c r="U32" s="1" t="s">
        <v>45</v>
      </c>
      <c r="V32" s="1" t="s">
        <v>45</v>
      </c>
      <c r="W32" s="1" t="s">
        <v>45</v>
      </c>
      <c r="X32" s="1" t="s">
        <v>45</v>
      </c>
      <c r="Y32" s="1" t="s">
        <v>45</v>
      </c>
      <c r="Z32" s="1" t="s">
        <v>45</v>
      </c>
      <c r="AA32" s="1" t="s">
        <v>45</v>
      </c>
      <c r="AB32" s="1" t="s">
        <v>45</v>
      </c>
      <c r="AC32" s="1" t="s">
        <v>45</v>
      </c>
      <c r="AD32" s="1" t="s">
        <v>45</v>
      </c>
      <c r="AE32" s="1" t="s">
        <v>45</v>
      </c>
      <c r="AF32" s="32">
        <v>44696</v>
      </c>
      <c r="AG32" s="1">
        <v>43.017994893803397</v>
      </c>
      <c r="AH32" s="1" t="s">
        <v>1558</v>
      </c>
      <c r="AI32" s="1" t="s">
        <v>1527</v>
      </c>
      <c r="AJ32" s="1" t="s">
        <v>45</v>
      </c>
      <c r="AK32" s="1" t="s">
        <v>45</v>
      </c>
      <c r="AL32" s="1" t="s">
        <v>45</v>
      </c>
      <c r="AM32" s="1" t="s">
        <v>45</v>
      </c>
      <c r="AN32" s="1" t="s">
        <v>45</v>
      </c>
      <c r="AO32" s="1" t="s">
        <v>45</v>
      </c>
      <c r="AP32" s="1" t="s">
        <v>45</v>
      </c>
      <c r="AQ32" s="1" t="s">
        <v>51</v>
      </c>
      <c r="AR32" s="1" t="s">
        <v>45</v>
      </c>
      <c r="AT32" s="1" t="s">
        <v>1560</v>
      </c>
      <c r="AW32" s="33" t="s">
        <v>1463</v>
      </c>
      <c r="AX32" s="3" t="s">
        <v>1560</v>
      </c>
      <c r="AY32" s="3"/>
      <c r="AZ32" s="1">
        <v>3</v>
      </c>
      <c r="BB32" s="1" t="s">
        <v>1567</v>
      </c>
      <c r="BC32" s="1" t="s">
        <v>1531</v>
      </c>
      <c r="BE32" s="1" t="s">
        <v>1525</v>
      </c>
      <c r="BG32" s="1" t="s">
        <v>1525</v>
      </c>
      <c r="BH32" s="1" t="s">
        <v>46</v>
      </c>
      <c r="BI32" s="1" t="s">
        <v>1599</v>
      </c>
      <c r="BJ32" s="1" t="s">
        <v>45</v>
      </c>
      <c r="BK32" s="1" t="s">
        <v>1549</v>
      </c>
      <c r="BL32" s="32">
        <v>44696</v>
      </c>
      <c r="BM32" s="1" t="s">
        <v>1694</v>
      </c>
      <c r="BO32" s="1" t="s">
        <v>1537</v>
      </c>
      <c r="BP32" s="1" t="s">
        <v>1551</v>
      </c>
      <c r="BQ32" s="1" t="s">
        <v>1539</v>
      </c>
      <c r="BR32" s="1" t="s">
        <v>1540</v>
      </c>
      <c r="BS32" s="1" t="s">
        <v>50</v>
      </c>
      <c r="BU32" s="1" t="s">
        <v>51</v>
      </c>
      <c r="BW32" s="1" t="s">
        <v>1563</v>
      </c>
      <c r="BX32" s="32">
        <v>44827</v>
      </c>
      <c r="BY32" s="1">
        <v>12</v>
      </c>
      <c r="CA32" s="1" t="s">
        <v>51</v>
      </c>
      <c r="CB32" s="1" t="s">
        <v>51</v>
      </c>
      <c r="CC32" s="32">
        <v>44749</v>
      </c>
      <c r="CD32" s="1">
        <v>54</v>
      </c>
      <c r="CE32" s="1">
        <v>30</v>
      </c>
      <c r="CJ32" s="1" t="s">
        <v>45</v>
      </c>
      <c r="DH32" s="1" t="s">
        <v>45</v>
      </c>
      <c r="DM32" s="1" t="s">
        <v>45</v>
      </c>
      <c r="DO32" s="1" t="s">
        <v>45</v>
      </c>
      <c r="DQ32" s="1" t="s">
        <v>45</v>
      </c>
      <c r="DT32" s="32">
        <v>45567</v>
      </c>
      <c r="DU32" s="1" t="s">
        <v>1598</v>
      </c>
      <c r="DV32" s="1">
        <v>28.613666228646501</v>
      </c>
      <c r="DW32" s="1" t="s">
        <v>45</v>
      </c>
      <c r="DY32" s="32">
        <v>45567</v>
      </c>
      <c r="DZ32" s="1" t="s">
        <v>1557</v>
      </c>
    </row>
    <row r="33" spans="1:130" ht="15.75" customHeight="1" x14ac:dyDescent="0.2">
      <c r="A33" s="8" t="s">
        <v>420</v>
      </c>
      <c r="B33" s="32">
        <v>36512</v>
      </c>
      <c r="C33" s="32">
        <v>44697</v>
      </c>
      <c r="D33" s="1">
        <v>22.4096547727423</v>
      </c>
      <c r="E33" s="1" t="s">
        <v>1523</v>
      </c>
      <c r="F33" s="1" t="s">
        <v>1524</v>
      </c>
      <c r="G33" s="1" t="s">
        <v>1686</v>
      </c>
      <c r="H33" s="1" t="s">
        <v>51</v>
      </c>
      <c r="I33" s="1">
        <v>1.8160000000000001</v>
      </c>
      <c r="J33" s="1" t="s">
        <v>51</v>
      </c>
      <c r="K33" s="1">
        <v>77.2</v>
      </c>
      <c r="L33" s="1">
        <v>23.4091482466184</v>
      </c>
      <c r="M33" s="1" t="s">
        <v>45</v>
      </c>
      <c r="N33" s="1" t="s">
        <v>45</v>
      </c>
      <c r="O33" s="1" t="s">
        <v>45</v>
      </c>
      <c r="P33" s="1" t="s">
        <v>45</v>
      </c>
      <c r="Q33" s="1" t="s">
        <v>45</v>
      </c>
      <c r="R33" s="1" t="s">
        <v>45</v>
      </c>
      <c r="S33" s="1" t="s">
        <v>45</v>
      </c>
      <c r="T33" s="1" t="s">
        <v>45</v>
      </c>
      <c r="U33" s="1" t="s">
        <v>45</v>
      </c>
      <c r="V33" s="1" t="s">
        <v>45</v>
      </c>
      <c r="W33" s="1" t="s">
        <v>45</v>
      </c>
      <c r="X33" s="1" t="s">
        <v>45</v>
      </c>
      <c r="Y33" s="1" t="s">
        <v>45</v>
      </c>
      <c r="Z33" s="1" t="s">
        <v>45</v>
      </c>
      <c r="AA33" s="1" t="s">
        <v>45</v>
      </c>
      <c r="AB33" s="1" t="s">
        <v>45</v>
      </c>
      <c r="AC33" s="1" t="s">
        <v>45</v>
      </c>
      <c r="AD33" s="1" t="s">
        <v>45</v>
      </c>
      <c r="AE33" s="1" t="s">
        <v>45</v>
      </c>
      <c r="AF33" s="32">
        <v>44697</v>
      </c>
      <c r="AG33" s="1">
        <v>22.4096547727423</v>
      </c>
      <c r="AH33" s="1" t="s">
        <v>1558</v>
      </c>
      <c r="AI33" s="1" t="s">
        <v>1527</v>
      </c>
      <c r="AJ33" s="1" t="s">
        <v>45</v>
      </c>
      <c r="AK33" s="1" t="s">
        <v>51</v>
      </c>
      <c r="AL33" s="1" t="s">
        <v>45</v>
      </c>
      <c r="AM33" s="1" t="s">
        <v>45</v>
      </c>
      <c r="AN33" s="1" t="s">
        <v>45</v>
      </c>
      <c r="AO33" s="1" t="s">
        <v>45</v>
      </c>
      <c r="AP33" s="1" t="s">
        <v>45</v>
      </c>
      <c r="AQ33" s="1" t="s">
        <v>45</v>
      </c>
      <c r="AR33" s="1" t="s">
        <v>45</v>
      </c>
      <c r="AT33" s="1" t="s">
        <v>1601</v>
      </c>
      <c r="AW33" s="33" t="s">
        <v>1464</v>
      </c>
      <c r="AX33" s="3"/>
      <c r="AY33" s="3" t="s">
        <v>1601</v>
      </c>
      <c r="AZ33" s="1">
        <v>2</v>
      </c>
      <c r="BB33" s="1" t="s">
        <v>1567</v>
      </c>
      <c r="BC33" s="1" t="s">
        <v>1602</v>
      </c>
      <c r="BE33" s="1" t="s">
        <v>1603</v>
      </c>
      <c r="BF33" s="1" t="s">
        <v>1548</v>
      </c>
      <c r="BH33" s="1" t="s">
        <v>46</v>
      </c>
      <c r="BI33" s="1" t="s">
        <v>1535</v>
      </c>
      <c r="BJ33" s="1" t="s">
        <v>45</v>
      </c>
      <c r="BK33" s="1" t="s">
        <v>1549</v>
      </c>
      <c r="BL33" s="32">
        <v>44697</v>
      </c>
      <c r="BM33" s="1" t="s">
        <v>1695</v>
      </c>
      <c r="BO33" s="1" t="s">
        <v>1537</v>
      </c>
      <c r="BP33" s="1" t="s">
        <v>1551</v>
      </c>
      <c r="BQ33" s="1" t="s">
        <v>1539</v>
      </c>
      <c r="BR33" s="1" t="s">
        <v>1540</v>
      </c>
      <c r="BS33" s="1" t="s">
        <v>50</v>
      </c>
      <c r="BU33" s="1" t="s">
        <v>51</v>
      </c>
      <c r="BW33" s="1" t="s">
        <v>1542</v>
      </c>
      <c r="CA33" s="1" t="s">
        <v>45</v>
      </c>
      <c r="CB33" s="1" t="s">
        <v>45</v>
      </c>
      <c r="CJ33" s="1" t="s">
        <v>45</v>
      </c>
      <c r="DH33" s="1" t="s">
        <v>45</v>
      </c>
      <c r="DM33" s="1" t="s">
        <v>45</v>
      </c>
      <c r="DO33" s="1" t="s">
        <v>45</v>
      </c>
      <c r="DQ33" s="1" t="s">
        <v>45</v>
      </c>
      <c r="DT33" s="32">
        <v>45587</v>
      </c>
      <c r="DU33" s="1" t="s">
        <v>1598</v>
      </c>
      <c r="DV33" s="1">
        <v>29.237844940867198</v>
      </c>
      <c r="DW33" s="1" t="s">
        <v>45</v>
      </c>
      <c r="DY33" s="32">
        <v>45587</v>
      </c>
      <c r="DZ33" s="1" t="s">
        <v>1557</v>
      </c>
    </row>
    <row r="34" spans="1:130" ht="15.75" customHeight="1" x14ac:dyDescent="0.2">
      <c r="A34" s="8" t="s">
        <v>425</v>
      </c>
      <c r="B34" s="32">
        <v>31215</v>
      </c>
      <c r="C34" s="32">
        <v>40544</v>
      </c>
      <c r="D34" s="1">
        <v>25.542048547654399</v>
      </c>
      <c r="E34" s="1" t="s">
        <v>1523</v>
      </c>
      <c r="F34" s="1" t="s">
        <v>1524</v>
      </c>
      <c r="G34" s="1" t="s">
        <v>1574</v>
      </c>
      <c r="H34" s="1" t="s">
        <v>51</v>
      </c>
      <c r="I34" s="1">
        <v>1.82</v>
      </c>
      <c r="J34" s="1" t="s">
        <v>51</v>
      </c>
      <c r="K34" s="1">
        <v>76.599999999999994</v>
      </c>
      <c r="L34" s="1">
        <v>23.1252264219297</v>
      </c>
      <c r="M34" s="1" t="s">
        <v>45</v>
      </c>
      <c r="N34" s="1" t="s">
        <v>45</v>
      </c>
      <c r="O34" s="1" t="s">
        <v>45</v>
      </c>
      <c r="P34" s="1" t="s">
        <v>45</v>
      </c>
      <c r="Q34" s="1" t="s">
        <v>45</v>
      </c>
      <c r="R34" s="1" t="s">
        <v>45</v>
      </c>
      <c r="S34" s="1" t="s">
        <v>45</v>
      </c>
      <c r="T34" s="1" t="s">
        <v>45</v>
      </c>
      <c r="U34" s="1" t="s">
        <v>45</v>
      </c>
      <c r="V34" s="1" t="s">
        <v>45</v>
      </c>
      <c r="W34" s="1" t="s">
        <v>45</v>
      </c>
      <c r="X34" s="1" t="s">
        <v>45</v>
      </c>
      <c r="Y34" s="1" t="s">
        <v>45</v>
      </c>
      <c r="Z34" s="1" t="s">
        <v>45</v>
      </c>
      <c r="AA34" s="1" t="s">
        <v>45</v>
      </c>
      <c r="AB34" s="1" t="s">
        <v>45</v>
      </c>
      <c r="AC34" s="1" t="s">
        <v>45</v>
      </c>
      <c r="AD34" s="1" t="s">
        <v>45</v>
      </c>
      <c r="AE34" s="1" t="s">
        <v>45</v>
      </c>
      <c r="AF34" s="32">
        <v>40544</v>
      </c>
      <c r="AG34" s="1">
        <v>25.541934468195699</v>
      </c>
      <c r="AH34" s="1" t="s">
        <v>1558</v>
      </c>
      <c r="AI34" s="1" t="s">
        <v>1527</v>
      </c>
      <c r="AJ34" s="1" t="s">
        <v>45</v>
      </c>
      <c r="AK34" s="1" t="s">
        <v>45</v>
      </c>
      <c r="AL34" s="1" t="s">
        <v>45</v>
      </c>
      <c r="AM34" s="1" t="s">
        <v>45</v>
      </c>
      <c r="AN34" s="1" t="s">
        <v>45</v>
      </c>
      <c r="AO34" s="1" t="s">
        <v>45</v>
      </c>
      <c r="AP34" s="1" t="s">
        <v>45</v>
      </c>
      <c r="AQ34" s="1" t="s">
        <v>45</v>
      </c>
      <c r="AR34" s="1" t="s">
        <v>51</v>
      </c>
      <c r="AS34" s="1" t="s">
        <v>1559</v>
      </c>
      <c r="AT34" s="1" t="s">
        <v>1560</v>
      </c>
      <c r="AW34" s="33" t="s">
        <v>1463</v>
      </c>
      <c r="AX34" s="3" t="s">
        <v>1560</v>
      </c>
      <c r="AY34" s="3"/>
      <c r="AZ34" s="1">
        <v>3</v>
      </c>
      <c r="BB34" s="1" t="s">
        <v>1567</v>
      </c>
      <c r="BC34" s="1" t="s">
        <v>1531</v>
      </c>
      <c r="BE34" s="1" t="s">
        <v>1525</v>
      </c>
      <c r="BG34" s="1" t="s">
        <v>1525</v>
      </c>
      <c r="BH34" s="1" t="s">
        <v>1525</v>
      </c>
      <c r="BI34" s="1" t="s">
        <v>1525</v>
      </c>
      <c r="BJ34" s="1" t="s">
        <v>1525</v>
      </c>
      <c r="BK34" s="1" t="s">
        <v>1549</v>
      </c>
      <c r="BL34" s="32">
        <v>40544</v>
      </c>
      <c r="BO34" s="1" t="s">
        <v>1537</v>
      </c>
      <c r="BP34" s="1" t="s">
        <v>1551</v>
      </c>
      <c r="BQ34" s="1" t="s">
        <v>1647</v>
      </c>
      <c r="BR34" s="1" t="s">
        <v>1552</v>
      </c>
      <c r="BS34" s="1" t="s">
        <v>50</v>
      </c>
      <c r="BU34" s="1" t="s">
        <v>51</v>
      </c>
      <c r="BW34" s="1" t="s">
        <v>1561</v>
      </c>
      <c r="CA34" s="1" t="s">
        <v>45</v>
      </c>
      <c r="CB34" s="1" t="s">
        <v>45</v>
      </c>
      <c r="CJ34" s="1" t="s">
        <v>51</v>
      </c>
      <c r="CK34" s="32">
        <v>41275</v>
      </c>
      <c r="CL34" s="1" t="s">
        <v>51</v>
      </c>
      <c r="CM34" s="32">
        <v>41275</v>
      </c>
      <c r="CN34" s="1">
        <v>2.00141002210859</v>
      </c>
      <c r="CO34" s="1" t="s">
        <v>1537</v>
      </c>
      <c r="CP34" s="1" t="s">
        <v>1566</v>
      </c>
      <c r="CQ34" s="1" t="s">
        <v>1539</v>
      </c>
      <c r="CR34" s="1" t="s">
        <v>1552</v>
      </c>
      <c r="CS34" s="1" t="s">
        <v>50</v>
      </c>
      <c r="CT34" s="1" t="s">
        <v>1560</v>
      </c>
      <c r="CW34" s="1">
        <v>3</v>
      </c>
      <c r="CY34" s="1" t="s">
        <v>1567</v>
      </c>
      <c r="CZ34" s="1" t="s">
        <v>1531</v>
      </c>
      <c r="DB34" s="1" t="s">
        <v>1525</v>
      </c>
      <c r="DD34" s="1" t="s">
        <v>1525</v>
      </c>
      <c r="DE34" s="1" t="s">
        <v>1525</v>
      </c>
      <c r="DF34" s="1" t="s">
        <v>1525</v>
      </c>
      <c r="DG34" s="1" t="s">
        <v>1525</v>
      </c>
      <c r="DH34" s="1" t="s">
        <v>51</v>
      </c>
      <c r="DI34" s="1" t="s">
        <v>1696</v>
      </c>
      <c r="DJ34" s="32">
        <v>41275</v>
      </c>
      <c r="DK34" s="1" t="s">
        <v>1583</v>
      </c>
      <c r="DL34" s="1" t="s">
        <v>1689</v>
      </c>
      <c r="DM34" s="1" t="s">
        <v>51</v>
      </c>
      <c r="DN34" s="1" t="s">
        <v>1697</v>
      </c>
      <c r="DO34" s="1" t="s">
        <v>51</v>
      </c>
      <c r="DP34" s="1" t="s">
        <v>1698</v>
      </c>
      <c r="DQ34" s="1" t="s">
        <v>51</v>
      </c>
      <c r="DR34" s="1" t="s">
        <v>1699</v>
      </c>
      <c r="DT34" s="32">
        <v>45413</v>
      </c>
      <c r="DU34" s="1" t="s">
        <v>1543</v>
      </c>
      <c r="DV34" s="1">
        <v>159.95400788436001</v>
      </c>
      <c r="DW34" s="1" t="s">
        <v>45</v>
      </c>
      <c r="DY34" s="32">
        <v>45413</v>
      </c>
      <c r="DZ34" s="1" t="s">
        <v>1557</v>
      </c>
    </row>
    <row r="35" spans="1:130" ht="15.75" customHeight="1" x14ac:dyDescent="0.2">
      <c r="A35" s="8" t="s">
        <v>496</v>
      </c>
      <c r="B35" s="32">
        <v>26368</v>
      </c>
      <c r="C35" s="32">
        <v>44417</v>
      </c>
      <c r="D35" s="1">
        <v>49.416369489676903</v>
      </c>
      <c r="E35" s="1" t="s">
        <v>1523</v>
      </c>
      <c r="F35" s="1" t="s">
        <v>1524</v>
      </c>
      <c r="G35" s="1" t="s">
        <v>1574</v>
      </c>
      <c r="H35" s="1" t="s">
        <v>51</v>
      </c>
      <c r="I35" s="1">
        <v>1.77</v>
      </c>
      <c r="J35" s="1" t="s">
        <v>51</v>
      </c>
      <c r="K35" s="1">
        <v>66.099999999999994</v>
      </c>
      <c r="L35" s="1">
        <v>21.0986625809952</v>
      </c>
      <c r="M35" s="1" t="s">
        <v>45</v>
      </c>
      <c r="N35" s="1" t="s">
        <v>45</v>
      </c>
      <c r="O35" s="1" t="s">
        <v>45</v>
      </c>
      <c r="P35" s="1" t="s">
        <v>45</v>
      </c>
      <c r="Q35" s="1" t="s">
        <v>45</v>
      </c>
      <c r="R35" s="1" t="s">
        <v>45</v>
      </c>
      <c r="S35" s="1" t="s">
        <v>45</v>
      </c>
      <c r="T35" s="1" t="s">
        <v>45</v>
      </c>
      <c r="U35" s="1" t="s">
        <v>45</v>
      </c>
      <c r="V35" s="1" t="s">
        <v>45</v>
      </c>
      <c r="W35" s="1" t="s">
        <v>45</v>
      </c>
      <c r="X35" s="1" t="s">
        <v>45</v>
      </c>
      <c r="Y35" s="1" t="s">
        <v>45</v>
      </c>
      <c r="Z35" s="1" t="s">
        <v>45</v>
      </c>
      <c r="AA35" s="1" t="s">
        <v>45</v>
      </c>
      <c r="AB35" s="1" t="s">
        <v>45</v>
      </c>
      <c r="AC35" s="1" t="s">
        <v>45</v>
      </c>
      <c r="AD35" s="1" t="s">
        <v>45</v>
      </c>
      <c r="AE35" s="1" t="s">
        <v>45</v>
      </c>
      <c r="AF35" s="32">
        <v>44417</v>
      </c>
      <c r="AG35" s="1">
        <v>49.416369489676903</v>
      </c>
      <c r="AH35" s="1" t="s">
        <v>1625</v>
      </c>
      <c r="AI35" s="1" t="s">
        <v>1527</v>
      </c>
      <c r="AJ35" s="1" t="s">
        <v>45</v>
      </c>
      <c r="AK35" s="1" t="s">
        <v>51</v>
      </c>
      <c r="AL35" s="1" t="s">
        <v>45</v>
      </c>
      <c r="AM35" s="1" t="s">
        <v>45</v>
      </c>
      <c r="AN35" s="1" t="s">
        <v>45</v>
      </c>
      <c r="AO35" s="1" t="s">
        <v>45</v>
      </c>
      <c r="AP35" s="1" t="s">
        <v>45</v>
      </c>
      <c r="AQ35" s="1" t="s">
        <v>45</v>
      </c>
      <c r="AR35" s="1" t="s">
        <v>45</v>
      </c>
      <c r="AT35" s="1" t="s">
        <v>1528</v>
      </c>
      <c r="AW35" s="33" t="s">
        <v>1463</v>
      </c>
      <c r="AX35" s="3" t="s">
        <v>1528</v>
      </c>
      <c r="AY35" s="3"/>
      <c r="AZ35" s="1">
        <v>4</v>
      </c>
      <c r="BB35" s="1" t="s">
        <v>1530</v>
      </c>
      <c r="BC35" s="1" t="s">
        <v>1531</v>
      </c>
      <c r="BE35" s="1" t="s">
        <v>1525</v>
      </c>
      <c r="BG35" s="1" t="s">
        <v>1525</v>
      </c>
      <c r="BH35" s="1" t="s">
        <v>1525</v>
      </c>
      <c r="BI35" s="1" t="s">
        <v>1535</v>
      </c>
      <c r="BJ35" s="1" t="s">
        <v>1525</v>
      </c>
      <c r="BK35" s="1" t="s">
        <v>1549</v>
      </c>
      <c r="BL35" s="32">
        <v>44417</v>
      </c>
      <c r="BM35" s="1" t="s">
        <v>1700</v>
      </c>
      <c r="BO35" s="1" t="s">
        <v>1537</v>
      </c>
      <c r="BP35" s="1" t="s">
        <v>1551</v>
      </c>
      <c r="BQ35" s="1" t="s">
        <v>1539</v>
      </c>
      <c r="BR35" s="1" t="s">
        <v>1552</v>
      </c>
      <c r="BS35" s="1" t="s">
        <v>106</v>
      </c>
      <c r="BU35" s="1" t="s">
        <v>51</v>
      </c>
      <c r="BW35" s="1" t="s">
        <v>1563</v>
      </c>
      <c r="BX35" s="32">
        <v>44512</v>
      </c>
      <c r="CA35" s="1" t="s">
        <v>51</v>
      </c>
      <c r="CB35" s="1" t="s">
        <v>51</v>
      </c>
      <c r="CC35" s="32">
        <v>44441</v>
      </c>
      <c r="CD35" s="1">
        <v>40</v>
      </c>
      <c r="CE35" s="1">
        <v>15</v>
      </c>
      <c r="CJ35" s="1" t="s">
        <v>51</v>
      </c>
      <c r="CK35" s="32">
        <v>44698</v>
      </c>
      <c r="CL35" s="1" t="s">
        <v>51</v>
      </c>
      <c r="CM35" s="32">
        <v>44698</v>
      </c>
      <c r="CN35" s="1">
        <v>0.76935186896376995</v>
      </c>
      <c r="CO35" s="1" t="s">
        <v>1537</v>
      </c>
      <c r="CP35" s="1" t="s">
        <v>1566</v>
      </c>
      <c r="CQ35" s="1" t="s">
        <v>1539</v>
      </c>
      <c r="CR35" s="1" t="s">
        <v>1552</v>
      </c>
      <c r="CS35" s="1" t="s">
        <v>106</v>
      </c>
      <c r="CT35" s="1" t="s">
        <v>1528</v>
      </c>
      <c r="CW35" s="1">
        <v>4</v>
      </c>
      <c r="CY35" s="1" t="s">
        <v>1530</v>
      </c>
      <c r="CZ35" s="1" t="s">
        <v>1531</v>
      </c>
      <c r="DB35" s="1" t="s">
        <v>1525</v>
      </c>
      <c r="DD35" s="1" t="s">
        <v>1525</v>
      </c>
      <c r="DE35" s="1" t="s">
        <v>1525</v>
      </c>
      <c r="DF35" s="1" t="s">
        <v>46</v>
      </c>
      <c r="DG35" s="1" t="s">
        <v>1525</v>
      </c>
      <c r="DH35" s="1" t="s">
        <v>45</v>
      </c>
      <c r="DM35" s="1" t="s">
        <v>45</v>
      </c>
      <c r="DO35" s="1" t="s">
        <v>45</v>
      </c>
      <c r="DQ35" s="1" t="s">
        <v>45</v>
      </c>
      <c r="DT35" s="32">
        <v>44740</v>
      </c>
      <c r="DU35" s="1" t="s">
        <v>1543</v>
      </c>
      <c r="DV35" s="1">
        <v>10.611038107752901</v>
      </c>
      <c r="DW35" s="1" t="s">
        <v>51</v>
      </c>
      <c r="DX35" s="1" t="s">
        <v>1701</v>
      </c>
      <c r="DY35" s="32">
        <v>44740</v>
      </c>
      <c r="DZ35" s="1" t="s">
        <v>1557</v>
      </c>
    </row>
    <row r="36" spans="1:130" ht="15.75" customHeight="1" x14ac:dyDescent="0.2">
      <c r="A36" s="8" t="s">
        <v>430</v>
      </c>
      <c r="B36" s="32">
        <v>31906</v>
      </c>
      <c r="C36" s="32">
        <v>42381</v>
      </c>
      <c r="D36" s="1">
        <v>28.679689977663202</v>
      </c>
      <c r="E36" s="1" t="s">
        <v>1587</v>
      </c>
      <c r="F36" s="1" t="s">
        <v>1524</v>
      </c>
      <c r="G36" s="1" t="s">
        <v>1574</v>
      </c>
      <c r="H36" s="1" t="s">
        <v>51</v>
      </c>
      <c r="I36" s="1">
        <v>1.6639999999999999</v>
      </c>
      <c r="J36" s="1" t="s">
        <v>51</v>
      </c>
      <c r="K36" s="1">
        <v>70.2</v>
      </c>
      <c r="L36" s="1">
        <v>25.3530649038461</v>
      </c>
      <c r="M36" s="1" t="s">
        <v>45</v>
      </c>
      <c r="N36" s="1" t="s">
        <v>45</v>
      </c>
      <c r="O36" s="1" t="s">
        <v>45</v>
      </c>
      <c r="P36" s="1" t="s">
        <v>45</v>
      </c>
      <c r="Q36" s="1" t="s">
        <v>45</v>
      </c>
      <c r="R36" s="1" t="s">
        <v>45</v>
      </c>
      <c r="S36" s="1" t="s">
        <v>45</v>
      </c>
      <c r="T36" s="1" t="s">
        <v>45</v>
      </c>
      <c r="U36" s="1" t="s">
        <v>45</v>
      </c>
      <c r="V36" s="1" t="s">
        <v>45</v>
      </c>
      <c r="W36" s="1" t="s">
        <v>45</v>
      </c>
      <c r="X36" s="1" t="s">
        <v>45</v>
      </c>
      <c r="Y36" s="1" t="s">
        <v>45</v>
      </c>
      <c r="Z36" s="1" t="s">
        <v>45</v>
      </c>
      <c r="AA36" s="1" t="s">
        <v>45</v>
      </c>
      <c r="AB36" s="1" t="s">
        <v>45</v>
      </c>
      <c r="AC36" s="1" t="s">
        <v>45</v>
      </c>
      <c r="AD36" s="1" t="s">
        <v>45</v>
      </c>
      <c r="AE36" s="1" t="s">
        <v>45</v>
      </c>
      <c r="AF36" s="32">
        <v>42381</v>
      </c>
      <c r="AG36" s="1">
        <v>28.679689977663202</v>
      </c>
      <c r="AH36" s="1" t="s">
        <v>1558</v>
      </c>
      <c r="AI36" s="1" t="s">
        <v>1527</v>
      </c>
      <c r="AJ36" s="1" t="s">
        <v>45</v>
      </c>
      <c r="AK36" s="1" t="s">
        <v>51</v>
      </c>
      <c r="AL36" s="1" t="s">
        <v>45</v>
      </c>
      <c r="AM36" s="1" t="s">
        <v>45</v>
      </c>
      <c r="AN36" s="1" t="s">
        <v>45</v>
      </c>
      <c r="AO36" s="1" t="s">
        <v>45</v>
      </c>
      <c r="AP36" s="1" t="s">
        <v>45</v>
      </c>
      <c r="AQ36" s="1" t="s">
        <v>45</v>
      </c>
      <c r="AR36" s="1" t="s">
        <v>45</v>
      </c>
      <c r="AT36" s="1" t="s">
        <v>1560</v>
      </c>
      <c r="AW36" s="33" t="s">
        <v>1464</v>
      </c>
      <c r="AX36" s="3"/>
      <c r="AY36" s="3" t="s">
        <v>1560</v>
      </c>
      <c r="AZ36" s="1">
        <v>2</v>
      </c>
      <c r="BB36" s="1" t="s">
        <v>1567</v>
      </c>
      <c r="BC36" s="1" t="s">
        <v>1531</v>
      </c>
      <c r="BE36" s="1" t="s">
        <v>1533</v>
      </c>
      <c r="BF36" s="1" t="s">
        <v>1548</v>
      </c>
      <c r="BG36" s="1" t="s">
        <v>1525</v>
      </c>
      <c r="BH36" s="1" t="s">
        <v>1525</v>
      </c>
      <c r="BI36" s="1" t="s">
        <v>1599</v>
      </c>
      <c r="BJ36" s="1" t="s">
        <v>1525</v>
      </c>
      <c r="BK36" s="1" t="s">
        <v>1549</v>
      </c>
      <c r="BL36" s="32">
        <v>42381</v>
      </c>
      <c r="BM36" s="1" t="s">
        <v>1702</v>
      </c>
      <c r="BO36" s="1" t="s">
        <v>1537</v>
      </c>
      <c r="BP36" s="1" t="s">
        <v>1551</v>
      </c>
      <c r="BQ36" s="1" t="s">
        <v>1539</v>
      </c>
      <c r="BR36" s="1" t="s">
        <v>1540</v>
      </c>
      <c r="BS36" s="1" t="s">
        <v>106</v>
      </c>
      <c r="BU36" s="1" t="s">
        <v>51</v>
      </c>
      <c r="BW36" s="1" t="s">
        <v>1563</v>
      </c>
      <c r="BX36" s="32">
        <v>42517</v>
      </c>
      <c r="BY36" s="1">
        <v>12</v>
      </c>
      <c r="CA36" s="1" t="s">
        <v>51</v>
      </c>
      <c r="CB36" s="1" t="s">
        <v>51</v>
      </c>
      <c r="CC36" s="32">
        <v>42445</v>
      </c>
      <c r="CD36" s="1" t="s">
        <v>1672</v>
      </c>
      <c r="CE36" s="1">
        <v>30</v>
      </c>
      <c r="CJ36" s="1" t="s">
        <v>51</v>
      </c>
      <c r="CK36" s="32">
        <v>44538</v>
      </c>
      <c r="CL36" s="1" t="s">
        <v>45</v>
      </c>
      <c r="DH36" s="1" t="s">
        <v>51</v>
      </c>
      <c r="DI36" s="1" t="s">
        <v>1703</v>
      </c>
      <c r="DJ36" s="32">
        <v>44538</v>
      </c>
      <c r="DK36" s="1" t="s">
        <v>1569</v>
      </c>
      <c r="DM36" s="1" t="s">
        <v>45</v>
      </c>
      <c r="DO36" s="1" t="s">
        <v>45</v>
      </c>
      <c r="DQ36" s="1" t="s">
        <v>45</v>
      </c>
      <c r="DS36" s="1" t="s">
        <v>1704</v>
      </c>
      <c r="DT36" s="32">
        <v>44762</v>
      </c>
      <c r="DU36" s="1" t="s">
        <v>1543</v>
      </c>
      <c r="DV36" s="1">
        <v>78.219448094612005</v>
      </c>
      <c r="DW36" s="1" t="s">
        <v>51</v>
      </c>
      <c r="DX36" s="1" t="s">
        <v>1705</v>
      </c>
      <c r="DY36" s="32">
        <v>44803</v>
      </c>
      <c r="DZ36" s="1" t="s">
        <v>1557</v>
      </c>
    </row>
    <row r="37" spans="1:130" ht="15.75" customHeight="1" x14ac:dyDescent="0.2">
      <c r="A37" s="8" t="s">
        <v>498</v>
      </c>
      <c r="B37" s="32">
        <v>32771</v>
      </c>
      <c r="C37" s="32">
        <v>44701</v>
      </c>
      <c r="D37" s="1">
        <v>32.663230593372802</v>
      </c>
      <c r="E37" s="1" t="s">
        <v>1587</v>
      </c>
      <c r="F37" s="1" t="s">
        <v>1524</v>
      </c>
      <c r="G37" s="1" t="s">
        <v>1574</v>
      </c>
      <c r="H37" s="1" t="s">
        <v>51</v>
      </c>
      <c r="I37" s="1">
        <v>1.5</v>
      </c>
      <c r="J37" s="1" t="s">
        <v>51</v>
      </c>
      <c r="K37" s="1">
        <v>54</v>
      </c>
      <c r="L37" s="1">
        <v>24</v>
      </c>
      <c r="M37" s="1" t="s">
        <v>45</v>
      </c>
      <c r="N37" s="1" t="s">
        <v>45</v>
      </c>
      <c r="O37" s="1" t="s">
        <v>45</v>
      </c>
      <c r="P37" s="1" t="s">
        <v>45</v>
      </c>
      <c r="Q37" s="1" t="s">
        <v>45</v>
      </c>
      <c r="R37" s="1" t="s">
        <v>45</v>
      </c>
      <c r="S37" s="1" t="s">
        <v>45</v>
      </c>
      <c r="T37" s="1" t="s">
        <v>45</v>
      </c>
      <c r="U37" s="1" t="s">
        <v>45</v>
      </c>
      <c r="V37" s="1" t="s">
        <v>45</v>
      </c>
      <c r="W37" s="1" t="s">
        <v>45</v>
      </c>
      <c r="X37" s="1" t="s">
        <v>45</v>
      </c>
      <c r="Y37" s="1" t="s">
        <v>45</v>
      </c>
      <c r="Z37" s="1" t="s">
        <v>45</v>
      </c>
      <c r="AA37" s="1" t="s">
        <v>45</v>
      </c>
      <c r="AB37" s="1" t="s">
        <v>45</v>
      </c>
      <c r="AC37" s="1" t="s">
        <v>45</v>
      </c>
      <c r="AD37" s="1" t="s">
        <v>45</v>
      </c>
      <c r="AE37" s="1" t="s">
        <v>45</v>
      </c>
      <c r="AF37" s="32">
        <v>44701</v>
      </c>
      <c r="AG37" s="1">
        <v>32.663230593372802</v>
      </c>
      <c r="AH37" s="1" t="s">
        <v>1558</v>
      </c>
      <c r="AI37" s="1" t="s">
        <v>1618</v>
      </c>
      <c r="AJ37" s="1" t="s">
        <v>45</v>
      </c>
      <c r="AK37" s="1" t="s">
        <v>51</v>
      </c>
      <c r="AL37" s="1" t="s">
        <v>45</v>
      </c>
      <c r="AM37" s="1" t="s">
        <v>45</v>
      </c>
      <c r="AN37" s="1" t="s">
        <v>45</v>
      </c>
      <c r="AO37" s="1" t="s">
        <v>45</v>
      </c>
      <c r="AP37" s="1" t="s">
        <v>45</v>
      </c>
      <c r="AQ37" s="1" t="s">
        <v>45</v>
      </c>
      <c r="AR37" s="1" t="s">
        <v>45</v>
      </c>
      <c r="AT37" s="1" t="s">
        <v>1546</v>
      </c>
      <c r="AV37" s="1" t="s">
        <v>1706</v>
      </c>
      <c r="AW37" s="33" t="s">
        <v>1464</v>
      </c>
      <c r="AX37" s="3"/>
      <c r="AY37" s="33" t="s">
        <v>1621</v>
      </c>
      <c r="AZ37" s="1">
        <v>1</v>
      </c>
      <c r="BB37" s="1" t="s">
        <v>1530</v>
      </c>
      <c r="BC37" s="1" t="s">
        <v>1531</v>
      </c>
      <c r="BE37" s="1" t="s">
        <v>1525</v>
      </c>
      <c r="BG37" s="1" t="s">
        <v>1525</v>
      </c>
      <c r="BH37" s="1" t="s">
        <v>68</v>
      </c>
      <c r="BI37" s="1" t="s">
        <v>1535</v>
      </c>
      <c r="BJ37" s="1" t="s">
        <v>45</v>
      </c>
      <c r="BK37" s="1" t="s">
        <v>1549</v>
      </c>
      <c r="BL37" s="32">
        <v>44701</v>
      </c>
      <c r="BM37" s="1" t="s">
        <v>1707</v>
      </c>
      <c r="BO37" s="1" t="s">
        <v>1537</v>
      </c>
      <c r="BP37" s="1" t="s">
        <v>1551</v>
      </c>
      <c r="BQ37" s="1" t="s">
        <v>1539</v>
      </c>
      <c r="BR37" s="1" t="s">
        <v>1540</v>
      </c>
      <c r="BS37" s="1" t="s">
        <v>1640</v>
      </c>
      <c r="BU37" s="1" t="s">
        <v>45</v>
      </c>
      <c r="BW37" s="1" t="s">
        <v>1542</v>
      </c>
      <c r="CA37" s="1" t="s">
        <v>45</v>
      </c>
      <c r="CB37" s="1" t="s">
        <v>45</v>
      </c>
      <c r="CI37" s="1" t="s">
        <v>1708</v>
      </c>
      <c r="CJ37" s="1" t="s">
        <v>45</v>
      </c>
      <c r="DH37" s="1" t="s">
        <v>45</v>
      </c>
      <c r="DM37" s="1" t="s">
        <v>45</v>
      </c>
      <c r="DO37" s="1" t="s">
        <v>45</v>
      </c>
      <c r="DQ37" s="1" t="s">
        <v>45</v>
      </c>
      <c r="DT37" s="32">
        <v>45576</v>
      </c>
      <c r="DU37" s="1" t="s">
        <v>1598</v>
      </c>
      <c r="DV37" s="1">
        <v>28.745072273324499</v>
      </c>
      <c r="DW37" s="1" t="s">
        <v>45</v>
      </c>
      <c r="DY37" s="32">
        <v>45576</v>
      </c>
      <c r="DZ37" s="1" t="s">
        <v>1557</v>
      </c>
    </row>
    <row r="38" spans="1:130" ht="15.75" customHeight="1" x14ac:dyDescent="0.2">
      <c r="A38" s="8" t="s">
        <v>438</v>
      </c>
      <c r="B38" s="32">
        <v>24065</v>
      </c>
      <c r="C38" s="32">
        <v>44695</v>
      </c>
      <c r="D38" s="1">
        <v>56.482907474714203</v>
      </c>
      <c r="E38" s="1" t="s">
        <v>1523</v>
      </c>
      <c r="F38" s="1" t="s">
        <v>1524</v>
      </c>
      <c r="G38" s="1" t="s">
        <v>1525</v>
      </c>
      <c r="H38" s="1" t="s">
        <v>45</v>
      </c>
      <c r="J38" s="1" t="s">
        <v>45</v>
      </c>
      <c r="M38" s="1" t="s">
        <v>45</v>
      </c>
      <c r="N38" s="1" t="s">
        <v>45</v>
      </c>
      <c r="O38" s="1" t="s">
        <v>45</v>
      </c>
      <c r="P38" s="1" t="s">
        <v>45</v>
      </c>
      <c r="Q38" s="1" t="s">
        <v>45</v>
      </c>
      <c r="R38" s="1" t="s">
        <v>45</v>
      </c>
      <c r="S38" s="1" t="s">
        <v>45</v>
      </c>
      <c r="T38" s="1" t="s">
        <v>45</v>
      </c>
      <c r="U38" s="1" t="s">
        <v>45</v>
      </c>
      <c r="V38" s="1" t="s">
        <v>45</v>
      </c>
      <c r="W38" s="1" t="s">
        <v>45</v>
      </c>
      <c r="X38" s="1" t="s">
        <v>45</v>
      </c>
      <c r="Y38" s="1" t="s">
        <v>45</v>
      </c>
      <c r="Z38" s="1" t="s">
        <v>45</v>
      </c>
      <c r="AA38" s="1" t="s">
        <v>45</v>
      </c>
      <c r="AB38" s="1" t="s">
        <v>45</v>
      </c>
      <c r="AC38" s="1" t="s">
        <v>45</v>
      </c>
      <c r="AD38" s="1" t="s">
        <v>45</v>
      </c>
      <c r="AE38" s="1" t="s">
        <v>45</v>
      </c>
      <c r="AF38" s="32">
        <v>44697</v>
      </c>
      <c r="AG38" s="1">
        <v>56.488497368186799</v>
      </c>
      <c r="AH38" s="1" t="s">
        <v>1558</v>
      </c>
      <c r="AI38" s="1" t="s">
        <v>1527</v>
      </c>
      <c r="AJ38" s="1" t="s">
        <v>45</v>
      </c>
      <c r="AK38" s="1" t="s">
        <v>51</v>
      </c>
      <c r="AL38" s="1" t="s">
        <v>45</v>
      </c>
      <c r="AM38" s="1" t="s">
        <v>45</v>
      </c>
      <c r="AN38" s="1" t="s">
        <v>45</v>
      </c>
      <c r="AO38" s="1" t="s">
        <v>45</v>
      </c>
      <c r="AP38" s="1" t="s">
        <v>45</v>
      </c>
      <c r="AQ38" s="1" t="s">
        <v>45</v>
      </c>
      <c r="AR38" s="1" t="s">
        <v>45</v>
      </c>
      <c r="AT38" s="1" t="s">
        <v>1528</v>
      </c>
      <c r="AW38" s="33" t="s">
        <v>1463</v>
      </c>
      <c r="AX38" s="3" t="s">
        <v>1528</v>
      </c>
      <c r="AY38" s="3"/>
      <c r="AZ38" s="1">
        <v>4</v>
      </c>
      <c r="BB38" s="1" t="s">
        <v>1530</v>
      </c>
      <c r="BC38" s="1" t="s">
        <v>1531</v>
      </c>
      <c r="BE38" s="1" t="s">
        <v>1533</v>
      </c>
      <c r="BF38" s="1" t="s">
        <v>1548</v>
      </c>
      <c r="BH38" s="1" t="s">
        <v>46</v>
      </c>
      <c r="BI38" s="1" t="s">
        <v>1535</v>
      </c>
      <c r="BJ38" s="1" t="s">
        <v>51</v>
      </c>
      <c r="BK38" s="1" t="s">
        <v>1549</v>
      </c>
      <c r="BL38" s="32">
        <v>44697</v>
      </c>
      <c r="BM38" s="1" t="s">
        <v>1709</v>
      </c>
      <c r="BO38" s="1" t="s">
        <v>1537</v>
      </c>
      <c r="BP38" s="1" t="s">
        <v>1551</v>
      </c>
      <c r="BQ38" s="1" t="s">
        <v>1539</v>
      </c>
      <c r="BR38" s="1" t="s">
        <v>1540</v>
      </c>
      <c r="BS38" s="1" t="s">
        <v>106</v>
      </c>
      <c r="BU38" s="1" t="s">
        <v>51</v>
      </c>
      <c r="BW38" s="1" t="s">
        <v>1563</v>
      </c>
      <c r="CA38" s="1" t="s">
        <v>51</v>
      </c>
      <c r="CB38" s="1" t="s">
        <v>51</v>
      </c>
      <c r="CI38" s="1" t="s">
        <v>1710</v>
      </c>
      <c r="CJ38" s="1" t="s">
        <v>45</v>
      </c>
      <c r="DH38" s="1" t="s">
        <v>45</v>
      </c>
      <c r="DM38" s="1" t="s">
        <v>45</v>
      </c>
      <c r="DO38" s="1" t="s">
        <v>45</v>
      </c>
      <c r="DQ38" s="1" t="s">
        <v>45</v>
      </c>
      <c r="DT38" s="32">
        <v>45006</v>
      </c>
      <c r="DU38" s="1" t="s">
        <v>1543</v>
      </c>
      <c r="DV38" s="1">
        <v>10.1511169513797</v>
      </c>
      <c r="DW38" s="1" t="s">
        <v>51</v>
      </c>
      <c r="DX38" s="1" t="s">
        <v>1711</v>
      </c>
      <c r="DY38" s="32">
        <v>45854</v>
      </c>
      <c r="DZ38" s="1" t="s">
        <v>1557</v>
      </c>
    </row>
    <row r="39" spans="1:130" ht="15.75" customHeight="1" x14ac:dyDescent="0.2">
      <c r="A39" s="8" t="s">
        <v>502</v>
      </c>
      <c r="B39" s="32">
        <v>33749</v>
      </c>
      <c r="C39" s="32">
        <v>44700</v>
      </c>
      <c r="D39" s="1">
        <v>29.982819633531101</v>
      </c>
      <c r="E39" s="1" t="s">
        <v>1523</v>
      </c>
      <c r="F39" s="1" t="s">
        <v>1524</v>
      </c>
      <c r="G39" s="1" t="s">
        <v>1574</v>
      </c>
      <c r="H39" s="1" t="s">
        <v>51</v>
      </c>
      <c r="I39" s="1">
        <v>1.67</v>
      </c>
      <c r="J39" s="1" t="s">
        <v>51</v>
      </c>
      <c r="K39" s="1">
        <v>81.5</v>
      </c>
      <c r="L39" s="1">
        <v>29.222991143461499</v>
      </c>
      <c r="M39" s="1" t="s">
        <v>45</v>
      </c>
      <c r="N39" s="1" t="s">
        <v>45</v>
      </c>
      <c r="O39" s="1" t="s">
        <v>45</v>
      </c>
      <c r="P39" s="1" t="s">
        <v>45</v>
      </c>
      <c r="Q39" s="1" t="s">
        <v>45</v>
      </c>
      <c r="R39" s="1" t="s">
        <v>45</v>
      </c>
      <c r="S39" s="1" t="s">
        <v>45</v>
      </c>
      <c r="T39" s="1" t="s">
        <v>45</v>
      </c>
      <c r="U39" s="1" t="s">
        <v>45</v>
      </c>
      <c r="V39" s="1" t="s">
        <v>45</v>
      </c>
      <c r="W39" s="1" t="s">
        <v>45</v>
      </c>
      <c r="X39" s="1" t="s">
        <v>45</v>
      </c>
      <c r="Y39" s="1" t="s">
        <v>45</v>
      </c>
      <c r="Z39" s="1" t="s">
        <v>45</v>
      </c>
      <c r="AA39" s="1" t="s">
        <v>45</v>
      </c>
      <c r="AB39" s="1" t="s">
        <v>45</v>
      </c>
      <c r="AC39" s="1" t="s">
        <v>45</v>
      </c>
      <c r="AD39" s="1" t="s">
        <v>45</v>
      </c>
      <c r="AE39" s="1" t="s">
        <v>45</v>
      </c>
      <c r="AF39" s="32">
        <v>44700</v>
      </c>
      <c r="AG39" s="1">
        <v>29.982819633531101</v>
      </c>
      <c r="AH39" s="1" t="s">
        <v>1526</v>
      </c>
      <c r="AI39" s="1" t="s">
        <v>1527</v>
      </c>
      <c r="AJ39" s="1" t="s">
        <v>45</v>
      </c>
      <c r="AK39" s="1" t="s">
        <v>51</v>
      </c>
      <c r="AL39" s="1" t="s">
        <v>45</v>
      </c>
      <c r="AM39" s="1" t="s">
        <v>45</v>
      </c>
      <c r="AN39" s="1" t="s">
        <v>45</v>
      </c>
      <c r="AO39" s="1" t="s">
        <v>45</v>
      </c>
      <c r="AP39" s="1" t="s">
        <v>45</v>
      </c>
      <c r="AQ39" s="1" t="s">
        <v>45</v>
      </c>
      <c r="AR39" s="1" t="s">
        <v>45</v>
      </c>
      <c r="AT39" s="1" t="s">
        <v>1601</v>
      </c>
      <c r="AW39" s="33" t="s">
        <v>1463</v>
      </c>
      <c r="AX39" s="3" t="s">
        <v>1601</v>
      </c>
      <c r="AY39" s="3"/>
      <c r="AZ39" s="1">
        <v>3</v>
      </c>
      <c r="BB39" s="1" t="s">
        <v>1567</v>
      </c>
      <c r="BC39" s="1" t="s">
        <v>1602</v>
      </c>
      <c r="BE39" s="1" t="s">
        <v>1603</v>
      </c>
      <c r="BF39" s="1" t="s">
        <v>1548</v>
      </c>
      <c r="BG39" s="1" t="s">
        <v>1525</v>
      </c>
      <c r="BH39" s="1" t="s">
        <v>46</v>
      </c>
      <c r="BI39" s="1" t="s">
        <v>1535</v>
      </c>
      <c r="BJ39" s="1" t="s">
        <v>1525</v>
      </c>
      <c r="BK39" s="1" t="s">
        <v>1549</v>
      </c>
      <c r="BL39" s="32">
        <v>44700</v>
      </c>
      <c r="BO39" s="1" t="s">
        <v>1537</v>
      </c>
      <c r="BP39" s="1" t="s">
        <v>1551</v>
      </c>
      <c r="BQ39" s="1" t="s">
        <v>1539</v>
      </c>
      <c r="BR39" s="1" t="s">
        <v>1540</v>
      </c>
      <c r="BS39" s="1" t="s">
        <v>1677</v>
      </c>
      <c r="BU39" s="1" t="s">
        <v>51</v>
      </c>
      <c r="BW39" s="1" t="s">
        <v>1563</v>
      </c>
      <c r="BX39" s="32">
        <v>44853</v>
      </c>
      <c r="CA39" s="1" t="s">
        <v>51</v>
      </c>
      <c r="CB39" s="1" t="s">
        <v>51</v>
      </c>
      <c r="CC39" s="32">
        <v>44776</v>
      </c>
      <c r="CD39" s="1">
        <v>59.4</v>
      </c>
      <c r="CE39" s="1">
        <v>33</v>
      </c>
      <c r="CJ39" s="1" t="s">
        <v>45</v>
      </c>
      <c r="DH39" s="1" t="s">
        <v>45</v>
      </c>
      <c r="DM39" s="1" t="s">
        <v>45</v>
      </c>
      <c r="DO39" s="1" t="s">
        <v>45</v>
      </c>
      <c r="DQ39" s="1" t="s">
        <v>45</v>
      </c>
      <c r="DT39" s="32">
        <v>45715</v>
      </c>
      <c r="DU39" s="1" t="s">
        <v>1598</v>
      </c>
      <c r="DV39" s="1">
        <v>33.345652650021897</v>
      </c>
      <c r="DW39" s="1" t="s">
        <v>45</v>
      </c>
      <c r="DY39" s="32">
        <v>45715</v>
      </c>
      <c r="DZ39" s="1" t="s">
        <v>1557</v>
      </c>
    </row>
    <row r="40" spans="1:130" ht="15.75" customHeight="1" x14ac:dyDescent="0.2">
      <c r="A40" s="8" t="s">
        <v>505</v>
      </c>
      <c r="B40" s="32">
        <v>22158</v>
      </c>
      <c r="C40" s="32">
        <v>44718</v>
      </c>
      <c r="D40" s="1">
        <v>61.767182077660699</v>
      </c>
      <c r="E40" s="1" t="s">
        <v>1523</v>
      </c>
      <c r="F40" s="1" t="s">
        <v>1524</v>
      </c>
      <c r="G40" s="1" t="s">
        <v>1574</v>
      </c>
      <c r="H40" s="1" t="s">
        <v>51</v>
      </c>
      <c r="I40" s="1">
        <v>1.829</v>
      </c>
      <c r="J40" s="1" t="s">
        <v>51</v>
      </c>
      <c r="K40" s="1">
        <v>108.4</v>
      </c>
      <c r="L40" s="1">
        <v>32.404242325141901</v>
      </c>
      <c r="M40" s="1" t="s">
        <v>45</v>
      </c>
      <c r="N40" s="1" t="s">
        <v>45</v>
      </c>
      <c r="O40" s="1" t="s">
        <v>45</v>
      </c>
      <c r="P40" s="1" t="s">
        <v>45</v>
      </c>
      <c r="Q40" s="1" t="s">
        <v>45</v>
      </c>
      <c r="R40" s="1" t="s">
        <v>45</v>
      </c>
      <c r="S40" s="1" t="s">
        <v>45</v>
      </c>
      <c r="T40" s="1" t="s">
        <v>45</v>
      </c>
      <c r="U40" s="1" t="s">
        <v>45</v>
      </c>
      <c r="V40" s="1" t="s">
        <v>45</v>
      </c>
      <c r="W40" s="1" t="s">
        <v>45</v>
      </c>
      <c r="X40" s="1" t="s">
        <v>45</v>
      </c>
      <c r="Y40" s="1" t="s">
        <v>45</v>
      </c>
      <c r="Z40" s="1" t="s">
        <v>45</v>
      </c>
      <c r="AA40" s="1" t="s">
        <v>45</v>
      </c>
      <c r="AB40" s="1" t="s">
        <v>45</v>
      </c>
      <c r="AC40" s="1" t="s">
        <v>45</v>
      </c>
      <c r="AD40" s="1" t="s">
        <v>45</v>
      </c>
      <c r="AE40" s="1" t="s">
        <v>45</v>
      </c>
      <c r="AF40" s="32">
        <v>44718</v>
      </c>
      <c r="AG40" s="1">
        <v>61.767182077660699</v>
      </c>
      <c r="AH40" s="1" t="s">
        <v>1526</v>
      </c>
      <c r="AI40" s="1" t="s">
        <v>1618</v>
      </c>
      <c r="AJ40" s="1" t="s">
        <v>45</v>
      </c>
      <c r="AK40" s="1" t="s">
        <v>45</v>
      </c>
      <c r="AL40" s="1" t="s">
        <v>45</v>
      </c>
      <c r="AM40" s="1" t="s">
        <v>45</v>
      </c>
      <c r="AN40" s="1" t="s">
        <v>45</v>
      </c>
      <c r="AO40" s="1" t="s">
        <v>45</v>
      </c>
      <c r="AP40" s="1" t="s">
        <v>45</v>
      </c>
      <c r="AQ40" s="1" t="s">
        <v>45</v>
      </c>
      <c r="AR40" s="1" t="s">
        <v>51</v>
      </c>
      <c r="AS40" s="1" t="s">
        <v>1712</v>
      </c>
      <c r="AT40" s="1" t="s">
        <v>1583</v>
      </c>
      <c r="AU40" s="1" t="s">
        <v>1713</v>
      </c>
      <c r="AW40" s="33" t="s">
        <v>1713</v>
      </c>
      <c r="AX40" s="3"/>
      <c r="AY40" s="3"/>
      <c r="AZ40" s="1">
        <v>2</v>
      </c>
      <c r="BB40" s="1" t="s">
        <v>1530</v>
      </c>
      <c r="BC40" s="1" t="s">
        <v>1531</v>
      </c>
      <c r="BE40" s="1" t="s">
        <v>1525</v>
      </c>
      <c r="BG40" s="1" t="s">
        <v>1525</v>
      </c>
      <c r="BH40" s="1" t="s">
        <v>1525</v>
      </c>
      <c r="BI40" s="1" t="s">
        <v>1525</v>
      </c>
      <c r="BJ40" s="1" t="s">
        <v>1525</v>
      </c>
      <c r="BK40" s="1" t="s">
        <v>1549</v>
      </c>
      <c r="BL40" s="32">
        <v>44718</v>
      </c>
      <c r="BM40" s="1" t="s">
        <v>1714</v>
      </c>
      <c r="BP40" s="1" t="s">
        <v>1551</v>
      </c>
      <c r="BQ40" s="1" t="s">
        <v>1539</v>
      </c>
      <c r="BS40" s="1" t="s">
        <v>1715</v>
      </c>
      <c r="BU40" s="1" t="s">
        <v>51</v>
      </c>
      <c r="BW40" s="1" t="s">
        <v>1542</v>
      </c>
      <c r="CA40" s="1" t="s">
        <v>45</v>
      </c>
      <c r="CB40" s="1" t="s">
        <v>45</v>
      </c>
      <c r="CJ40" s="1" t="s">
        <v>45</v>
      </c>
      <c r="DH40" s="1" t="s">
        <v>45</v>
      </c>
      <c r="DM40" s="1" t="s">
        <v>45</v>
      </c>
      <c r="DO40" s="1" t="s">
        <v>45</v>
      </c>
      <c r="DQ40" s="1" t="s">
        <v>45</v>
      </c>
      <c r="DT40" s="32">
        <v>45468</v>
      </c>
      <c r="DU40" s="1" t="s">
        <v>1598</v>
      </c>
      <c r="DV40" s="1">
        <v>24.638633377135299</v>
      </c>
      <c r="DW40" s="1" t="s">
        <v>45</v>
      </c>
      <c r="DY40" s="32">
        <v>45468</v>
      </c>
      <c r="DZ40" s="1" t="s">
        <v>1557</v>
      </c>
    </row>
    <row r="41" spans="1:130" ht="15.75" customHeight="1" x14ac:dyDescent="0.2">
      <c r="A41" s="8" t="s">
        <v>443</v>
      </c>
      <c r="B41" s="32">
        <v>15961</v>
      </c>
      <c r="C41" s="32">
        <v>44734</v>
      </c>
      <c r="D41" s="1">
        <v>78.777798312080293</v>
      </c>
      <c r="E41" s="1" t="s">
        <v>1587</v>
      </c>
      <c r="F41" s="1" t="s">
        <v>1524</v>
      </c>
      <c r="G41" s="1" t="s">
        <v>1574</v>
      </c>
      <c r="H41" s="1" t="s">
        <v>51</v>
      </c>
      <c r="I41" s="1">
        <v>1.59</v>
      </c>
      <c r="J41" s="1" t="s">
        <v>51</v>
      </c>
      <c r="K41" s="1">
        <v>52.5</v>
      </c>
      <c r="L41" s="1">
        <v>20.766583600332201</v>
      </c>
      <c r="M41" s="1" t="s">
        <v>45</v>
      </c>
      <c r="N41" s="1" t="s">
        <v>45</v>
      </c>
      <c r="O41" s="1" t="s">
        <v>45</v>
      </c>
      <c r="P41" s="1" t="s">
        <v>45</v>
      </c>
      <c r="Q41" s="1" t="s">
        <v>45</v>
      </c>
      <c r="R41" s="1" t="s">
        <v>45</v>
      </c>
      <c r="S41" s="1" t="s">
        <v>45</v>
      </c>
      <c r="T41" s="1" t="s">
        <v>45</v>
      </c>
      <c r="U41" s="1" t="s">
        <v>45</v>
      </c>
      <c r="V41" s="1" t="s">
        <v>45</v>
      </c>
      <c r="W41" s="1" t="s">
        <v>45</v>
      </c>
      <c r="X41" s="1" t="s">
        <v>45</v>
      </c>
      <c r="Y41" s="1" t="s">
        <v>45</v>
      </c>
      <c r="Z41" s="1" t="s">
        <v>45</v>
      </c>
      <c r="AA41" s="1" t="s">
        <v>45</v>
      </c>
      <c r="AB41" s="1" t="s">
        <v>45</v>
      </c>
      <c r="AC41" s="1" t="s">
        <v>45</v>
      </c>
      <c r="AD41" s="1" t="s">
        <v>45</v>
      </c>
      <c r="AE41" s="1" t="s">
        <v>45</v>
      </c>
      <c r="AF41" s="32">
        <v>44734</v>
      </c>
      <c r="AG41" s="1">
        <v>78.777798312080293</v>
      </c>
      <c r="AH41" s="1" t="s">
        <v>1558</v>
      </c>
      <c r="AI41" s="1" t="s">
        <v>1527</v>
      </c>
      <c r="AJ41" s="1" t="s">
        <v>45</v>
      </c>
      <c r="AK41" s="1" t="s">
        <v>45</v>
      </c>
      <c r="AL41" s="1" t="s">
        <v>45</v>
      </c>
      <c r="AM41" s="1" t="s">
        <v>45</v>
      </c>
      <c r="AN41" s="1" t="s">
        <v>45</v>
      </c>
      <c r="AO41" s="1" t="s">
        <v>45</v>
      </c>
      <c r="AP41" s="1" t="s">
        <v>45</v>
      </c>
      <c r="AQ41" s="1" t="s">
        <v>51</v>
      </c>
      <c r="AR41" s="1" t="s">
        <v>45</v>
      </c>
      <c r="AT41" s="1" t="s">
        <v>1528</v>
      </c>
      <c r="AW41" s="33" t="s">
        <v>1463</v>
      </c>
      <c r="AX41" s="3" t="s">
        <v>1528</v>
      </c>
      <c r="AY41" s="3"/>
      <c r="AZ41" s="1">
        <v>4</v>
      </c>
      <c r="BB41" s="1" t="s">
        <v>1530</v>
      </c>
      <c r="BC41" s="1" t="s">
        <v>1531</v>
      </c>
      <c r="BE41" s="1" t="s">
        <v>1533</v>
      </c>
      <c r="BF41" s="1" t="s">
        <v>1548</v>
      </c>
      <c r="BG41" s="1" t="s">
        <v>1525</v>
      </c>
      <c r="BH41" s="1" t="s">
        <v>46</v>
      </c>
      <c r="BI41" s="1" t="s">
        <v>1535</v>
      </c>
      <c r="BJ41" s="1" t="s">
        <v>45</v>
      </c>
      <c r="BK41" s="1" t="s">
        <v>1549</v>
      </c>
      <c r="BL41" s="32">
        <v>44719</v>
      </c>
      <c r="BM41" s="1" t="s">
        <v>1716</v>
      </c>
      <c r="BO41" s="1" t="s">
        <v>1537</v>
      </c>
      <c r="BP41" s="1" t="s">
        <v>1551</v>
      </c>
      <c r="BQ41" s="1" t="s">
        <v>1539</v>
      </c>
      <c r="BR41" s="1" t="s">
        <v>1540</v>
      </c>
      <c r="BS41" s="1" t="s">
        <v>106</v>
      </c>
      <c r="BU41" s="1" t="s">
        <v>51</v>
      </c>
      <c r="BW41" s="1" t="s">
        <v>1563</v>
      </c>
      <c r="BX41" s="32">
        <v>44804</v>
      </c>
      <c r="BY41" s="1">
        <v>8</v>
      </c>
      <c r="BZ41" s="1" t="s">
        <v>1717</v>
      </c>
      <c r="CA41" s="1" t="s">
        <v>51</v>
      </c>
      <c r="CB41" s="1" t="s">
        <v>51</v>
      </c>
      <c r="CC41" s="32">
        <v>44748</v>
      </c>
      <c r="CD41" s="1">
        <v>40</v>
      </c>
      <c r="CE41" s="1">
        <v>15</v>
      </c>
      <c r="CJ41" s="1" t="s">
        <v>51</v>
      </c>
      <c r="CK41" s="32">
        <v>45203</v>
      </c>
      <c r="CL41" s="1" t="s">
        <v>45</v>
      </c>
      <c r="DH41" s="1" t="s">
        <v>51</v>
      </c>
      <c r="DI41" s="1" t="s">
        <v>1718</v>
      </c>
      <c r="DJ41" s="32">
        <v>45203</v>
      </c>
      <c r="DK41" s="1" t="s">
        <v>1569</v>
      </c>
      <c r="DM41" s="1" t="s">
        <v>45</v>
      </c>
      <c r="DT41" s="32">
        <v>45357</v>
      </c>
      <c r="DU41" s="1" t="s">
        <v>1598</v>
      </c>
      <c r="DV41" s="1">
        <v>20.467860271572398</v>
      </c>
      <c r="DW41" s="1" t="s">
        <v>51</v>
      </c>
      <c r="DX41" s="1" t="s">
        <v>1719</v>
      </c>
      <c r="DY41" s="32">
        <v>45357</v>
      </c>
      <c r="DZ41" s="1" t="s">
        <v>1557</v>
      </c>
    </row>
    <row r="42" spans="1:130" ht="15.75" customHeight="1" x14ac:dyDescent="0.2">
      <c r="A42" s="8" t="s">
        <v>508</v>
      </c>
      <c r="B42" s="32">
        <v>32456</v>
      </c>
      <c r="C42" s="32">
        <v>44731</v>
      </c>
      <c r="D42" s="1">
        <v>33.607694431325299</v>
      </c>
      <c r="E42" s="1" t="s">
        <v>1587</v>
      </c>
      <c r="F42" s="1" t="s">
        <v>1524</v>
      </c>
      <c r="G42" s="1" t="s">
        <v>1574</v>
      </c>
      <c r="H42" s="1" t="s">
        <v>51</v>
      </c>
      <c r="I42" s="1">
        <v>1.62</v>
      </c>
      <c r="J42" s="1" t="s">
        <v>51</v>
      </c>
      <c r="K42" s="1">
        <v>96.5</v>
      </c>
      <c r="L42" s="1">
        <v>36.770309404054203</v>
      </c>
      <c r="M42" s="1" t="s">
        <v>45</v>
      </c>
      <c r="N42" s="1" t="s">
        <v>45</v>
      </c>
      <c r="O42" s="1" t="s">
        <v>45</v>
      </c>
      <c r="P42" s="1" t="s">
        <v>45</v>
      </c>
      <c r="Q42" s="1" t="s">
        <v>45</v>
      </c>
      <c r="R42" s="1" t="s">
        <v>45</v>
      </c>
      <c r="S42" s="1" t="s">
        <v>45</v>
      </c>
      <c r="T42" s="1" t="s">
        <v>45</v>
      </c>
      <c r="U42" s="1" t="s">
        <v>45</v>
      </c>
      <c r="V42" s="1" t="s">
        <v>45</v>
      </c>
      <c r="W42" s="1" t="s">
        <v>45</v>
      </c>
      <c r="X42" s="1" t="s">
        <v>45</v>
      </c>
      <c r="Y42" s="1" t="s">
        <v>45</v>
      </c>
      <c r="Z42" s="1" t="s">
        <v>45</v>
      </c>
      <c r="AA42" s="1" t="s">
        <v>45</v>
      </c>
      <c r="AB42" s="1" t="s">
        <v>45</v>
      </c>
      <c r="AC42" s="1" t="s">
        <v>45</v>
      </c>
      <c r="AD42" s="1" t="s">
        <v>45</v>
      </c>
      <c r="AE42" s="1" t="s">
        <v>45</v>
      </c>
      <c r="AF42" s="32">
        <v>44731</v>
      </c>
      <c r="AG42" s="1">
        <v>33.607694431325299</v>
      </c>
      <c r="AH42" s="1" t="s">
        <v>1558</v>
      </c>
      <c r="AI42" s="1" t="s">
        <v>1527</v>
      </c>
      <c r="AJ42" s="1" t="s">
        <v>45</v>
      </c>
      <c r="AK42" s="1" t="s">
        <v>51</v>
      </c>
      <c r="AL42" s="1" t="s">
        <v>45</v>
      </c>
      <c r="AM42" s="1" t="s">
        <v>45</v>
      </c>
      <c r="AN42" s="1" t="s">
        <v>45</v>
      </c>
      <c r="AO42" s="1" t="s">
        <v>45</v>
      </c>
      <c r="AP42" s="1" t="s">
        <v>45</v>
      </c>
      <c r="AQ42" s="1" t="s">
        <v>45</v>
      </c>
      <c r="AR42" s="1" t="s">
        <v>45</v>
      </c>
      <c r="AT42" s="1" t="s">
        <v>1546</v>
      </c>
      <c r="AV42" s="1" t="s">
        <v>1463</v>
      </c>
      <c r="AW42" s="33" t="s">
        <v>1463</v>
      </c>
      <c r="AX42" s="33" t="s">
        <v>1547</v>
      </c>
      <c r="AY42" s="3"/>
      <c r="AZ42" s="1">
        <v>4</v>
      </c>
      <c r="BB42" s="1" t="s">
        <v>1530</v>
      </c>
      <c r="BC42" s="1" t="s">
        <v>1531</v>
      </c>
      <c r="BE42" s="1" t="s">
        <v>1533</v>
      </c>
      <c r="BF42" s="1" t="s">
        <v>1548</v>
      </c>
      <c r="BG42" s="1" t="s">
        <v>1525</v>
      </c>
      <c r="BH42" s="1" t="s">
        <v>46</v>
      </c>
      <c r="BI42" s="1" t="s">
        <v>1535</v>
      </c>
      <c r="BJ42" s="1" t="s">
        <v>1525</v>
      </c>
      <c r="BK42" s="1" t="s">
        <v>1549</v>
      </c>
      <c r="BL42" s="32">
        <v>44731</v>
      </c>
      <c r="BM42" s="1" t="s">
        <v>1720</v>
      </c>
      <c r="BO42" s="1" t="s">
        <v>1537</v>
      </c>
      <c r="BP42" s="1" t="s">
        <v>1551</v>
      </c>
      <c r="BQ42" s="1" t="s">
        <v>1539</v>
      </c>
      <c r="BR42" s="1" t="s">
        <v>1540</v>
      </c>
      <c r="BS42" s="1" t="s">
        <v>1592</v>
      </c>
      <c r="BU42" s="1" t="s">
        <v>51</v>
      </c>
      <c r="BW42" s="1" t="s">
        <v>1563</v>
      </c>
      <c r="BX42" s="32">
        <v>44832</v>
      </c>
      <c r="BY42" s="1">
        <v>2</v>
      </c>
      <c r="CA42" s="1" t="s">
        <v>51</v>
      </c>
      <c r="CB42" s="1" t="s">
        <v>51</v>
      </c>
      <c r="CC42" s="32">
        <v>44756</v>
      </c>
      <c r="CD42" s="1">
        <v>60</v>
      </c>
      <c r="CE42" s="1">
        <v>30</v>
      </c>
      <c r="CJ42" s="1" t="s">
        <v>45</v>
      </c>
      <c r="DH42" s="1" t="s">
        <v>51</v>
      </c>
      <c r="DI42" s="1" t="s">
        <v>1721</v>
      </c>
      <c r="DJ42" s="32">
        <v>45049</v>
      </c>
      <c r="DK42" s="1" t="s">
        <v>1569</v>
      </c>
      <c r="DM42" s="1" t="s">
        <v>45</v>
      </c>
      <c r="DO42" s="1" t="s">
        <v>51</v>
      </c>
      <c r="DP42" s="1" t="s">
        <v>1722</v>
      </c>
      <c r="DQ42" s="1" t="s">
        <v>45</v>
      </c>
      <c r="DS42" s="1" t="s">
        <v>1723</v>
      </c>
      <c r="DT42" s="32">
        <v>45762</v>
      </c>
      <c r="DU42" s="1" t="s">
        <v>1598</v>
      </c>
      <c r="DV42" s="1">
        <v>33.869908015768701</v>
      </c>
      <c r="DW42" s="1" t="s">
        <v>45</v>
      </c>
      <c r="DY42" s="32">
        <v>45762</v>
      </c>
      <c r="DZ42" s="1" t="s">
        <v>1557</v>
      </c>
    </row>
    <row r="43" spans="1:130" ht="15.75" customHeight="1" x14ac:dyDescent="0.2">
      <c r="A43" s="8" t="s">
        <v>515</v>
      </c>
      <c r="B43" s="32">
        <v>27399</v>
      </c>
      <c r="C43" s="32">
        <v>44739</v>
      </c>
      <c r="D43" s="1">
        <v>47.475193421721997</v>
      </c>
      <c r="E43" s="1" t="s">
        <v>1523</v>
      </c>
      <c r="F43" s="1" t="s">
        <v>1524</v>
      </c>
      <c r="G43" s="1" t="s">
        <v>1574</v>
      </c>
      <c r="H43" s="1" t="s">
        <v>51</v>
      </c>
      <c r="I43" s="1">
        <v>1.85</v>
      </c>
      <c r="J43" s="1" t="s">
        <v>51</v>
      </c>
      <c r="K43" s="1">
        <v>85.8</v>
      </c>
      <c r="L43" s="1">
        <v>25.069393718042299</v>
      </c>
      <c r="M43" s="1" t="s">
        <v>45</v>
      </c>
      <c r="N43" s="1" t="s">
        <v>45</v>
      </c>
      <c r="O43" s="1" t="s">
        <v>45</v>
      </c>
      <c r="P43" s="1" t="s">
        <v>45</v>
      </c>
      <c r="Q43" s="1" t="s">
        <v>45</v>
      </c>
      <c r="R43" s="1" t="s">
        <v>45</v>
      </c>
      <c r="S43" s="1" t="s">
        <v>45</v>
      </c>
      <c r="T43" s="1" t="s">
        <v>45</v>
      </c>
      <c r="U43" s="1" t="s">
        <v>45</v>
      </c>
      <c r="V43" s="1" t="s">
        <v>45</v>
      </c>
      <c r="W43" s="1" t="s">
        <v>45</v>
      </c>
      <c r="X43" s="1" t="s">
        <v>45</v>
      </c>
      <c r="Y43" s="1" t="s">
        <v>45</v>
      </c>
      <c r="Z43" s="1" t="s">
        <v>45</v>
      </c>
      <c r="AA43" s="1" t="s">
        <v>45</v>
      </c>
      <c r="AB43" s="1" t="s">
        <v>45</v>
      </c>
      <c r="AC43" s="1" t="s">
        <v>45</v>
      </c>
      <c r="AD43" s="1" t="s">
        <v>45</v>
      </c>
      <c r="AE43" s="1" t="s">
        <v>45</v>
      </c>
      <c r="AF43" s="32">
        <v>44739</v>
      </c>
      <c r="AG43" s="1">
        <v>47.475193421721997</v>
      </c>
      <c r="AH43" s="1" t="s">
        <v>1558</v>
      </c>
      <c r="AI43" s="1" t="s">
        <v>1618</v>
      </c>
      <c r="AJ43" s="1" t="s">
        <v>45</v>
      </c>
      <c r="AK43" s="1" t="s">
        <v>45</v>
      </c>
      <c r="AL43" s="1" t="s">
        <v>45</v>
      </c>
      <c r="AM43" s="1" t="s">
        <v>51</v>
      </c>
      <c r="AN43" s="1" t="s">
        <v>45</v>
      </c>
      <c r="AO43" s="1" t="s">
        <v>45</v>
      </c>
      <c r="AP43" s="1" t="s">
        <v>45</v>
      </c>
      <c r="AQ43" s="1" t="s">
        <v>45</v>
      </c>
      <c r="AR43" s="1" t="s">
        <v>45</v>
      </c>
      <c r="AT43" s="1" t="s">
        <v>1528</v>
      </c>
      <c r="AW43" s="33" t="s">
        <v>1463</v>
      </c>
      <c r="AX43" s="3" t="s">
        <v>1528</v>
      </c>
      <c r="AY43" s="3"/>
      <c r="AZ43" s="1">
        <v>4</v>
      </c>
      <c r="BB43" s="1" t="s">
        <v>1530</v>
      </c>
      <c r="BE43" s="1" t="s">
        <v>1525</v>
      </c>
      <c r="BF43" s="1" t="s">
        <v>1548</v>
      </c>
      <c r="BG43" s="1" t="s">
        <v>1525</v>
      </c>
      <c r="BH43" s="1" t="s">
        <v>46</v>
      </c>
      <c r="BI43" s="1" t="s">
        <v>1535</v>
      </c>
      <c r="BJ43" s="1" t="s">
        <v>45</v>
      </c>
      <c r="BK43" s="1" t="s">
        <v>1549</v>
      </c>
      <c r="BL43" s="32">
        <v>44739</v>
      </c>
      <c r="BM43" s="1" t="s">
        <v>1724</v>
      </c>
      <c r="BO43" s="1" t="s">
        <v>1537</v>
      </c>
      <c r="BP43" s="1" t="s">
        <v>1551</v>
      </c>
      <c r="BQ43" s="1" t="s">
        <v>1539</v>
      </c>
      <c r="BR43" s="1" t="s">
        <v>1552</v>
      </c>
      <c r="BS43" s="1" t="s">
        <v>1725</v>
      </c>
      <c r="BU43" s="1" t="s">
        <v>51</v>
      </c>
      <c r="BW43" s="1" t="s">
        <v>1563</v>
      </c>
      <c r="BX43" s="32">
        <v>44848</v>
      </c>
      <c r="BY43" s="1">
        <v>12</v>
      </c>
      <c r="CA43" s="1" t="s">
        <v>51</v>
      </c>
      <c r="CB43" s="1" t="s">
        <v>51</v>
      </c>
      <c r="CC43" s="32">
        <v>44775</v>
      </c>
      <c r="CD43" s="1">
        <v>60</v>
      </c>
      <c r="CE43" s="1">
        <v>30</v>
      </c>
      <c r="CJ43" s="1" t="s">
        <v>51</v>
      </c>
      <c r="CK43" s="32">
        <v>45337</v>
      </c>
      <c r="CL43" s="1" t="s">
        <v>51</v>
      </c>
      <c r="CM43" s="32">
        <v>45337</v>
      </c>
      <c r="CN43" s="1">
        <v>1.6373824696377499</v>
      </c>
      <c r="CO43" s="1" t="s">
        <v>1537</v>
      </c>
      <c r="CP43" s="1" t="s">
        <v>1566</v>
      </c>
      <c r="CQ43" s="1" t="s">
        <v>1539</v>
      </c>
      <c r="CR43" s="1" t="s">
        <v>1552</v>
      </c>
      <c r="CS43" s="1" t="s">
        <v>1725</v>
      </c>
      <c r="CT43" s="1" t="s">
        <v>1528</v>
      </c>
      <c r="CW43" s="1">
        <v>4</v>
      </c>
      <c r="CY43" s="1" t="s">
        <v>1530</v>
      </c>
      <c r="CZ43" s="1" t="s">
        <v>1531</v>
      </c>
      <c r="DB43" s="1" t="s">
        <v>1525</v>
      </c>
      <c r="DD43" s="1" t="s">
        <v>1525</v>
      </c>
      <c r="DE43" s="1" t="s">
        <v>1525</v>
      </c>
      <c r="DF43" s="1" t="s">
        <v>1525</v>
      </c>
      <c r="DG43" s="1" t="s">
        <v>1525</v>
      </c>
      <c r="DH43" s="1" t="s">
        <v>51</v>
      </c>
      <c r="DI43" s="1" t="s">
        <v>1660</v>
      </c>
      <c r="DJ43" s="32">
        <v>45364</v>
      </c>
      <c r="DK43" s="1" t="s">
        <v>1569</v>
      </c>
      <c r="DM43" s="1" t="s">
        <v>45</v>
      </c>
      <c r="DO43" s="1" t="s">
        <v>51</v>
      </c>
      <c r="DP43" s="1" t="s">
        <v>1726</v>
      </c>
      <c r="DT43" s="32">
        <v>45673</v>
      </c>
      <c r="DU43" s="1" t="s">
        <v>1543</v>
      </c>
      <c r="DV43" s="1">
        <v>30.684680245291201</v>
      </c>
      <c r="DW43" s="1" t="s">
        <v>45</v>
      </c>
      <c r="DY43" s="32">
        <v>45673</v>
      </c>
      <c r="DZ43" s="1" t="s">
        <v>1557</v>
      </c>
    </row>
    <row r="44" spans="1:130" ht="15.75" customHeight="1" x14ac:dyDescent="0.2">
      <c r="A44" s="8" t="s">
        <v>448</v>
      </c>
      <c r="B44" s="32">
        <v>19699</v>
      </c>
      <c r="C44" s="32">
        <v>44754</v>
      </c>
      <c r="D44" s="1">
        <v>68.598145980638407</v>
      </c>
      <c r="E44" s="1" t="s">
        <v>1587</v>
      </c>
      <c r="F44" s="1" t="s">
        <v>1524</v>
      </c>
      <c r="G44" s="1" t="s">
        <v>1574</v>
      </c>
      <c r="H44" s="1" t="s">
        <v>51</v>
      </c>
      <c r="I44" s="1">
        <v>1.61</v>
      </c>
      <c r="J44" s="1" t="s">
        <v>51</v>
      </c>
      <c r="K44" s="1">
        <v>71.7</v>
      </c>
      <c r="L44" s="1">
        <v>27.660969869989501</v>
      </c>
      <c r="M44" s="1" t="s">
        <v>45</v>
      </c>
      <c r="N44" s="1" t="s">
        <v>45</v>
      </c>
      <c r="O44" s="1" t="s">
        <v>45</v>
      </c>
      <c r="P44" s="1" t="s">
        <v>45</v>
      </c>
      <c r="Q44" s="1" t="s">
        <v>45</v>
      </c>
      <c r="R44" s="1" t="s">
        <v>45</v>
      </c>
      <c r="S44" s="1" t="s">
        <v>45</v>
      </c>
      <c r="T44" s="1" t="s">
        <v>45</v>
      </c>
      <c r="U44" s="1" t="s">
        <v>45</v>
      </c>
      <c r="V44" s="1" t="s">
        <v>45</v>
      </c>
      <c r="W44" s="1" t="s">
        <v>45</v>
      </c>
      <c r="X44" s="1" t="s">
        <v>45</v>
      </c>
      <c r="Y44" s="1" t="s">
        <v>45</v>
      </c>
      <c r="Z44" s="1" t="s">
        <v>45</v>
      </c>
      <c r="AA44" s="1" t="s">
        <v>45</v>
      </c>
      <c r="AB44" s="1" t="s">
        <v>45</v>
      </c>
      <c r="AC44" s="1" t="s">
        <v>45</v>
      </c>
      <c r="AD44" s="1" t="s">
        <v>45</v>
      </c>
      <c r="AE44" s="1" t="s">
        <v>45</v>
      </c>
      <c r="AF44" s="32">
        <v>44754</v>
      </c>
      <c r="AG44" s="1">
        <v>68.598145980638407</v>
      </c>
      <c r="AH44" s="1" t="s">
        <v>1558</v>
      </c>
      <c r="AI44" s="1" t="s">
        <v>1618</v>
      </c>
      <c r="AJ44" s="1" t="s">
        <v>45</v>
      </c>
      <c r="AK44" s="1" t="s">
        <v>45</v>
      </c>
      <c r="AL44" s="1" t="s">
        <v>45</v>
      </c>
      <c r="AM44" s="1" t="s">
        <v>51</v>
      </c>
      <c r="AN44" s="1" t="s">
        <v>45</v>
      </c>
      <c r="AO44" s="1" t="s">
        <v>45</v>
      </c>
      <c r="AP44" s="1" t="s">
        <v>45</v>
      </c>
      <c r="AQ44" s="1" t="s">
        <v>51</v>
      </c>
      <c r="AR44" s="1" t="s">
        <v>45</v>
      </c>
      <c r="AT44" s="1" t="s">
        <v>1528</v>
      </c>
      <c r="AW44" s="33" t="s">
        <v>1463</v>
      </c>
      <c r="AX44" s="3" t="s">
        <v>1528</v>
      </c>
      <c r="AY44" s="3"/>
      <c r="AZ44" s="1">
        <v>4</v>
      </c>
      <c r="BB44" s="1" t="s">
        <v>1530</v>
      </c>
      <c r="BC44" s="1" t="s">
        <v>1531</v>
      </c>
      <c r="BE44" s="1" t="s">
        <v>1533</v>
      </c>
      <c r="BF44" s="1" t="s">
        <v>1548</v>
      </c>
      <c r="BG44" s="1" t="s">
        <v>1525</v>
      </c>
      <c r="BH44" s="1" t="s">
        <v>46</v>
      </c>
      <c r="BI44" s="1" t="s">
        <v>1535</v>
      </c>
      <c r="BJ44" s="1" t="s">
        <v>45</v>
      </c>
      <c r="BK44" s="1" t="s">
        <v>1549</v>
      </c>
      <c r="BL44" s="32">
        <v>40736</v>
      </c>
      <c r="BM44" s="1" t="s">
        <v>1727</v>
      </c>
      <c r="BO44" s="1" t="s">
        <v>1537</v>
      </c>
      <c r="BP44" s="1" t="s">
        <v>1551</v>
      </c>
      <c r="BQ44" s="1" t="s">
        <v>1539</v>
      </c>
      <c r="BR44" s="1" t="s">
        <v>1540</v>
      </c>
      <c r="BS44" s="1" t="s">
        <v>106</v>
      </c>
      <c r="BU44" s="1" t="s">
        <v>51</v>
      </c>
      <c r="BW44" s="1" t="s">
        <v>1563</v>
      </c>
      <c r="BX44" s="32">
        <v>45231</v>
      </c>
      <c r="BY44" s="1">
        <v>5</v>
      </c>
      <c r="CA44" s="1" t="s">
        <v>51</v>
      </c>
      <c r="CB44" s="1" t="s">
        <v>51</v>
      </c>
      <c r="CC44" s="32">
        <v>44754</v>
      </c>
      <c r="CD44" s="1">
        <v>60</v>
      </c>
      <c r="CE44" s="1">
        <v>30</v>
      </c>
      <c r="CJ44" s="1" t="s">
        <v>51</v>
      </c>
      <c r="CK44" s="32">
        <v>45029</v>
      </c>
      <c r="CL44" s="1" t="s">
        <v>45</v>
      </c>
      <c r="DH44" s="1" t="s">
        <v>51</v>
      </c>
      <c r="DI44" s="1" t="s">
        <v>1728</v>
      </c>
      <c r="DM44" s="1" t="s">
        <v>45</v>
      </c>
      <c r="DO44" s="1" t="s">
        <v>45</v>
      </c>
      <c r="DQ44" s="1" t="s">
        <v>45</v>
      </c>
      <c r="DT44" s="32">
        <v>45056</v>
      </c>
      <c r="DU44" s="1" t="s">
        <v>1598</v>
      </c>
      <c r="DV44" s="1">
        <v>9.9211563731931598</v>
      </c>
      <c r="DW44" s="1" t="s">
        <v>45</v>
      </c>
      <c r="DY44" s="32">
        <v>45056</v>
      </c>
      <c r="DZ44" s="1" t="s">
        <v>1557</v>
      </c>
    </row>
    <row r="45" spans="1:130" ht="15.75" customHeight="1" x14ac:dyDescent="0.2">
      <c r="A45" s="8" t="s">
        <v>452</v>
      </c>
      <c r="B45" s="32">
        <v>26421</v>
      </c>
      <c r="C45" s="32">
        <v>44755</v>
      </c>
      <c r="D45" s="1">
        <v>50.1967870661273</v>
      </c>
      <c r="E45" s="1" t="s">
        <v>1523</v>
      </c>
      <c r="F45" s="1" t="s">
        <v>1524</v>
      </c>
      <c r="G45" s="1" t="s">
        <v>1574</v>
      </c>
      <c r="H45" s="1" t="s">
        <v>51</v>
      </c>
      <c r="I45" s="1">
        <v>1.7921</v>
      </c>
      <c r="J45" s="1" t="s">
        <v>51</v>
      </c>
      <c r="K45" s="1">
        <v>129</v>
      </c>
      <c r="L45" s="1">
        <v>40.166614729780697</v>
      </c>
      <c r="M45" s="1" t="s">
        <v>45</v>
      </c>
      <c r="N45" s="1" t="s">
        <v>45</v>
      </c>
      <c r="O45" s="1" t="s">
        <v>45</v>
      </c>
      <c r="P45" s="1" t="s">
        <v>45</v>
      </c>
      <c r="Q45" s="1" t="s">
        <v>45</v>
      </c>
      <c r="R45" s="1" t="s">
        <v>45</v>
      </c>
      <c r="S45" s="1" t="s">
        <v>45</v>
      </c>
      <c r="T45" s="1" t="s">
        <v>45</v>
      </c>
      <c r="U45" s="1" t="s">
        <v>45</v>
      </c>
      <c r="V45" s="1" t="s">
        <v>45</v>
      </c>
      <c r="W45" s="1" t="s">
        <v>45</v>
      </c>
      <c r="X45" s="1" t="s">
        <v>45</v>
      </c>
      <c r="Y45" s="1" t="s">
        <v>45</v>
      </c>
      <c r="Z45" s="1" t="s">
        <v>45</v>
      </c>
      <c r="AA45" s="1" t="s">
        <v>45</v>
      </c>
      <c r="AB45" s="1" t="s">
        <v>45</v>
      </c>
      <c r="AC45" s="1" t="s">
        <v>45</v>
      </c>
      <c r="AD45" s="1" t="s">
        <v>45</v>
      </c>
      <c r="AE45" s="1" t="s">
        <v>45</v>
      </c>
      <c r="AF45" s="32">
        <v>44755</v>
      </c>
      <c r="AG45" s="1">
        <v>50.1967870661273</v>
      </c>
      <c r="AH45" s="1" t="s">
        <v>1526</v>
      </c>
      <c r="AI45" s="1" t="s">
        <v>1618</v>
      </c>
      <c r="AJ45" s="1" t="s">
        <v>51</v>
      </c>
      <c r="AK45" s="1" t="s">
        <v>45</v>
      </c>
      <c r="AL45" s="1" t="s">
        <v>45</v>
      </c>
      <c r="AM45" s="1" t="s">
        <v>45</v>
      </c>
      <c r="AN45" s="1" t="s">
        <v>45</v>
      </c>
      <c r="AO45" s="1" t="s">
        <v>45</v>
      </c>
      <c r="AP45" s="1" t="s">
        <v>45</v>
      </c>
      <c r="AQ45" s="1" t="s">
        <v>45</v>
      </c>
      <c r="AR45" s="1" t="s">
        <v>45</v>
      </c>
      <c r="AT45" s="1" t="s">
        <v>1583</v>
      </c>
      <c r="AU45" s="1" t="s">
        <v>1729</v>
      </c>
      <c r="AW45" s="33" t="s">
        <v>1730</v>
      </c>
      <c r="AX45" s="3"/>
      <c r="AY45" s="3"/>
      <c r="AZ45" s="1">
        <v>3</v>
      </c>
      <c r="BB45" s="1" t="s">
        <v>1530</v>
      </c>
      <c r="BC45" s="1" t="s">
        <v>1602</v>
      </c>
      <c r="BE45" s="1" t="s">
        <v>1525</v>
      </c>
      <c r="BG45" s="1" t="s">
        <v>1525</v>
      </c>
      <c r="BH45" s="1" t="s">
        <v>68</v>
      </c>
      <c r="BI45" s="1" t="s">
        <v>1535</v>
      </c>
      <c r="BJ45" s="1" t="s">
        <v>45</v>
      </c>
      <c r="BK45" s="1" t="s">
        <v>1549</v>
      </c>
      <c r="BL45" s="32">
        <v>44755</v>
      </c>
      <c r="BM45" s="1" t="s">
        <v>1731</v>
      </c>
      <c r="BO45" s="1" t="s">
        <v>1537</v>
      </c>
      <c r="BP45" s="1" t="s">
        <v>1551</v>
      </c>
      <c r="BQ45" s="1" t="s">
        <v>1605</v>
      </c>
      <c r="BR45" s="1" t="s">
        <v>1732</v>
      </c>
      <c r="BU45" s="1" t="s">
        <v>51</v>
      </c>
      <c r="BW45" s="1" t="s">
        <v>1542</v>
      </c>
      <c r="CA45" s="1" t="s">
        <v>45</v>
      </c>
      <c r="CB45" s="1" t="s">
        <v>51</v>
      </c>
      <c r="CC45" s="32">
        <v>44895</v>
      </c>
      <c r="CD45" s="1" t="s">
        <v>1672</v>
      </c>
      <c r="CE45" s="1">
        <v>30</v>
      </c>
      <c r="CJ45" s="1" t="s">
        <v>51</v>
      </c>
      <c r="CK45" s="32">
        <v>45160</v>
      </c>
      <c r="CL45" s="1" t="s">
        <v>45</v>
      </c>
      <c r="DH45" s="1" t="s">
        <v>45</v>
      </c>
      <c r="DM45" s="1" t="s">
        <v>45</v>
      </c>
      <c r="DO45" s="1" t="s">
        <v>45</v>
      </c>
      <c r="DQ45" s="1" t="s">
        <v>45</v>
      </c>
      <c r="DS45" s="1" t="s">
        <v>1733</v>
      </c>
      <c r="DT45" s="32">
        <v>45160</v>
      </c>
      <c r="DU45" s="1" t="s">
        <v>1598</v>
      </c>
      <c r="DV45" s="1">
        <v>13.304862023653</v>
      </c>
      <c r="DY45" s="32">
        <v>45160</v>
      </c>
      <c r="DZ45" s="1" t="s">
        <v>1557</v>
      </c>
    </row>
    <row r="46" spans="1:130" ht="15.75" customHeight="1" x14ac:dyDescent="0.2">
      <c r="A46" s="8" t="s">
        <v>460</v>
      </c>
      <c r="B46" s="32">
        <v>26044</v>
      </c>
      <c r="C46" s="32">
        <v>44755</v>
      </c>
      <c r="D46" s="1">
        <v>51.228863928303298</v>
      </c>
      <c r="E46" s="1" t="s">
        <v>1523</v>
      </c>
      <c r="F46" s="1" t="s">
        <v>1524</v>
      </c>
      <c r="G46" s="1" t="s">
        <v>1545</v>
      </c>
      <c r="H46" s="1" t="s">
        <v>51</v>
      </c>
      <c r="I46" s="1">
        <v>1.84</v>
      </c>
      <c r="J46" s="1" t="s">
        <v>51</v>
      </c>
      <c r="K46" s="1">
        <v>109</v>
      </c>
      <c r="L46" s="1">
        <v>32.195179584120901</v>
      </c>
      <c r="M46" s="1" t="s">
        <v>45</v>
      </c>
      <c r="N46" s="1" t="s">
        <v>45</v>
      </c>
      <c r="O46" s="1" t="s">
        <v>45</v>
      </c>
      <c r="P46" s="1" t="s">
        <v>45</v>
      </c>
      <c r="Q46" s="1" t="s">
        <v>45</v>
      </c>
      <c r="R46" s="1" t="s">
        <v>45</v>
      </c>
      <c r="S46" s="1" t="s">
        <v>45</v>
      </c>
      <c r="T46" s="1" t="s">
        <v>45</v>
      </c>
      <c r="U46" s="1" t="s">
        <v>45</v>
      </c>
      <c r="V46" s="1" t="s">
        <v>45</v>
      </c>
      <c r="W46" s="1" t="s">
        <v>45</v>
      </c>
      <c r="X46" s="1" t="s">
        <v>45</v>
      </c>
      <c r="Y46" s="1" t="s">
        <v>45</v>
      </c>
      <c r="Z46" s="1" t="s">
        <v>45</v>
      </c>
      <c r="AA46" s="1" t="s">
        <v>45</v>
      </c>
      <c r="AB46" s="1" t="s">
        <v>45</v>
      </c>
      <c r="AC46" s="1" t="s">
        <v>45</v>
      </c>
      <c r="AD46" s="1" t="s">
        <v>45</v>
      </c>
      <c r="AE46" s="1" t="s">
        <v>45</v>
      </c>
      <c r="AF46" s="32">
        <v>44755</v>
      </c>
      <c r="AG46" s="1">
        <v>51.228863928303298</v>
      </c>
      <c r="AH46" s="1" t="s">
        <v>1526</v>
      </c>
      <c r="AI46" s="1" t="s">
        <v>1527</v>
      </c>
      <c r="AJ46" s="1" t="s">
        <v>45</v>
      </c>
      <c r="AK46" s="1" t="s">
        <v>51</v>
      </c>
      <c r="AL46" s="1" t="s">
        <v>45</v>
      </c>
      <c r="AM46" s="1" t="s">
        <v>45</v>
      </c>
      <c r="AN46" s="1" t="s">
        <v>45</v>
      </c>
      <c r="AO46" s="1" t="s">
        <v>45</v>
      </c>
      <c r="AP46" s="1" t="s">
        <v>45</v>
      </c>
      <c r="AQ46" s="1" t="s">
        <v>45</v>
      </c>
      <c r="AR46" s="1" t="s">
        <v>45</v>
      </c>
      <c r="AT46" s="1" t="s">
        <v>1528</v>
      </c>
      <c r="AW46" s="33" t="s">
        <v>1463</v>
      </c>
      <c r="AX46" s="3" t="s">
        <v>1528</v>
      </c>
      <c r="AY46" s="3"/>
      <c r="AZ46" s="1">
        <v>4</v>
      </c>
      <c r="BB46" s="1" t="s">
        <v>1530</v>
      </c>
      <c r="BC46" s="1" t="s">
        <v>1531</v>
      </c>
      <c r="BE46" s="1" t="s">
        <v>1603</v>
      </c>
      <c r="BF46" s="1" t="s">
        <v>1548</v>
      </c>
      <c r="BH46" s="1" t="s">
        <v>46</v>
      </c>
      <c r="BI46" s="1" t="s">
        <v>1535</v>
      </c>
      <c r="BJ46" s="1" t="s">
        <v>45</v>
      </c>
      <c r="BK46" s="1" t="s">
        <v>1549</v>
      </c>
      <c r="BL46" s="32">
        <v>44755</v>
      </c>
      <c r="BM46" s="1" t="s">
        <v>1734</v>
      </c>
      <c r="BO46" s="1" t="s">
        <v>1537</v>
      </c>
      <c r="BP46" s="1" t="s">
        <v>1551</v>
      </c>
      <c r="BQ46" s="1" t="s">
        <v>1539</v>
      </c>
      <c r="BR46" s="1" t="s">
        <v>1552</v>
      </c>
      <c r="BS46" s="1" t="s">
        <v>50</v>
      </c>
      <c r="BU46" s="1" t="s">
        <v>51</v>
      </c>
      <c r="BW46" s="1" t="s">
        <v>1563</v>
      </c>
      <c r="BY46" s="1">
        <v>3</v>
      </c>
      <c r="CA46" s="1" t="s">
        <v>51</v>
      </c>
      <c r="CB46" s="1" t="s">
        <v>51</v>
      </c>
      <c r="CD46" s="1" t="s">
        <v>1672</v>
      </c>
      <c r="CE46" s="1">
        <v>30</v>
      </c>
      <c r="CI46" s="1" t="s">
        <v>1735</v>
      </c>
      <c r="CJ46" s="1" t="s">
        <v>45</v>
      </c>
      <c r="DH46" s="1" t="s">
        <v>45</v>
      </c>
      <c r="DM46" s="1" t="s">
        <v>45</v>
      </c>
      <c r="DO46" s="1" t="s">
        <v>45</v>
      </c>
      <c r="DQ46" s="1" t="s">
        <v>45</v>
      </c>
      <c r="DT46" s="32">
        <v>44956</v>
      </c>
      <c r="DU46" s="1" t="s">
        <v>1598</v>
      </c>
      <c r="DV46" s="1">
        <v>6.6045225580376696</v>
      </c>
      <c r="DW46" s="1" t="s">
        <v>45</v>
      </c>
      <c r="DY46" s="32">
        <v>44956</v>
      </c>
      <c r="DZ46" s="1" t="s">
        <v>1557</v>
      </c>
    </row>
    <row r="47" spans="1:130" ht="15.75" customHeight="1" x14ac:dyDescent="0.2">
      <c r="A47" s="8" t="s">
        <v>465</v>
      </c>
      <c r="B47" s="32">
        <v>29649</v>
      </c>
      <c r="C47" s="32">
        <v>44642</v>
      </c>
      <c r="D47" s="1">
        <v>41.049325676320002</v>
      </c>
      <c r="E47" s="1" t="s">
        <v>1523</v>
      </c>
      <c r="F47" s="1" t="s">
        <v>1524</v>
      </c>
      <c r="G47" s="1" t="s">
        <v>1545</v>
      </c>
      <c r="H47" s="1" t="s">
        <v>51</v>
      </c>
      <c r="I47" s="1">
        <v>1.956</v>
      </c>
      <c r="J47" s="1" t="s">
        <v>51</v>
      </c>
      <c r="K47" s="1">
        <v>109.3</v>
      </c>
      <c r="L47" s="1">
        <v>28.568172598809799</v>
      </c>
      <c r="M47" s="1" t="s">
        <v>45</v>
      </c>
      <c r="N47" s="1" t="s">
        <v>45</v>
      </c>
      <c r="O47" s="1" t="s">
        <v>45</v>
      </c>
      <c r="P47" s="1" t="s">
        <v>45</v>
      </c>
      <c r="Q47" s="1" t="s">
        <v>45</v>
      </c>
      <c r="R47" s="1" t="s">
        <v>45</v>
      </c>
      <c r="S47" s="1" t="s">
        <v>45</v>
      </c>
      <c r="T47" s="1" t="s">
        <v>45</v>
      </c>
      <c r="U47" s="1" t="s">
        <v>45</v>
      </c>
      <c r="V47" s="1" t="s">
        <v>45</v>
      </c>
      <c r="W47" s="1" t="s">
        <v>45</v>
      </c>
      <c r="X47" s="1" t="s">
        <v>45</v>
      </c>
      <c r="Y47" s="1" t="s">
        <v>45</v>
      </c>
      <c r="Z47" s="1" t="s">
        <v>45</v>
      </c>
      <c r="AA47" s="1" t="s">
        <v>45</v>
      </c>
      <c r="AB47" s="1" t="s">
        <v>45</v>
      </c>
      <c r="AC47" s="1" t="s">
        <v>45</v>
      </c>
      <c r="AD47" s="1" t="s">
        <v>45</v>
      </c>
      <c r="AE47" s="1" t="s">
        <v>45</v>
      </c>
      <c r="AF47" s="32">
        <v>44642</v>
      </c>
      <c r="AG47" s="1">
        <v>41.049325676320002</v>
      </c>
      <c r="AH47" s="1" t="s">
        <v>1558</v>
      </c>
      <c r="AI47" s="1" t="s">
        <v>1527</v>
      </c>
      <c r="AJ47" s="1" t="s">
        <v>45</v>
      </c>
      <c r="AK47" s="1" t="s">
        <v>51</v>
      </c>
      <c r="AL47" s="1" t="s">
        <v>45</v>
      </c>
      <c r="AM47" s="1" t="s">
        <v>45</v>
      </c>
      <c r="AN47" s="1" t="s">
        <v>45</v>
      </c>
      <c r="AO47" s="1" t="s">
        <v>45</v>
      </c>
      <c r="AP47" s="1" t="s">
        <v>45</v>
      </c>
      <c r="AQ47" s="1" t="s">
        <v>45</v>
      </c>
      <c r="AR47" s="1" t="s">
        <v>45</v>
      </c>
      <c r="AT47" s="1" t="s">
        <v>1560</v>
      </c>
      <c r="AW47" s="33" t="s">
        <v>1463</v>
      </c>
      <c r="AX47" s="3" t="s">
        <v>1560</v>
      </c>
      <c r="AY47" s="3"/>
      <c r="AZ47" s="1">
        <v>4</v>
      </c>
      <c r="BB47" s="1" t="s">
        <v>1567</v>
      </c>
      <c r="BE47" s="1" t="s">
        <v>1603</v>
      </c>
      <c r="BG47" s="1" t="s">
        <v>1525</v>
      </c>
      <c r="BH47" s="1" t="s">
        <v>46</v>
      </c>
      <c r="BI47" s="1" t="s">
        <v>1599</v>
      </c>
      <c r="BJ47" s="1" t="s">
        <v>45</v>
      </c>
      <c r="BK47" s="1" t="s">
        <v>1549</v>
      </c>
      <c r="BL47" s="32">
        <v>44642</v>
      </c>
      <c r="BM47" s="1" t="s">
        <v>1562</v>
      </c>
      <c r="BO47" s="1" t="s">
        <v>1537</v>
      </c>
      <c r="BP47" s="1" t="s">
        <v>1551</v>
      </c>
      <c r="BQ47" s="1" t="s">
        <v>1605</v>
      </c>
      <c r="BR47" s="1" t="s">
        <v>1540</v>
      </c>
      <c r="BS47" s="1" t="s">
        <v>1736</v>
      </c>
      <c r="BU47" s="1" t="s">
        <v>51</v>
      </c>
      <c r="BW47" s="1" t="s">
        <v>1563</v>
      </c>
      <c r="CA47" s="1" t="s">
        <v>51</v>
      </c>
      <c r="CB47" s="1" t="s">
        <v>51</v>
      </c>
      <c r="CI47" s="1" t="s">
        <v>1737</v>
      </c>
      <c r="CJ47" s="1" t="s">
        <v>45</v>
      </c>
      <c r="DH47" s="1" t="s">
        <v>45</v>
      </c>
      <c r="DM47" s="1" t="s">
        <v>45</v>
      </c>
      <c r="DO47" s="1" t="s">
        <v>45</v>
      </c>
      <c r="DQ47" s="1" t="s">
        <v>45</v>
      </c>
      <c r="DT47" s="32">
        <v>45202</v>
      </c>
      <c r="DU47" s="1" t="s">
        <v>1543</v>
      </c>
      <c r="DV47" s="1">
        <v>18.666699999999999</v>
      </c>
      <c r="DW47" s="1" t="s">
        <v>45</v>
      </c>
      <c r="DY47" s="32">
        <v>44801</v>
      </c>
      <c r="DZ47" s="1" t="s">
        <v>1557</v>
      </c>
    </row>
    <row r="48" spans="1:130" ht="15.75" customHeight="1" x14ac:dyDescent="0.2">
      <c r="A48" s="8" t="s">
        <v>154</v>
      </c>
      <c r="B48" s="32">
        <v>35227</v>
      </c>
      <c r="C48" s="32">
        <v>44761</v>
      </c>
      <c r="D48" s="1">
        <v>26.103205404628401</v>
      </c>
      <c r="E48" s="1" t="s">
        <v>1587</v>
      </c>
      <c r="F48" s="1" t="s">
        <v>1524</v>
      </c>
      <c r="G48" s="1" t="s">
        <v>1574</v>
      </c>
      <c r="H48" s="1" t="s">
        <v>51</v>
      </c>
      <c r="I48" s="1">
        <v>1.67</v>
      </c>
      <c r="J48" s="1" t="s">
        <v>51</v>
      </c>
      <c r="K48" s="1">
        <v>115.4</v>
      </c>
      <c r="L48" s="1">
        <v>41.378321201907497</v>
      </c>
      <c r="M48" s="1" t="s">
        <v>45</v>
      </c>
      <c r="N48" s="1" t="s">
        <v>45</v>
      </c>
      <c r="O48" s="1" t="s">
        <v>45</v>
      </c>
      <c r="P48" s="1" t="s">
        <v>45</v>
      </c>
      <c r="Q48" s="1" t="s">
        <v>45</v>
      </c>
      <c r="R48" s="1" t="s">
        <v>45</v>
      </c>
      <c r="S48" s="1" t="s">
        <v>45</v>
      </c>
      <c r="T48" s="1" t="s">
        <v>45</v>
      </c>
      <c r="U48" s="1" t="s">
        <v>45</v>
      </c>
      <c r="V48" s="1" t="s">
        <v>45</v>
      </c>
      <c r="W48" s="1" t="s">
        <v>45</v>
      </c>
      <c r="X48" s="1" t="s">
        <v>45</v>
      </c>
      <c r="Y48" s="1" t="s">
        <v>45</v>
      </c>
      <c r="Z48" s="1" t="s">
        <v>45</v>
      </c>
      <c r="AA48" s="1" t="s">
        <v>45</v>
      </c>
      <c r="AB48" s="1" t="s">
        <v>45</v>
      </c>
      <c r="AC48" s="1" t="s">
        <v>45</v>
      </c>
      <c r="AD48" s="1" t="s">
        <v>45</v>
      </c>
      <c r="AE48" s="1" t="s">
        <v>45</v>
      </c>
      <c r="AF48" s="32">
        <v>44761</v>
      </c>
      <c r="AG48" s="1">
        <v>26.103205404628401</v>
      </c>
      <c r="AH48" s="1" t="s">
        <v>1558</v>
      </c>
      <c r="AI48" s="1" t="s">
        <v>1527</v>
      </c>
      <c r="AJ48" s="1" t="s">
        <v>45</v>
      </c>
      <c r="AK48" s="1" t="s">
        <v>51</v>
      </c>
      <c r="AL48" s="1" t="s">
        <v>45</v>
      </c>
      <c r="AM48" s="1" t="s">
        <v>45</v>
      </c>
      <c r="AN48" s="1" t="s">
        <v>45</v>
      </c>
      <c r="AO48" s="1" t="s">
        <v>45</v>
      </c>
      <c r="AP48" s="1" t="s">
        <v>45</v>
      </c>
      <c r="AQ48" s="1" t="s">
        <v>45</v>
      </c>
      <c r="AR48" s="1" t="s">
        <v>45</v>
      </c>
      <c r="AT48" s="1" t="s">
        <v>1601</v>
      </c>
      <c r="AW48" s="33" t="s">
        <v>1464</v>
      </c>
      <c r="AX48" s="3"/>
      <c r="AY48" s="3" t="s">
        <v>1601</v>
      </c>
      <c r="AZ48" s="1">
        <v>2</v>
      </c>
      <c r="BB48" s="1" t="s">
        <v>1567</v>
      </c>
      <c r="BC48" s="1" t="s">
        <v>1602</v>
      </c>
      <c r="BE48" s="1" t="s">
        <v>1525</v>
      </c>
      <c r="BG48" s="1" t="s">
        <v>45</v>
      </c>
      <c r="BH48" s="1" t="s">
        <v>46</v>
      </c>
      <c r="BI48" s="1" t="s">
        <v>1535</v>
      </c>
      <c r="BJ48" s="1" t="s">
        <v>45</v>
      </c>
      <c r="BK48" s="1" t="s">
        <v>1549</v>
      </c>
      <c r="BL48" s="32">
        <v>44761</v>
      </c>
      <c r="BM48" s="1" t="s">
        <v>1738</v>
      </c>
      <c r="BO48" s="1" t="s">
        <v>1537</v>
      </c>
      <c r="BP48" s="1" t="s">
        <v>1551</v>
      </c>
      <c r="BQ48" s="1" t="s">
        <v>1539</v>
      </c>
      <c r="BR48" s="1" t="s">
        <v>1552</v>
      </c>
      <c r="BS48" s="1" t="s">
        <v>43</v>
      </c>
      <c r="BU48" s="1" t="s">
        <v>51</v>
      </c>
      <c r="BW48" s="1" t="s">
        <v>1542</v>
      </c>
      <c r="CA48" s="1" t="s">
        <v>45</v>
      </c>
      <c r="CB48" s="1" t="s">
        <v>45</v>
      </c>
      <c r="CJ48" s="1" t="s">
        <v>45</v>
      </c>
      <c r="DH48" s="1" t="s">
        <v>45</v>
      </c>
      <c r="DM48" s="1" t="s">
        <v>45</v>
      </c>
      <c r="DO48" s="1" t="s">
        <v>45</v>
      </c>
      <c r="DQ48" s="1" t="s">
        <v>45</v>
      </c>
      <c r="DT48" s="32">
        <v>45646</v>
      </c>
      <c r="DU48" s="1" t="s">
        <v>1598</v>
      </c>
      <c r="DV48" s="1">
        <v>29.074956197985099</v>
      </c>
      <c r="DW48" s="1" t="s">
        <v>45</v>
      </c>
      <c r="DY48" s="32">
        <v>45646</v>
      </c>
      <c r="DZ48" s="1" t="s">
        <v>1557</v>
      </c>
    </row>
    <row r="49" spans="1:130" ht="15.75" customHeight="1" x14ac:dyDescent="0.2">
      <c r="A49" s="8" t="s">
        <v>159</v>
      </c>
      <c r="B49" s="32">
        <v>16618</v>
      </c>
      <c r="C49" s="32">
        <v>44764</v>
      </c>
      <c r="D49" s="1">
        <v>77.061130618698499</v>
      </c>
      <c r="E49" s="1" t="s">
        <v>1523</v>
      </c>
      <c r="F49" s="1" t="s">
        <v>1524</v>
      </c>
      <c r="G49" s="1" t="s">
        <v>1574</v>
      </c>
      <c r="H49" s="1" t="s">
        <v>51</v>
      </c>
      <c r="I49" s="1">
        <v>1.63</v>
      </c>
      <c r="J49" s="1" t="s">
        <v>51</v>
      </c>
      <c r="K49" s="1">
        <v>84.2</v>
      </c>
      <c r="L49" s="1">
        <v>31.691068538522298</v>
      </c>
      <c r="M49" s="1" t="s">
        <v>45</v>
      </c>
      <c r="N49" s="1" t="s">
        <v>45</v>
      </c>
      <c r="O49" s="1" t="s">
        <v>45</v>
      </c>
      <c r="P49" s="1" t="s">
        <v>45</v>
      </c>
      <c r="Q49" s="1" t="s">
        <v>45</v>
      </c>
      <c r="R49" s="1" t="s">
        <v>45</v>
      </c>
      <c r="S49" s="1" t="s">
        <v>45</v>
      </c>
      <c r="T49" s="1" t="s">
        <v>45</v>
      </c>
      <c r="U49" s="1" t="s">
        <v>45</v>
      </c>
      <c r="V49" s="1" t="s">
        <v>45</v>
      </c>
      <c r="W49" s="1" t="s">
        <v>45</v>
      </c>
      <c r="X49" s="1" t="s">
        <v>45</v>
      </c>
      <c r="Y49" s="1" t="s">
        <v>45</v>
      </c>
      <c r="Z49" s="1" t="s">
        <v>45</v>
      </c>
      <c r="AA49" s="1" t="s">
        <v>45</v>
      </c>
      <c r="AB49" s="1" t="s">
        <v>45</v>
      </c>
      <c r="AC49" s="1" t="s">
        <v>45</v>
      </c>
      <c r="AD49" s="1" t="s">
        <v>45</v>
      </c>
      <c r="AE49" s="1" t="s">
        <v>45</v>
      </c>
      <c r="AF49" s="32">
        <v>44764</v>
      </c>
      <c r="AG49" s="1">
        <v>77.061130618698499</v>
      </c>
      <c r="AH49" s="1" t="s">
        <v>1625</v>
      </c>
      <c r="AI49" s="1" t="s">
        <v>1527</v>
      </c>
      <c r="AJ49" s="1" t="s">
        <v>45</v>
      </c>
      <c r="AK49" s="1" t="s">
        <v>45</v>
      </c>
      <c r="AL49" s="1" t="s">
        <v>51</v>
      </c>
      <c r="AM49" s="1" t="s">
        <v>45</v>
      </c>
      <c r="AN49" s="1" t="s">
        <v>51</v>
      </c>
      <c r="AO49" s="1" t="s">
        <v>45</v>
      </c>
      <c r="AP49" s="1" t="s">
        <v>45</v>
      </c>
      <c r="AQ49" s="1" t="s">
        <v>45</v>
      </c>
      <c r="AR49" s="1" t="s">
        <v>45</v>
      </c>
      <c r="AT49" s="1" t="s">
        <v>1528</v>
      </c>
      <c r="AW49" s="33" t="s">
        <v>1463</v>
      </c>
      <c r="AX49" s="3" t="s">
        <v>1528</v>
      </c>
      <c r="AY49" s="3"/>
      <c r="AZ49" s="1">
        <v>4</v>
      </c>
      <c r="BB49" s="1" t="s">
        <v>1530</v>
      </c>
      <c r="BC49" s="1" t="s">
        <v>1531</v>
      </c>
      <c r="BE49" s="1" t="s">
        <v>1603</v>
      </c>
      <c r="BF49" s="1" t="s">
        <v>1548</v>
      </c>
      <c r="BG49" s="1" t="s">
        <v>45</v>
      </c>
      <c r="BH49" s="1" t="s">
        <v>46</v>
      </c>
      <c r="BI49" s="1" t="s">
        <v>1599</v>
      </c>
      <c r="BJ49" s="1" t="s">
        <v>45</v>
      </c>
      <c r="BK49" s="1" t="s">
        <v>1549</v>
      </c>
      <c r="BL49" s="32">
        <v>44764</v>
      </c>
      <c r="BM49" s="1" t="s">
        <v>1739</v>
      </c>
      <c r="BO49" s="1" t="s">
        <v>1537</v>
      </c>
      <c r="BP49" s="1" t="s">
        <v>1551</v>
      </c>
      <c r="BQ49" s="1" t="s">
        <v>1605</v>
      </c>
      <c r="BR49" s="1" t="s">
        <v>1740</v>
      </c>
      <c r="BS49" s="1" t="s">
        <v>1741</v>
      </c>
      <c r="BU49" s="1" t="s">
        <v>51</v>
      </c>
      <c r="BW49" s="1" t="s">
        <v>1542</v>
      </c>
      <c r="CA49" s="1" t="s">
        <v>45</v>
      </c>
      <c r="CB49" s="1" t="s">
        <v>45</v>
      </c>
      <c r="CI49" s="1" t="s">
        <v>1701</v>
      </c>
      <c r="CJ49" s="1" t="s">
        <v>45</v>
      </c>
      <c r="DH49" s="1" t="s">
        <v>45</v>
      </c>
      <c r="DM49" s="1" t="s">
        <v>45</v>
      </c>
      <c r="DO49" s="1" t="s">
        <v>45</v>
      </c>
      <c r="DQ49" s="1" t="s">
        <v>45</v>
      </c>
      <c r="DT49" s="32">
        <v>44771</v>
      </c>
      <c r="DU49" s="1" t="s">
        <v>1556</v>
      </c>
      <c r="DV49" s="1">
        <v>0.22996057818659599</v>
      </c>
      <c r="DW49" s="1" t="s">
        <v>45</v>
      </c>
      <c r="DY49" s="32">
        <v>44771</v>
      </c>
      <c r="DZ49" s="1" t="s">
        <v>1557</v>
      </c>
    </row>
    <row r="50" spans="1:130" ht="15.75" customHeight="1" x14ac:dyDescent="0.2">
      <c r="A50" s="8" t="s">
        <v>164</v>
      </c>
      <c r="B50" s="32">
        <v>29172</v>
      </c>
      <c r="C50" s="32">
        <v>39140</v>
      </c>
      <c r="D50" s="1">
        <v>27.291457045661399</v>
      </c>
      <c r="E50" s="1" t="s">
        <v>1587</v>
      </c>
      <c r="F50" s="1" t="s">
        <v>1524</v>
      </c>
      <c r="G50" s="1" t="s">
        <v>1574</v>
      </c>
      <c r="H50" s="1" t="s">
        <v>51</v>
      </c>
      <c r="I50" s="1">
        <v>1.7</v>
      </c>
      <c r="J50" s="1" t="s">
        <v>51</v>
      </c>
      <c r="K50" s="1">
        <v>72.599999999999994</v>
      </c>
      <c r="L50" s="1">
        <v>25.121107266435899</v>
      </c>
      <c r="M50" s="1" t="s">
        <v>45</v>
      </c>
      <c r="N50" s="1" t="s">
        <v>45</v>
      </c>
      <c r="O50" s="1" t="s">
        <v>45</v>
      </c>
      <c r="P50" s="1" t="s">
        <v>45</v>
      </c>
      <c r="Q50" s="1" t="s">
        <v>45</v>
      </c>
      <c r="R50" s="1" t="s">
        <v>45</v>
      </c>
      <c r="S50" s="1" t="s">
        <v>45</v>
      </c>
      <c r="T50" s="1" t="s">
        <v>45</v>
      </c>
      <c r="U50" s="1" t="s">
        <v>45</v>
      </c>
      <c r="V50" s="1" t="s">
        <v>45</v>
      </c>
      <c r="W50" s="1" t="s">
        <v>45</v>
      </c>
      <c r="X50" s="1" t="s">
        <v>45</v>
      </c>
      <c r="Y50" s="1" t="s">
        <v>45</v>
      </c>
      <c r="Z50" s="1" t="s">
        <v>45</v>
      </c>
      <c r="AA50" s="1" t="s">
        <v>45</v>
      </c>
      <c r="AB50" s="1" t="s">
        <v>45</v>
      </c>
      <c r="AC50" s="1" t="s">
        <v>45</v>
      </c>
      <c r="AD50" s="1" t="s">
        <v>45</v>
      </c>
      <c r="AE50" s="1" t="s">
        <v>45</v>
      </c>
      <c r="AF50" s="32">
        <v>39140</v>
      </c>
      <c r="AG50" s="1">
        <v>27.291457045661399</v>
      </c>
      <c r="AH50" s="1" t="s">
        <v>1558</v>
      </c>
      <c r="AI50" s="1" t="s">
        <v>1527</v>
      </c>
      <c r="AJ50" s="1" t="s">
        <v>45</v>
      </c>
      <c r="AK50" s="1" t="s">
        <v>45</v>
      </c>
      <c r="AL50" s="1" t="s">
        <v>45</v>
      </c>
      <c r="AM50" s="1" t="s">
        <v>45</v>
      </c>
      <c r="AN50" s="1" t="s">
        <v>45</v>
      </c>
      <c r="AO50" s="1" t="s">
        <v>45</v>
      </c>
      <c r="AP50" s="1" t="s">
        <v>45</v>
      </c>
      <c r="AQ50" s="1" t="s">
        <v>45</v>
      </c>
      <c r="AR50" s="1" t="s">
        <v>51</v>
      </c>
      <c r="AS50" s="1" t="s">
        <v>1608</v>
      </c>
      <c r="AT50" s="1" t="s">
        <v>1601</v>
      </c>
      <c r="AW50" s="33" t="s">
        <v>1463</v>
      </c>
      <c r="AX50" s="3" t="s">
        <v>1601</v>
      </c>
      <c r="AY50" s="3"/>
      <c r="AZ50" s="1">
        <v>3</v>
      </c>
      <c r="BB50" s="1" t="s">
        <v>1567</v>
      </c>
      <c r="BC50" s="1" t="s">
        <v>1602</v>
      </c>
      <c r="BE50" s="1" t="s">
        <v>1603</v>
      </c>
      <c r="BF50" s="1" t="s">
        <v>1548</v>
      </c>
      <c r="BG50" s="1" t="s">
        <v>45</v>
      </c>
      <c r="BH50" s="1" t="s">
        <v>46</v>
      </c>
      <c r="BI50" s="1" t="s">
        <v>1535</v>
      </c>
      <c r="BJ50" s="1" t="s">
        <v>1525</v>
      </c>
      <c r="BK50" s="1" t="s">
        <v>1549</v>
      </c>
      <c r="BL50" s="32">
        <v>39140</v>
      </c>
      <c r="BM50" s="1" t="s">
        <v>1742</v>
      </c>
      <c r="BO50" s="1" t="s">
        <v>1537</v>
      </c>
      <c r="BP50" s="1" t="s">
        <v>1551</v>
      </c>
      <c r="BQ50" s="1" t="s">
        <v>1539</v>
      </c>
      <c r="BR50" s="1" t="s">
        <v>1552</v>
      </c>
      <c r="BS50" s="1" t="s">
        <v>50</v>
      </c>
      <c r="BU50" s="1" t="s">
        <v>51</v>
      </c>
      <c r="BW50" s="1" t="s">
        <v>1563</v>
      </c>
      <c r="BX50" s="32">
        <v>39757</v>
      </c>
      <c r="BY50" s="1">
        <v>9</v>
      </c>
      <c r="CA50" s="1" t="s">
        <v>45</v>
      </c>
      <c r="CB50" s="1" t="s">
        <v>45</v>
      </c>
      <c r="CJ50" s="1" t="s">
        <v>51</v>
      </c>
      <c r="CK50" s="32">
        <v>41186</v>
      </c>
      <c r="CL50" s="1" t="s">
        <v>45</v>
      </c>
      <c r="DH50" s="1" t="s">
        <v>51</v>
      </c>
      <c r="DI50" s="1" t="s">
        <v>1743</v>
      </c>
      <c r="DJ50" s="32">
        <v>41186</v>
      </c>
      <c r="DK50" s="1" t="s">
        <v>1569</v>
      </c>
      <c r="DM50" s="1" t="s">
        <v>45</v>
      </c>
      <c r="DO50" s="1" t="s">
        <v>51</v>
      </c>
      <c r="DP50" s="1" t="s">
        <v>1744</v>
      </c>
      <c r="DQ50" s="1" t="s">
        <v>51</v>
      </c>
      <c r="DR50" s="1" t="s">
        <v>1745</v>
      </c>
      <c r="DS50" s="1" t="s">
        <v>1746</v>
      </c>
      <c r="DT50" s="32">
        <v>45547</v>
      </c>
      <c r="DU50" s="1" t="s">
        <v>1543</v>
      </c>
      <c r="DV50" s="1">
        <v>210.47826325010899</v>
      </c>
      <c r="DW50" s="1" t="s">
        <v>45</v>
      </c>
      <c r="DY50" s="32">
        <v>45547</v>
      </c>
      <c r="DZ50" s="1" t="s">
        <v>1557</v>
      </c>
    </row>
    <row r="51" spans="1:130" ht="15.75" customHeight="1" x14ac:dyDescent="0.2">
      <c r="A51" s="8" t="s">
        <v>170</v>
      </c>
      <c r="B51" s="32">
        <v>27750</v>
      </c>
      <c r="C51" s="32">
        <v>42005</v>
      </c>
      <c r="D51" s="1">
        <v>39.028864384621102</v>
      </c>
      <c r="E51" s="1" t="s">
        <v>1523</v>
      </c>
      <c r="F51" s="1" t="s">
        <v>1524</v>
      </c>
      <c r="G51" s="1" t="s">
        <v>1574</v>
      </c>
      <c r="H51" s="1" t="s">
        <v>51</v>
      </c>
      <c r="I51" s="1">
        <v>1.57</v>
      </c>
      <c r="J51" s="1" t="s">
        <v>51</v>
      </c>
      <c r="K51" s="1">
        <v>58.5</v>
      </c>
      <c r="L51" s="1">
        <v>23.733214329181699</v>
      </c>
      <c r="M51" s="1" t="s">
        <v>45</v>
      </c>
      <c r="N51" s="1" t="s">
        <v>45</v>
      </c>
      <c r="O51" s="1" t="s">
        <v>45</v>
      </c>
      <c r="P51" s="1" t="s">
        <v>45</v>
      </c>
      <c r="Q51" s="1" t="s">
        <v>45</v>
      </c>
      <c r="R51" s="1" t="s">
        <v>45</v>
      </c>
      <c r="S51" s="1" t="s">
        <v>45</v>
      </c>
      <c r="T51" s="1" t="s">
        <v>45</v>
      </c>
      <c r="U51" s="1" t="s">
        <v>45</v>
      </c>
      <c r="V51" s="1" t="s">
        <v>45</v>
      </c>
      <c r="W51" s="1" t="s">
        <v>45</v>
      </c>
      <c r="X51" s="1" t="s">
        <v>45</v>
      </c>
      <c r="Y51" s="1" t="s">
        <v>45</v>
      </c>
      <c r="Z51" s="1" t="s">
        <v>45</v>
      </c>
      <c r="AA51" s="1" t="s">
        <v>45</v>
      </c>
      <c r="AB51" s="1" t="s">
        <v>45</v>
      </c>
      <c r="AC51" s="1" t="s">
        <v>45</v>
      </c>
      <c r="AD51" s="1" t="s">
        <v>45</v>
      </c>
      <c r="AE51" s="1" t="s">
        <v>45</v>
      </c>
      <c r="AF51" s="32">
        <v>42005</v>
      </c>
      <c r="AG51" s="1">
        <v>39.028864384621102</v>
      </c>
      <c r="AH51" s="1" t="s">
        <v>1558</v>
      </c>
      <c r="AI51" s="1" t="s">
        <v>1527</v>
      </c>
      <c r="AJ51" s="1" t="s">
        <v>45</v>
      </c>
      <c r="AK51" s="1" t="s">
        <v>45</v>
      </c>
      <c r="AL51" s="1" t="s">
        <v>45</v>
      </c>
      <c r="AM51" s="1" t="s">
        <v>45</v>
      </c>
      <c r="AN51" s="1" t="s">
        <v>45</v>
      </c>
      <c r="AO51" s="1" t="s">
        <v>45</v>
      </c>
      <c r="AP51" s="1" t="s">
        <v>45</v>
      </c>
      <c r="AQ51" s="1" t="s">
        <v>45</v>
      </c>
      <c r="AR51" s="1" t="s">
        <v>51</v>
      </c>
      <c r="AS51" s="1" t="s">
        <v>1608</v>
      </c>
      <c r="AT51" s="1" t="s">
        <v>1560</v>
      </c>
      <c r="AW51" s="33" t="s">
        <v>1463</v>
      </c>
      <c r="AX51" s="3" t="s">
        <v>1560</v>
      </c>
      <c r="AY51" s="3"/>
      <c r="AZ51" s="1">
        <v>3</v>
      </c>
      <c r="BB51" s="1" t="s">
        <v>1567</v>
      </c>
      <c r="BC51" s="1" t="s">
        <v>1531</v>
      </c>
      <c r="BE51" s="1" t="s">
        <v>1603</v>
      </c>
      <c r="BF51" s="1" t="s">
        <v>1548</v>
      </c>
      <c r="BG51" s="1" t="s">
        <v>1525</v>
      </c>
      <c r="BH51" s="1" t="s">
        <v>46</v>
      </c>
      <c r="BI51" s="1" t="s">
        <v>1599</v>
      </c>
      <c r="BJ51" s="1" t="s">
        <v>45</v>
      </c>
      <c r="BK51" s="1" t="s">
        <v>1549</v>
      </c>
      <c r="BL51" s="32">
        <v>42005</v>
      </c>
      <c r="BM51" s="1" t="s">
        <v>1562</v>
      </c>
      <c r="BO51" s="1" t="s">
        <v>1537</v>
      </c>
      <c r="BP51" s="1" t="s">
        <v>1551</v>
      </c>
      <c r="BQ51" s="1" t="s">
        <v>1539</v>
      </c>
      <c r="BR51" s="1" t="s">
        <v>1540</v>
      </c>
      <c r="BS51" s="1" t="s">
        <v>50</v>
      </c>
      <c r="BU51" s="1" t="s">
        <v>51</v>
      </c>
      <c r="BW51" s="1" t="s">
        <v>1542</v>
      </c>
      <c r="CA51" s="1" t="s">
        <v>45</v>
      </c>
      <c r="CB51" s="1" t="s">
        <v>51</v>
      </c>
      <c r="CC51" s="32">
        <v>42005</v>
      </c>
      <c r="CD51" s="1" t="s">
        <v>1562</v>
      </c>
      <c r="CE51" s="1" t="s">
        <v>1562</v>
      </c>
      <c r="CF51" s="1" t="s">
        <v>1747</v>
      </c>
      <c r="CJ51" s="1" t="s">
        <v>51</v>
      </c>
      <c r="CK51" s="32">
        <v>44775</v>
      </c>
      <c r="CL51" s="1" t="s">
        <v>51</v>
      </c>
      <c r="CM51" s="32">
        <v>44775</v>
      </c>
      <c r="CN51" s="1">
        <v>7.5838883298995396</v>
      </c>
      <c r="CO51" s="1" t="s">
        <v>1537</v>
      </c>
      <c r="CP51" s="1" t="s">
        <v>1566</v>
      </c>
      <c r="CQ51" s="1" t="s">
        <v>1539</v>
      </c>
      <c r="CR51" s="1" t="s">
        <v>1540</v>
      </c>
      <c r="CS51" s="1" t="s">
        <v>50</v>
      </c>
      <c r="CT51" s="1" t="s">
        <v>1560</v>
      </c>
      <c r="CW51" s="1">
        <v>3</v>
      </c>
      <c r="DB51" s="1" t="s">
        <v>1603</v>
      </c>
      <c r="DC51" s="1" t="s">
        <v>1548</v>
      </c>
      <c r="DD51" s="1" t="s">
        <v>1525</v>
      </c>
      <c r="DE51" s="1" t="s">
        <v>46</v>
      </c>
      <c r="DF51" s="1" t="s">
        <v>68</v>
      </c>
      <c r="DG51" s="1" t="s">
        <v>45</v>
      </c>
      <c r="DH51" s="1" t="s">
        <v>51</v>
      </c>
      <c r="DI51" s="1" t="s">
        <v>1748</v>
      </c>
      <c r="DJ51" s="32">
        <v>44799</v>
      </c>
      <c r="DM51" s="1" t="s">
        <v>45</v>
      </c>
      <c r="DO51" s="1" t="s">
        <v>45</v>
      </c>
      <c r="DQ51" s="1" t="s">
        <v>45</v>
      </c>
      <c r="DT51" s="32">
        <v>45681</v>
      </c>
      <c r="DU51" s="1" t="s">
        <v>1598</v>
      </c>
      <c r="DV51" s="1">
        <v>120.762155059132</v>
      </c>
      <c r="DW51" s="1" t="s">
        <v>45</v>
      </c>
      <c r="DY51" s="32">
        <v>45681</v>
      </c>
      <c r="DZ51" s="1" t="s">
        <v>1557</v>
      </c>
    </row>
    <row r="52" spans="1:130" ht="15.75" customHeight="1" x14ac:dyDescent="0.2">
      <c r="A52" s="8" t="s">
        <v>175</v>
      </c>
      <c r="B52" s="32">
        <v>27065</v>
      </c>
      <c r="C52" s="32">
        <v>44770</v>
      </c>
      <c r="D52" s="1">
        <v>48.474529479272903</v>
      </c>
      <c r="E52" s="1" t="s">
        <v>1587</v>
      </c>
      <c r="F52" s="1" t="s">
        <v>1524</v>
      </c>
      <c r="G52" s="1" t="s">
        <v>1525</v>
      </c>
      <c r="H52" s="1" t="s">
        <v>51</v>
      </c>
      <c r="I52" s="1">
        <v>1.6259999999999999</v>
      </c>
      <c r="J52" s="1" t="s">
        <v>51</v>
      </c>
      <c r="K52" s="1">
        <v>100</v>
      </c>
      <c r="L52" s="1">
        <v>37.823256461346901</v>
      </c>
      <c r="M52" s="1" t="s">
        <v>45</v>
      </c>
      <c r="N52" s="1" t="s">
        <v>45</v>
      </c>
      <c r="O52" s="1" t="s">
        <v>45</v>
      </c>
      <c r="P52" s="1" t="s">
        <v>45</v>
      </c>
      <c r="Q52" s="1" t="s">
        <v>45</v>
      </c>
      <c r="R52" s="1" t="s">
        <v>45</v>
      </c>
      <c r="S52" s="1" t="s">
        <v>45</v>
      </c>
      <c r="T52" s="1" t="s">
        <v>45</v>
      </c>
      <c r="U52" s="1" t="s">
        <v>45</v>
      </c>
      <c r="V52" s="1" t="s">
        <v>45</v>
      </c>
      <c r="W52" s="1" t="s">
        <v>45</v>
      </c>
      <c r="X52" s="1" t="s">
        <v>45</v>
      </c>
      <c r="Y52" s="1" t="s">
        <v>45</v>
      </c>
      <c r="Z52" s="1" t="s">
        <v>45</v>
      </c>
      <c r="AA52" s="1" t="s">
        <v>45</v>
      </c>
      <c r="AB52" s="1" t="s">
        <v>45</v>
      </c>
      <c r="AC52" s="1" t="s">
        <v>45</v>
      </c>
      <c r="AD52" s="1" t="s">
        <v>45</v>
      </c>
      <c r="AE52" s="1" t="s">
        <v>45</v>
      </c>
      <c r="AF52" s="32">
        <v>44770</v>
      </c>
      <c r="AG52" s="1">
        <v>48.474529479272903</v>
      </c>
      <c r="AH52" s="1" t="s">
        <v>1526</v>
      </c>
      <c r="AI52" s="1" t="s">
        <v>1527</v>
      </c>
      <c r="AJ52" s="1" t="s">
        <v>45</v>
      </c>
      <c r="AK52" s="1" t="s">
        <v>51</v>
      </c>
      <c r="AL52" s="1" t="s">
        <v>45</v>
      </c>
      <c r="AM52" s="1" t="s">
        <v>45</v>
      </c>
      <c r="AN52" s="1" t="s">
        <v>45</v>
      </c>
      <c r="AO52" s="1" t="s">
        <v>45</v>
      </c>
      <c r="AP52" s="1" t="s">
        <v>45</v>
      </c>
      <c r="AQ52" s="1" t="s">
        <v>45</v>
      </c>
      <c r="AR52" s="1" t="s">
        <v>45</v>
      </c>
      <c r="AT52" s="1" t="s">
        <v>1546</v>
      </c>
      <c r="AV52" s="1" t="s">
        <v>1749</v>
      </c>
      <c r="AW52" s="33" t="s">
        <v>1463</v>
      </c>
      <c r="AX52" s="33" t="s">
        <v>1547</v>
      </c>
      <c r="AY52" s="3"/>
      <c r="AZ52" s="1">
        <v>3</v>
      </c>
      <c r="BB52" s="1" t="s">
        <v>1530</v>
      </c>
      <c r="BC52" s="1" t="s">
        <v>1561</v>
      </c>
      <c r="BE52" s="1" t="s">
        <v>1525</v>
      </c>
      <c r="BG52" s="1" t="s">
        <v>45</v>
      </c>
      <c r="BH52" s="1" t="s">
        <v>46</v>
      </c>
      <c r="BI52" s="1" t="s">
        <v>1535</v>
      </c>
      <c r="BJ52" s="1" t="s">
        <v>1525</v>
      </c>
      <c r="BK52" s="1" t="s">
        <v>1549</v>
      </c>
      <c r="BL52" s="32">
        <v>44770</v>
      </c>
      <c r="BM52" s="1" t="s">
        <v>1750</v>
      </c>
      <c r="BO52" s="1" t="s">
        <v>1537</v>
      </c>
      <c r="BP52" s="1" t="s">
        <v>1551</v>
      </c>
      <c r="BQ52" s="1" t="s">
        <v>1539</v>
      </c>
      <c r="BR52" s="1" t="s">
        <v>1552</v>
      </c>
      <c r="BS52" s="1" t="s">
        <v>1736</v>
      </c>
      <c r="BU52" s="1" t="s">
        <v>51</v>
      </c>
      <c r="BW52" s="1" t="s">
        <v>1563</v>
      </c>
      <c r="BX52" s="32">
        <v>44895</v>
      </c>
      <c r="BY52" s="1">
        <v>12</v>
      </c>
      <c r="CA52" s="1" t="s">
        <v>51</v>
      </c>
      <c r="CB52" s="1" t="s">
        <v>51</v>
      </c>
      <c r="CC52" s="32">
        <v>44812</v>
      </c>
      <c r="CD52" s="1">
        <v>60</v>
      </c>
      <c r="CE52" s="1">
        <v>30</v>
      </c>
      <c r="CJ52" s="1" t="s">
        <v>45</v>
      </c>
      <c r="DH52" s="1" t="s">
        <v>45</v>
      </c>
      <c r="DM52" s="1" t="s">
        <v>45</v>
      </c>
      <c r="DO52" s="1" t="s">
        <v>45</v>
      </c>
      <c r="DQ52" s="1" t="s">
        <v>45</v>
      </c>
      <c r="DT52" s="32">
        <v>45707</v>
      </c>
      <c r="DU52" s="1" t="s">
        <v>1598</v>
      </c>
      <c r="DV52" s="1">
        <v>30.783234778799802</v>
      </c>
      <c r="DW52" s="1" t="s">
        <v>45</v>
      </c>
      <c r="DY52" s="32">
        <v>45707</v>
      </c>
      <c r="DZ52" s="1" t="s">
        <v>1557</v>
      </c>
    </row>
    <row r="53" spans="1:130" ht="15.75" customHeight="1" x14ac:dyDescent="0.2">
      <c r="A53" s="8" t="s">
        <v>214</v>
      </c>
      <c r="B53" s="32">
        <v>29528</v>
      </c>
      <c r="C53" s="32">
        <v>44796</v>
      </c>
      <c r="D53" s="1">
        <v>41.802250103241903</v>
      </c>
      <c r="E53" s="1" t="s">
        <v>1523</v>
      </c>
      <c r="F53" s="1" t="s">
        <v>1524</v>
      </c>
      <c r="G53" s="1" t="s">
        <v>1545</v>
      </c>
      <c r="H53" s="1" t="s">
        <v>51</v>
      </c>
      <c r="I53" s="1">
        <v>1.9450000000000001</v>
      </c>
      <c r="J53" s="1" t="s">
        <v>51</v>
      </c>
      <c r="K53" s="1">
        <v>66.599999999999994</v>
      </c>
      <c r="L53" s="1">
        <v>17.604958994455401</v>
      </c>
      <c r="M53" s="1" t="s">
        <v>45</v>
      </c>
      <c r="N53" s="1" t="s">
        <v>45</v>
      </c>
      <c r="O53" s="1" t="s">
        <v>45</v>
      </c>
      <c r="P53" s="1" t="s">
        <v>45</v>
      </c>
      <c r="Q53" s="1" t="s">
        <v>45</v>
      </c>
      <c r="R53" s="1" t="s">
        <v>45</v>
      </c>
      <c r="S53" s="1" t="s">
        <v>45</v>
      </c>
      <c r="T53" s="1" t="s">
        <v>45</v>
      </c>
      <c r="U53" s="1" t="s">
        <v>45</v>
      </c>
      <c r="V53" s="1" t="s">
        <v>45</v>
      </c>
      <c r="W53" s="1" t="s">
        <v>45</v>
      </c>
      <c r="X53" s="1" t="s">
        <v>45</v>
      </c>
      <c r="Y53" s="1" t="s">
        <v>45</v>
      </c>
      <c r="Z53" s="1" t="s">
        <v>45</v>
      </c>
      <c r="AA53" s="1" t="s">
        <v>45</v>
      </c>
      <c r="AB53" s="1" t="s">
        <v>45</v>
      </c>
      <c r="AC53" s="1" t="s">
        <v>45</v>
      </c>
      <c r="AD53" s="1" t="s">
        <v>45</v>
      </c>
      <c r="AE53" s="1" t="s">
        <v>45</v>
      </c>
      <c r="AF53" s="32">
        <v>44796</v>
      </c>
      <c r="AG53" s="1">
        <v>41.802250103241903</v>
      </c>
      <c r="AH53" s="1" t="s">
        <v>1558</v>
      </c>
      <c r="AI53" s="1" t="s">
        <v>1527</v>
      </c>
      <c r="AJ53" s="1" t="s">
        <v>45</v>
      </c>
      <c r="AK53" s="1" t="s">
        <v>51</v>
      </c>
      <c r="AL53" s="1" t="s">
        <v>45</v>
      </c>
      <c r="AM53" s="1" t="s">
        <v>45</v>
      </c>
      <c r="AN53" s="1" t="s">
        <v>45</v>
      </c>
      <c r="AO53" s="1" t="s">
        <v>45</v>
      </c>
      <c r="AP53" s="1" t="s">
        <v>45</v>
      </c>
      <c r="AQ53" s="1" t="s">
        <v>45</v>
      </c>
      <c r="AR53" s="1" t="s">
        <v>45</v>
      </c>
      <c r="AT53" s="1" t="s">
        <v>1560</v>
      </c>
      <c r="AW53" s="33" t="s">
        <v>1464</v>
      </c>
      <c r="AX53" s="3"/>
      <c r="AY53" s="3" t="s">
        <v>1560</v>
      </c>
      <c r="AZ53" s="1">
        <v>2</v>
      </c>
      <c r="BB53" s="1" t="s">
        <v>1567</v>
      </c>
      <c r="BC53" s="1" t="s">
        <v>1531</v>
      </c>
      <c r="BE53" s="1" t="s">
        <v>1603</v>
      </c>
      <c r="BH53" s="1" t="s">
        <v>46</v>
      </c>
      <c r="BI53" s="1" t="s">
        <v>1599</v>
      </c>
      <c r="BJ53" s="1" t="s">
        <v>45</v>
      </c>
      <c r="BK53" s="1" t="s">
        <v>1549</v>
      </c>
      <c r="BL53" s="32">
        <v>44796</v>
      </c>
      <c r="BM53" s="1" t="s">
        <v>1751</v>
      </c>
      <c r="BO53" s="1" t="s">
        <v>1537</v>
      </c>
      <c r="BP53" s="1" t="s">
        <v>1551</v>
      </c>
      <c r="BQ53" s="1" t="s">
        <v>1539</v>
      </c>
      <c r="BR53" s="1" t="s">
        <v>1552</v>
      </c>
      <c r="BS53" s="1" t="s">
        <v>43</v>
      </c>
      <c r="BU53" s="1" t="s">
        <v>51</v>
      </c>
      <c r="BW53" s="1" t="s">
        <v>1542</v>
      </c>
      <c r="CA53" s="1" t="s">
        <v>45</v>
      </c>
      <c r="CB53" s="1" t="s">
        <v>45</v>
      </c>
      <c r="CJ53" s="1" t="s">
        <v>45</v>
      </c>
      <c r="DH53" s="1" t="s">
        <v>45</v>
      </c>
      <c r="DM53" s="1" t="s">
        <v>45</v>
      </c>
      <c r="DO53" s="1" t="s">
        <v>45</v>
      </c>
      <c r="DQ53" s="1" t="s">
        <v>45</v>
      </c>
      <c r="DT53" s="32">
        <v>45033</v>
      </c>
      <c r="DU53" s="1" t="s">
        <v>1598</v>
      </c>
      <c r="DV53" s="1">
        <v>7.7858081471747704</v>
      </c>
      <c r="DW53" s="1" t="s">
        <v>51</v>
      </c>
      <c r="DX53" s="1" t="s">
        <v>1752</v>
      </c>
      <c r="DY53" s="32">
        <v>45033</v>
      </c>
      <c r="DZ53" s="1" t="s">
        <v>1557</v>
      </c>
    </row>
    <row r="54" spans="1:130" ht="15.75" customHeight="1" x14ac:dyDescent="0.2">
      <c r="A54" s="8" t="s">
        <v>218</v>
      </c>
      <c r="B54" s="32">
        <v>35673</v>
      </c>
      <c r="C54" s="32">
        <v>37622</v>
      </c>
      <c r="D54" s="1">
        <v>5.3362948360792197</v>
      </c>
      <c r="E54" s="1" t="s">
        <v>1523</v>
      </c>
      <c r="F54" s="1" t="s">
        <v>1524</v>
      </c>
      <c r="G54" s="1" t="s">
        <v>1574</v>
      </c>
      <c r="H54" s="1" t="s">
        <v>51</v>
      </c>
      <c r="I54" s="1">
        <v>1.7450000000000001</v>
      </c>
      <c r="J54" s="1" t="s">
        <v>51</v>
      </c>
      <c r="K54" s="1">
        <v>101.1</v>
      </c>
      <c r="L54" s="1">
        <v>33.2016978514133</v>
      </c>
      <c r="M54" s="1" t="s">
        <v>45</v>
      </c>
      <c r="N54" s="1" t="s">
        <v>45</v>
      </c>
      <c r="O54" s="1" t="s">
        <v>45</v>
      </c>
      <c r="P54" s="1" t="s">
        <v>45</v>
      </c>
      <c r="Q54" s="1" t="s">
        <v>45</v>
      </c>
      <c r="R54" s="1" t="s">
        <v>45</v>
      </c>
      <c r="S54" s="1" t="s">
        <v>45</v>
      </c>
      <c r="T54" s="1" t="s">
        <v>45</v>
      </c>
      <c r="U54" s="1" t="s">
        <v>45</v>
      </c>
      <c r="V54" s="1" t="s">
        <v>45</v>
      </c>
      <c r="W54" s="1" t="s">
        <v>45</v>
      </c>
      <c r="X54" s="1" t="s">
        <v>45</v>
      </c>
      <c r="Y54" s="1" t="s">
        <v>45</v>
      </c>
      <c r="Z54" s="1" t="s">
        <v>45</v>
      </c>
      <c r="AA54" s="1" t="s">
        <v>45</v>
      </c>
      <c r="AB54" s="1" t="s">
        <v>45</v>
      </c>
      <c r="AC54" s="1" t="s">
        <v>45</v>
      </c>
      <c r="AD54" s="1" t="s">
        <v>45</v>
      </c>
      <c r="AE54" s="1" t="s">
        <v>45</v>
      </c>
      <c r="AF54" s="32">
        <v>37622</v>
      </c>
      <c r="AG54" s="1">
        <v>5.3362948360792197</v>
      </c>
      <c r="AH54" s="1" t="s">
        <v>1558</v>
      </c>
      <c r="AI54" s="1" t="s">
        <v>1527</v>
      </c>
      <c r="AJ54" s="1" t="s">
        <v>45</v>
      </c>
      <c r="AK54" s="1" t="s">
        <v>45</v>
      </c>
      <c r="AL54" s="1" t="s">
        <v>45</v>
      </c>
      <c r="AM54" s="1" t="s">
        <v>45</v>
      </c>
      <c r="AN54" s="1" t="s">
        <v>45</v>
      </c>
      <c r="AO54" s="1" t="s">
        <v>45</v>
      </c>
      <c r="AP54" s="1" t="s">
        <v>45</v>
      </c>
      <c r="AQ54" s="1" t="s">
        <v>45</v>
      </c>
      <c r="AR54" s="1" t="s">
        <v>51</v>
      </c>
      <c r="AS54" s="1" t="s">
        <v>1559</v>
      </c>
      <c r="AT54" s="1" t="s">
        <v>1583</v>
      </c>
      <c r="AU54" s="1" t="s">
        <v>1668</v>
      </c>
      <c r="AW54" s="33" t="s">
        <v>1464</v>
      </c>
      <c r="AX54" s="3"/>
      <c r="AY54" s="33" t="s">
        <v>1668</v>
      </c>
      <c r="AZ54" s="1">
        <v>1</v>
      </c>
      <c r="BB54" s="1" t="s">
        <v>1530</v>
      </c>
      <c r="BC54" s="1" t="s">
        <v>1561</v>
      </c>
      <c r="BE54" s="1" t="s">
        <v>1525</v>
      </c>
      <c r="BG54" s="1" t="s">
        <v>1525</v>
      </c>
      <c r="BH54" s="1" t="s">
        <v>68</v>
      </c>
      <c r="BI54" s="1" t="s">
        <v>1525</v>
      </c>
      <c r="BJ54" s="1" t="s">
        <v>45</v>
      </c>
      <c r="BK54" s="1" t="s">
        <v>1549</v>
      </c>
      <c r="BL54" s="32">
        <v>37622</v>
      </c>
      <c r="BM54" s="1" t="s">
        <v>1753</v>
      </c>
      <c r="BO54" s="1" t="s">
        <v>1537</v>
      </c>
      <c r="BP54" s="1" t="s">
        <v>1551</v>
      </c>
      <c r="BQ54" s="1" t="s">
        <v>1539</v>
      </c>
      <c r="BR54" s="1" t="s">
        <v>1552</v>
      </c>
      <c r="BS54" s="1" t="s">
        <v>1658</v>
      </c>
      <c r="BU54" s="1" t="s">
        <v>51</v>
      </c>
      <c r="BW54" s="1" t="s">
        <v>1542</v>
      </c>
      <c r="CA54" s="1" t="s">
        <v>45</v>
      </c>
      <c r="CB54" s="1" t="s">
        <v>45</v>
      </c>
      <c r="CG54" s="1" t="s">
        <v>1754</v>
      </c>
      <c r="CJ54" s="1" t="s">
        <v>51</v>
      </c>
      <c r="CK54" s="32">
        <v>39022</v>
      </c>
      <c r="CL54" s="1" t="s">
        <v>51</v>
      </c>
      <c r="CM54" s="32">
        <v>39022</v>
      </c>
      <c r="CN54" s="1">
        <v>3.8330698097839102</v>
      </c>
      <c r="CO54" s="1" t="s">
        <v>1537</v>
      </c>
      <c r="CP54" s="1" t="s">
        <v>1566</v>
      </c>
      <c r="CQ54" s="1" t="s">
        <v>1539</v>
      </c>
      <c r="CR54" s="1" t="s">
        <v>1552</v>
      </c>
      <c r="CS54" s="1" t="s">
        <v>1658</v>
      </c>
      <c r="CT54" s="1" t="s">
        <v>1583</v>
      </c>
      <c r="CU54" s="1" t="s">
        <v>1667</v>
      </c>
      <c r="CW54" s="1">
        <v>1</v>
      </c>
      <c r="CY54" s="1" t="s">
        <v>1530</v>
      </c>
      <c r="CZ54" s="1" t="s">
        <v>1561</v>
      </c>
      <c r="DB54" s="1" t="s">
        <v>1525</v>
      </c>
      <c r="DD54" s="1" t="s">
        <v>1525</v>
      </c>
      <c r="DE54" s="1" t="s">
        <v>68</v>
      </c>
      <c r="DF54" s="1" t="s">
        <v>1525</v>
      </c>
      <c r="DG54" s="1" t="s">
        <v>45</v>
      </c>
      <c r="DH54" s="1" t="s">
        <v>51</v>
      </c>
      <c r="DI54" s="1" t="s">
        <v>1755</v>
      </c>
      <c r="DJ54" s="32">
        <v>40603</v>
      </c>
      <c r="DK54" s="1" t="s">
        <v>1569</v>
      </c>
      <c r="DM54" s="1" t="s">
        <v>45</v>
      </c>
      <c r="DO54" s="1" t="s">
        <v>51</v>
      </c>
      <c r="DP54" s="1" t="s">
        <v>1756</v>
      </c>
      <c r="DQ54" s="1" t="s">
        <v>45</v>
      </c>
      <c r="DS54" s="1" t="s">
        <v>1757</v>
      </c>
      <c r="DT54" s="32">
        <v>45706</v>
      </c>
      <c r="DU54" s="1" t="s">
        <v>1598</v>
      </c>
      <c r="DV54" s="1">
        <v>265.57161629434898</v>
      </c>
      <c r="DW54" s="1" t="s">
        <v>45</v>
      </c>
      <c r="DY54" s="32">
        <v>45706</v>
      </c>
      <c r="DZ54" s="1" t="s">
        <v>1557</v>
      </c>
    </row>
    <row r="55" spans="1:130" ht="15.75" customHeight="1" x14ac:dyDescent="0.2">
      <c r="A55" s="8" t="s">
        <v>520</v>
      </c>
      <c r="B55" s="32">
        <v>37772</v>
      </c>
      <c r="C55" s="32">
        <v>44805</v>
      </c>
      <c r="D55" s="1">
        <v>19.255699980150101</v>
      </c>
      <c r="E55" s="1" t="s">
        <v>1523</v>
      </c>
      <c r="F55" s="1" t="s">
        <v>1524</v>
      </c>
      <c r="G55" s="1" t="s">
        <v>1574</v>
      </c>
      <c r="H55" s="1" t="s">
        <v>51</v>
      </c>
      <c r="I55" s="1">
        <v>1.7549999999999999</v>
      </c>
      <c r="J55" s="1" t="s">
        <v>51</v>
      </c>
      <c r="K55" s="1">
        <v>80.2</v>
      </c>
      <c r="L55" s="1">
        <v>26.038749685473299</v>
      </c>
      <c r="M55" s="1" t="s">
        <v>45</v>
      </c>
      <c r="N55" s="1" t="s">
        <v>45</v>
      </c>
      <c r="O55" s="1" t="s">
        <v>45</v>
      </c>
      <c r="P55" s="1" t="s">
        <v>45</v>
      </c>
      <c r="Q55" s="1" t="s">
        <v>45</v>
      </c>
      <c r="R55" s="1" t="s">
        <v>45</v>
      </c>
      <c r="S55" s="1" t="s">
        <v>45</v>
      </c>
      <c r="T55" s="1" t="s">
        <v>45</v>
      </c>
      <c r="U55" s="1" t="s">
        <v>45</v>
      </c>
      <c r="V55" s="1" t="s">
        <v>45</v>
      </c>
      <c r="W55" s="1" t="s">
        <v>45</v>
      </c>
      <c r="X55" s="1" t="s">
        <v>45</v>
      </c>
      <c r="Y55" s="1" t="s">
        <v>45</v>
      </c>
      <c r="Z55" s="1" t="s">
        <v>45</v>
      </c>
      <c r="AA55" s="1" t="s">
        <v>45</v>
      </c>
      <c r="AB55" s="1" t="s">
        <v>45</v>
      </c>
      <c r="AC55" s="1" t="s">
        <v>45</v>
      </c>
      <c r="AD55" s="1" t="s">
        <v>45</v>
      </c>
      <c r="AE55" s="1" t="s">
        <v>45</v>
      </c>
      <c r="AF55" s="32">
        <v>44805</v>
      </c>
      <c r="AG55" s="1">
        <v>19.255699980150101</v>
      </c>
      <c r="AH55" s="1" t="s">
        <v>1526</v>
      </c>
      <c r="AI55" s="1" t="s">
        <v>1527</v>
      </c>
      <c r="AJ55" s="1" t="s">
        <v>45</v>
      </c>
      <c r="AK55" s="1" t="s">
        <v>45</v>
      </c>
      <c r="AL55" s="1" t="s">
        <v>45</v>
      </c>
      <c r="AM55" s="1" t="s">
        <v>51</v>
      </c>
      <c r="AN55" s="1" t="s">
        <v>45</v>
      </c>
      <c r="AO55" s="1" t="s">
        <v>45</v>
      </c>
      <c r="AP55" s="1" t="s">
        <v>45</v>
      </c>
      <c r="AQ55" s="1" t="s">
        <v>45</v>
      </c>
      <c r="AR55" s="1" t="s">
        <v>45</v>
      </c>
      <c r="AT55" s="1" t="s">
        <v>1528</v>
      </c>
      <c r="AW55" s="33" t="s">
        <v>1463</v>
      </c>
      <c r="AX55" s="3" t="s">
        <v>1528</v>
      </c>
      <c r="AY55" s="3"/>
      <c r="AZ55" s="1">
        <v>4</v>
      </c>
      <c r="BB55" s="1" t="s">
        <v>1530</v>
      </c>
      <c r="BC55" s="1" t="s">
        <v>1531</v>
      </c>
      <c r="BE55" s="1" t="s">
        <v>1533</v>
      </c>
      <c r="BF55" s="1" t="s">
        <v>1758</v>
      </c>
      <c r="BG55" s="1" t="s">
        <v>1525</v>
      </c>
      <c r="BH55" s="1" t="s">
        <v>46</v>
      </c>
      <c r="BI55" s="1" t="s">
        <v>1535</v>
      </c>
      <c r="BJ55" s="1" t="s">
        <v>45</v>
      </c>
      <c r="BK55" s="1" t="s">
        <v>1549</v>
      </c>
      <c r="BL55" s="32">
        <v>44805</v>
      </c>
      <c r="BM55" s="1" t="s">
        <v>1759</v>
      </c>
      <c r="BO55" s="1" t="s">
        <v>1537</v>
      </c>
      <c r="BP55" s="1" t="s">
        <v>1551</v>
      </c>
      <c r="BQ55" s="1" t="s">
        <v>1539</v>
      </c>
      <c r="BR55" s="1" t="s">
        <v>1562</v>
      </c>
      <c r="BS55" s="1" t="s">
        <v>1760</v>
      </c>
      <c r="BU55" s="1" t="s">
        <v>51</v>
      </c>
      <c r="BW55" s="1" t="s">
        <v>1563</v>
      </c>
      <c r="BX55" s="32">
        <v>44861</v>
      </c>
      <c r="BY55" s="1">
        <v>6</v>
      </c>
      <c r="CA55" s="1" t="s">
        <v>51</v>
      </c>
      <c r="CB55" s="1" t="s">
        <v>51</v>
      </c>
      <c r="CC55" s="32">
        <v>44839</v>
      </c>
      <c r="CD55" s="1">
        <v>54</v>
      </c>
      <c r="CE55" s="1">
        <v>30</v>
      </c>
      <c r="CJ55" s="1" t="s">
        <v>51</v>
      </c>
      <c r="CK55" s="32">
        <v>45086</v>
      </c>
      <c r="CL55" s="1" t="s">
        <v>45</v>
      </c>
      <c r="DH55" s="1" t="s">
        <v>51</v>
      </c>
      <c r="DI55" s="1" t="s">
        <v>1630</v>
      </c>
      <c r="DJ55" s="32">
        <v>45086</v>
      </c>
      <c r="DK55" s="1" t="s">
        <v>1569</v>
      </c>
      <c r="DM55" s="1" t="s">
        <v>51</v>
      </c>
      <c r="DN55" s="1" t="s">
        <v>1761</v>
      </c>
      <c r="DS55" s="1" t="s">
        <v>1762</v>
      </c>
      <c r="DT55" s="32">
        <v>45308</v>
      </c>
      <c r="DU55" s="1" t="s">
        <v>1543</v>
      </c>
      <c r="DV55" s="1">
        <v>16.5256789312308</v>
      </c>
      <c r="DW55" s="1" t="s">
        <v>45</v>
      </c>
      <c r="DY55" s="32">
        <v>45308</v>
      </c>
      <c r="DZ55" s="1" t="s">
        <v>1557</v>
      </c>
    </row>
    <row r="56" spans="1:130" ht="15.75" customHeight="1" x14ac:dyDescent="0.2">
      <c r="A56" s="8" t="s">
        <v>224</v>
      </c>
      <c r="B56" s="32">
        <v>19740</v>
      </c>
      <c r="C56" s="32">
        <v>44806</v>
      </c>
      <c r="D56" s="1">
        <v>68.628262957715293</v>
      </c>
      <c r="E56" s="1" t="s">
        <v>1523</v>
      </c>
      <c r="F56" s="1" t="s">
        <v>1524</v>
      </c>
      <c r="G56" s="1" t="s">
        <v>1545</v>
      </c>
      <c r="H56" s="1" t="s">
        <v>51</v>
      </c>
      <c r="I56" s="1">
        <v>1.8</v>
      </c>
      <c r="J56" s="1" t="s">
        <v>51</v>
      </c>
      <c r="K56" s="1">
        <v>138.6</v>
      </c>
      <c r="L56" s="1">
        <v>42.7777777777777</v>
      </c>
      <c r="M56" s="1" t="s">
        <v>45</v>
      </c>
      <c r="N56" s="1" t="s">
        <v>45</v>
      </c>
      <c r="O56" s="1" t="s">
        <v>45</v>
      </c>
      <c r="P56" s="1" t="s">
        <v>45</v>
      </c>
      <c r="Q56" s="1" t="s">
        <v>45</v>
      </c>
      <c r="R56" s="1" t="s">
        <v>45</v>
      </c>
      <c r="S56" s="1" t="s">
        <v>45</v>
      </c>
      <c r="T56" s="1" t="s">
        <v>45</v>
      </c>
      <c r="U56" s="1" t="s">
        <v>45</v>
      </c>
      <c r="V56" s="1" t="s">
        <v>45</v>
      </c>
      <c r="W56" s="1" t="s">
        <v>45</v>
      </c>
      <c r="X56" s="1" t="s">
        <v>45</v>
      </c>
      <c r="Y56" s="1" t="s">
        <v>45</v>
      </c>
      <c r="Z56" s="1" t="s">
        <v>45</v>
      </c>
      <c r="AA56" s="1" t="s">
        <v>45</v>
      </c>
      <c r="AB56" s="1" t="s">
        <v>45</v>
      </c>
      <c r="AC56" s="1" t="s">
        <v>45</v>
      </c>
      <c r="AD56" s="1" t="s">
        <v>45</v>
      </c>
      <c r="AE56" s="1" t="s">
        <v>45</v>
      </c>
      <c r="AF56" s="32">
        <v>44806</v>
      </c>
      <c r="AG56" s="1">
        <v>68.628262957715293</v>
      </c>
      <c r="AH56" s="1" t="s">
        <v>1558</v>
      </c>
      <c r="AI56" s="1" t="s">
        <v>1527</v>
      </c>
      <c r="AJ56" s="1" t="s">
        <v>45</v>
      </c>
      <c r="AK56" s="1" t="s">
        <v>45</v>
      </c>
      <c r="AL56" s="1" t="s">
        <v>45</v>
      </c>
      <c r="AM56" s="1" t="s">
        <v>51</v>
      </c>
      <c r="AN56" s="1" t="s">
        <v>45</v>
      </c>
      <c r="AO56" s="1" t="s">
        <v>45</v>
      </c>
      <c r="AP56" s="1" t="s">
        <v>45</v>
      </c>
      <c r="AQ56" s="1" t="s">
        <v>45</v>
      </c>
      <c r="AR56" s="1" t="s">
        <v>45</v>
      </c>
      <c r="AT56" s="1" t="s">
        <v>1601</v>
      </c>
      <c r="AW56" s="33" t="s">
        <v>1464</v>
      </c>
      <c r="AX56" s="3"/>
      <c r="AY56" s="3" t="s">
        <v>1601</v>
      </c>
      <c r="AZ56" s="1">
        <v>2</v>
      </c>
      <c r="BB56" s="1" t="s">
        <v>1567</v>
      </c>
      <c r="BC56" s="1" t="s">
        <v>1602</v>
      </c>
      <c r="BE56" s="1" t="s">
        <v>1533</v>
      </c>
      <c r="BG56" s="1" t="s">
        <v>45</v>
      </c>
      <c r="BH56" s="1" t="s">
        <v>46</v>
      </c>
      <c r="BI56" s="1" t="s">
        <v>1535</v>
      </c>
      <c r="BJ56" s="1" t="s">
        <v>45</v>
      </c>
      <c r="BK56" s="1" t="s">
        <v>1549</v>
      </c>
      <c r="BL56" s="32">
        <v>44806</v>
      </c>
      <c r="BM56" s="1" t="s">
        <v>1763</v>
      </c>
      <c r="BO56" s="1" t="s">
        <v>1537</v>
      </c>
      <c r="BP56" s="1" t="s">
        <v>1551</v>
      </c>
      <c r="BQ56" s="1" t="s">
        <v>1539</v>
      </c>
      <c r="BR56" s="1" t="s">
        <v>1540</v>
      </c>
      <c r="BS56" s="1" t="s">
        <v>50</v>
      </c>
      <c r="BU56" s="1" t="s">
        <v>51</v>
      </c>
      <c r="BW56" s="1" t="s">
        <v>1542</v>
      </c>
      <c r="CA56" s="1" t="s">
        <v>45</v>
      </c>
      <c r="CB56" s="1" t="s">
        <v>45</v>
      </c>
      <c r="CJ56" s="1" t="s">
        <v>51</v>
      </c>
      <c r="CK56" s="32">
        <v>45700</v>
      </c>
      <c r="CL56" s="1" t="s">
        <v>45</v>
      </c>
      <c r="DH56" s="1" t="s">
        <v>51</v>
      </c>
      <c r="DI56" s="1" t="s">
        <v>1764</v>
      </c>
      <c r="DJ56" s="32">
        <v>45700</v>
      </c>
      <c r="DM56" s="1" t="s">
        <v>45</v>
      </c>
      <c r="DO56" s="1" t="s">
        <v>45</v>
      </c>
      <c r="DQ56" s="1" t="s">
        <v>45</v>
      </c>
      <c r="DT56" s="32">
        <v>45762</v>
      </c>
      <c r="DU56" s="1" t="s">
        <v>1598</v>
      </c>
      <c r="DV56" s="1">
        <v>31.4060446780551</v>
      </c>
      <c r="DW56" s="1" t="s">
        <v>45</v>
      </c>
      <c r="DY56" s="32">
        <v>45762</v>
      </c>
      <c r="DZ56" s="1" t="s">
        <v>1557</v>
      </c>
    </row>
    <row r="57" spans="1:130" ht="15.75" customHeight="1" x14ac:dyDescent="0.2">
      <c r="A57" s="8" t="s">
        <v>228</v>
      </c>
      <c r="B57" s="32">
        <v>37565</v>
      </c>
      <c r="C57" s="32">
        <v>44806</v>
      </c>
      <c r="D57" s="1">
        <v>19.8250705581451</v>
      </c>
      <c r="E57" s="1" t="s">
        <v>1523</v>
      </c>
      <c r="F57" s="1" t="s">
        <v>1524</v>
      </c>
      <c r="G57" s="1" t="s">
        <v>1574</v>
      </c>
      <c r="H57" s="1" t="s">
        <v>51</v>
      </c>
      <c r="I57" s="1">
        <v>1.8</v>
      </c>
      <c r="J57" s="1" t="s">
        <v>51</v>
      </c>
      <c r="K57" s="1">
        <v>64.2</v>
      </c>
      <c r="L57" s="1">
        <v>19.814814814814799</v>
      </c>
      <c r="M57" s="1" t="s">
        <v>45</v>
      </c>
      <c r="N57" s="1" t="s">
        <v>45</v>
      </c>
      <c r="O57" s="1" t="s">
        <v>45</v>
      </c>
      <c r="P57" s="1" t="s">
        <v>45</v>
      </c>
      <c r="Q57" s="1" t="s">
        <v>45</v>
      </c>
      <c r="R57" s="1" t="s">
        <v>45</v>
      </c>
      <c r="S57" s="1" t="s">
        <v>45</v>
      </c>
      <c r="T57" s="1" t="s">
        <v>45</v>
      </c>
      <c r="U57" s="1" t="s">
        <v>45</v>
      </c>
      <c r="V57" s="1" t="s">
        <v>45</v>
      </c>
      <c r="W57" s="1" t="s">
        <v>45</v>
      </c>
      <c r="X57" s="1" t="s">
        <v>45</v>
      </c>
      <c r="Y57" s="1" t="s">
        <v>45</v>
      </c>
      <c r="Z57" s="1" t="s">
        <v>45</v>
      </c>
      <c r="AA57" s="1" t="s">
        <v>45</v>
      </c>
      <c r="AB57" s="1" t="s">
        <v>45</v>
      </c>
      <c r="AC57" s="1" t="s">
        <v>45</v>
      </c>
      <c r="AD57" s="1" t="s">
        <v>45</v>
      </c>
      <c r="AE57" s="1" t="s">
        <v>45</v>
      </c>
      <c r="AF57" s="32">
        <v>44806</v>
      </c>
      <c r="AG57" s="1">
        <v>19.8250705581451</v>
      </c>
      <c r="AH57" s="1" t="s">
        <v>1558</v>
      </c>
      <c r="AI57" s="1" t="s">
        <v>1527</v>
      </c>
      <c r="AJ57" s="1" t="s">
        <v>45</v>
      </c>
      <c r="AK57" s="1" t="s">
        <v>51</v>
      </c>
      <c r="AL57" s="1" t="s">
        <v>45</v>
      </c>
      <c r="AM57" s="1" t="s">
        <v>45</v>
      </c>
      <c r="AN57" s="1" t="s">
        <v>45</v>
      </c>
      <c r="AO57" s="1" t="s">
        <v>45</v>
      </c>
      <c r="AP57" s="1" t="s">
        <v>45</v>
      </c>
      <c r="AQ57" s="1" t="s">
        <v>45</v>
      </c>
      <c r="AR57" s="1" t="s">
        <v>45</v>
      </c>
      <c r="AT57" s="1" t="s">
        <v>1583</v>
      </c>
      <c r="AU57" s="1" t="s">
        <v>1668</v>
      </c>
      <c r="AW57" s="33" t="s">
        <v>1464</v>
      </c>
      <c r="AX57" s="3"/>
      <c r="AY57" s="33" t="s">
        <v>1668</v>
      </c>
      <c r="AZ57" s="1">
        <v>1</v>
      </c>
      <c r="BB57" s="1" t="s">
        <v>1530</v>
      </c>
      <c r="BC57" s="1" t="s">
        <v>1561</v>
      </c>
      <c r="BE57" s="1" t="s">
        <v>1525</v>
      </c>
      <c r="BG57" s="1" t="s">
        <v>1525</v>
      </c>
      <c r="BH57" s="1" t="s">
        <v>46</v>
      </c>
      <c r="BI57" s="1" t="s">
        <v>1535</v>
      </c>
      <c r="BJ57" s="1" t="s">
        <v>1525</v>
      </c>
      <c r="BK57" s="1" t="s">
        <v>1549</v>
      </c>
      <c r="BL57" s="32">
        <v>44806</v>
      </c>
      <c r="BM57" s="1" t="s">
        <v>1765</v>
      </c>
      <c r="BO57" s="1" t="s">
        <v>1537</v>
      </c>
      <c r="BP57" s="1" t="s">
        <v>1551</v>
      </c>
      <c r="BQ57" s="1" t="s">
        <v>1539</v>
      </c>
      <c r="BR57" s="1" t="s">
        <v>1540</v>
      </c>
      <c r="BS57" s="1" t="s">
        <v>50</v>
      </c>
      <c r="BU57" s="1" t="s">
        <v>51</v>
      </c>
      <c r="BW57" s="1" t="s">
        <v>1542</v>
      </c>
      <c r="CA57" s="1" t="s">
        <v>45</v>
      </c>
      <c r="CB57" s="1" t="s">
        <v>45</v>
      </c>
      <c r="CJ57" s="1" t="s">
        <v>45</v>
      </c>
      <c r="DH57" s="1" t="s">
        <v>45</v>
      </c>
      <c r="DM57" s="1" t="s">
        <v>45</v>
      </c>
      <c r="DO57" s="1" t="s">
        <v>45</v>
      </c>
      <c r="DQ57" s="1" t="s">
        <v>45</v>
      </c>
      <c r="DT57" s="32">
        <v>45453</v>
      </c>
      <c r="DU57" s="1" t="s">
        <v>1598</v>
      </c>
      <c r="DV57" s="1">
        <v>21.254927726675401</v>
      </c>
      <c r="DW57" s="1" t="s">
        <v>45</v>
      </c>
      <c r="DY57" s="32">
        <v>45453</v>
      </c>
      <c r="DZ57" s="1" t="s">
        <v>1557</v>
      </c>
    </row>
    <row r="58" spans="1:130" ht="15.75" customHeight="1" x14ac:dyDescent="0.2">
      <c r="A58" s="8" t="s">
        <v>231</v>
      </c>
      <c r="B58" s="32">
        <v>21245</v>
      </c>
      <c r="C58" s="32">
        <v>44806</v>
      </c>
      <c r="D58" s="1">
        <v>64.507712912197604</v>
      </c>
      <c r="E58" s="1" t="s">
        <v>1523</v>
      </c>
      <c r="F58" s="1" t="s">
        <v>1524</v>
      </c>
      <c r="G58" s="1" t="s">
        <v>1574</v>
      </c>
      <c r="H58" s="1" t="s">
        <v>51</v>
      </c>
      <c r="I58" s="1">
        <v>1.655</v>
      </c>
      <c r="J58" s="1" t="s">
        <v>51</v>
      </c>
      <c r="K58" s="1">
        <v>43.1</v>
      </c>
      <c r="L58" s="1">
        <v>15.7355263277991</v>
      </c>
      <c r="M58" s="1" t="s">
        <v>45</v>
      </c>
      <c r="N58" s="1" t="s">
        <v>45</v>
      </c>
      <c r="O58" s="1" t="s">
        <v>45</v>
      </c>
      <c r="P58" s="1" t="s">
        <v>45</v>
      </c>
      <c r="Q58" s="1" t="s">
        <v>45</v>
      </c>
      <c r="R58" s="1" t="s">
        <v>45</v>
      </c>
      <c r="S58" s="1" t="s">
        <v>45</v>
      </c>
      <c r="T58" s="1" t="s">
        <v>45</v>
      </c>
      <c r="U58" s="1" t="s">
        <v>45</v>
      </c>
      <c r="V58" s="1" t="s">
        <v>45</v>
      </c>
      <c r="W58" s="1" t="s">
        <v>45</v>
      </c>
      <c r="X58" s="1" t="s">
        <v>45</v>
      </c>
      <c r="Y58" s="1" t="s">
        <v>45</v>
      </c>
      <c r="Z58" s="1" t="s">
        <v>45</v>
      </c>
      <c r="AA58" s="1" t="s">
        <v>45</v>
      </c>
      <c r="AB58" s="1" t="s">
        <v>45</v>
      </c>
      <c r="AC58" s="1" t="s">
        <v>45</v>
      </c>
      <c r="AD58" s="1" t="s">
        <v>45</v>
      </c>
      <c r="AE58" s="1" t="s">
        <v>45</v>
      </c>
      <c r="AF58" s="32">
        <v>44806</v>
      </c>
      <c r="AG58" s="1">
        <v>64.507712912197604</v>
      </c>
      <c r="AH58" s="1" t="s">
        <v>1613</v>
      </c>
      <c r="AI58" s="1" t="s">
        <v>1527</v>
      </c>
      <c r="AJ58" s="1" t="s">
        <v>45</v>
      </c>
      <c r="AK58" s="1" t="s">
        <v>45</v>
      </c>
      <c r="AL58" s="1" t="s">
        <v>51</v>
      </c>
      <c r="AM58" s="1" t="s">
        <v>51</v>
      </c>
      <c r="AN58" s="1" t="s">
        <v>51</v>
      </c>
      <c r="AO58" s="1" t="s">
        <v>45</v>
      </c>
      <c r="AP58" s="1" t="s">
        <v>45</v>
      </c>
      <c r="AQ58" s="1" t="s">
        <v>51</v>
      </c>
      <c r="AR58" s="1" t="s">
        <v>45</v>
      </c>
      <c r="AT58" s="1" t="s">
        <v>1601</v>
      </c>
      <c r="AW58" s="33" t="s">
        <v>1463</v>
      </c>
      <c r="AX58" s="3" t="s">
        <v>1601</v>
      </c>
      <c r="AY58" s="3"/>
      <c r="AZ58" s="1">
        <v>3</v>
      </c>
      <c r="BB58" s="1" t="s">
        <v>1567</v>
      </c>
      <c r="BC58" s="1" t="s">
        <v>1602</v>
      </c>
      <c r="BE58" s="1" t="s">
        <v>1603</v>
      </c>
      <c r="BG58" s="1" t="s">
        <v>45</v>
      </c>
      <c r="BH58" s="1" t="s">
        <v>46</v>
      </c>
      <c r="BI58" s="1" t="s">
        <v>1535</v>
      </c>
      <c r="BJ58" s="1" t="s">
        <v>45</v>
      </c>
      <c r="BK58" s="1" t="s">
        <v>1549</v>
      </c>
      <c r="BL58" s="32">
        <v>44806</v>
      </c>
      <c r="BM58" s="1" t="s">
        <v>1766</v>
      </c>
      <c r="BO58" s="1" t="s">
        <v>1537</v>
      </c>
      <c r="BP58" s="1" t="s">
        <v>1551</v>
      </c>
      <c r="BQ58" s="1" t="s">
        <v>1539</v>
      </c>
      <c r="BR58" s="1" t="s">
        <v>1540</v>
      </c>
      <c r="BS58" s="1" t="s">
        <v>50</v>
      </c>
      <c r="BU58" s="1" t="s">
        <v>51</v>
      </c>
      <c r="BW58" s="1" t="s">
        <v>1563</v>
      </c>
      <c r="BX58" s="32">
        <v>44888</v>
      </c>
      <c r="BY58" s="1">
        <v>4</v>
      </c>
      <c r="CA58" s="1" t="s">
        <v>51</v>
      </c>
      <c r="CB58" s="1" t="s">
        <v>51</v>
      </c>
      <c r="CC58" s="32">
        <v>44830</v>
      </c>
      <c r="CD58" s="1">
        <v>40</v>
      </c>
      <c r="CE58" s="1">
        <v>15</v>
      </c>
      <c r="CJ58" s="1" t="s">
        <v>45</v>
      </c>
      <c r="DH58" s="1" t="s">
        <v>45</v>
      </c>
      <c r="DM58" s="1" t="s">
        <v>45</v>
      </c>
      <c r="DO58" s="1" t="s">
        <v>45</v>
      </c>
      <c r="DQ58" s="1" t="s">
        <v>45</v>
      </c>
      <c r="DT58" s="32">
        <v>45005</v>
      </c>
      <c r="DU58" s="1" t="s">
        <v>1543</v>
      </c>
      <c r="DV58" s="1">
        <v>6.5374507227332401</v>
      </c>
      <c r="DW58" s="1" t="s">
        <v>51</v>
      </c>
      <c r="DX58" s="1" t="s">
        <v>1767</v>
      </c>
      <c r="DY58" s="32">
        <v>45005</v>
      </c>
      <c r="DZ58" s="1" t="s">
        <v>1557</v>
      </c>
    </row>
    <row r="59" spans="1:130" ht="15.75" customHeight="1" x14ac:dyDescent="0.2">
      <c r="A59" s="8" t="s">
        <v>234</v>
      </c>
      <c r="B59" s="32">
        <v>37317</v>
      </c>
      <c r="C59" s="32">
        <v>44810</v>
      </c>
      <c r="D59" s="1">
        <v>20.5150231239062</v>
      </c>
      <c r="E59" s="1" t="s">
        <v>1523</v>
      </c>
      <c r="F59" s="1" t="s">
        <v>1524</v>
      </c>
      <c r="G59" s="1" t="s">
        <v>1545</v>
      </c>
      <c r="H59" s="1" t="s">
        <v>51</v>
      </c>
      <c r="I59" s="1">
        <v>1.86</v>
      </c>
      <c r="J59" s="1" t="s">
        <v>51</v>
      </c>
      <c r="K59" s="1">
        <v>97.1</v>
      </c>
      <c r="L59" s="1">
        <v>28.0668285350907</v>
      </c>
      <c r="M59" s="1" t="s">
        <v>45</v>
      </c>
      <c r="N59" s="1" t="s">
        <v>45</v>
      </c>
      <c r="O59" s="1" t="s">
        <v>45</v>
      </c>
      <c r="P59" s="1" t="s">
        <v>45</v>
      </c>
      <c r="Q59" s="1" t="s">
        <v>45</v>
      </c>
      <c r="R59" s="1" t="s">
        <v>45</v>
      </c>
      <c r="S59" s="1" t="s">
        <v>45</v>
      </c>
      <c r="T59" s="1" t="s">
        <v>45</v>
      </c>
      <c r="U59" s="1" t="s">
        <v>45</v>
      </c>
      <c r="V59" s="1" t="s">
        <v>45</v>
      </c>
      <c r="W59" s="1" t="s">
        <v>45</v>
      </c>
      <c r="X59" s="1" t="s">
        <v>45</v>
      </c>
      <c r="Y59" s="1" t="s">
        <v>45</v>
      </c>
      <c r="Z59" s="1" t="s">
        <v>45</v>
      </c>
      <c r="AA59" s="1" t="s">
        <v>45</v>
      </c>
      <c r="AB59" s="1" t="s">
        <v>45</v>
      </c>
      <c r="AC59" s="1" t="s">
        <v>45</v>
      </c>
      <c r="AD59" s="1" t="s">
        <v>45</v>
      </c>
      <c r="AE59" s="1" t="s">
        <v>45</v>
      </c>
      <c r="AF59" s="32">
        <v>44810</v>
      </c>
      <c r="AG59" s="1">
        <v>20.5150231239062</v>
      </c>
      <c r="AH59" s="1" t="s">
        <v>1558</v>
      </c>
      <c r="AI59" s="1" t="s">
        <v>1527</v>
      </c>
      <c r="AJ59" s="1" t="s">
        <v>45</v>
      </c>
      <c r="AK59" s="1" t="s">
        <v>51</v>
      </c>
      <c r="AL59" s="1" t="s">
        <v>45</v>
      </c>
      <c r="AM59" s="1" t="s">
        <v>45</v>
      </c>
      <c r="AN59" s="1" t="s">
        <v>45</v>
      </c>
      <c r="AO59" s="1" t="s">
        <v>45</v>
      </c>
      <c r="AP59" s="1" t="s">
        <v>45</v>
      </c>
      <c r="AQ59" s="1" t="s">
        <v>45</v>
      </c>
      <c r="AR59" s="1" t="s">
        <v>45</v>
      </c>
      <c r="AT59" s="1" t="s">
        <v>1583</v>
      </c>
      <c r="AU59" s="1" t="s">
        <v>1768</v>
      </c>
      <c r="AW59" s="33" t="s">
        <v>1464</v>
      </c>
      <c r="AX59" s="3"/>
      <c r="AY59" s="33" t="s">
        <v>1621</v>
      </c>
      <c r="AZ59" s="1">
        <v>1</v>
      </c>
      <c r="BB59" s="1" t="s">
        <v>1530</v>
      </c>
      <c r="BC59" s="1" t="s">
        <v>1561</v>
      </c>
      <c r="BE59" s="1" t="s">
        <v>1525</v>
      </c>
      <c r="BG59" s="1" t="s">
        <v>45</v>
      </c>
      <c r="BH59" s="1" t="s">
        <v>46</v>
      </c>
      <c r="BI59" s="1" t="s">
        <v>1525</v>
      </c>
      <c r="BJ59" s="1" t="s">
        <v>1525</v>
      </c>
      <c r="BK59" s="1" t="s">
        <v>1549</v>
      </c>
      <c r="BL59" s="32">
        <v>44810</v>
      </c>
      <c r="BM59" s="1" t="s">
        <v>1769</v>
      </c>
      <c r="BO59" s="1" t="s">
        <v>1537</v>
      </c>
      <c r="BP59" s="1" t="s">
        <v>1551</v>
      </c>
      <c r="BQ59" s="1" t="s">
        <v>1647</v>
      </c>
      <c r="BR59" s="1" t="s">
        <v>1540</v>
      </c>
      <c r="BS59" s="1" t="s">
        <v>106</v>
      </c>
      <c r="BU59" s="1" t="s">
        <v>51</v>
      </c>
      <c r="BW59" s="1" t="s">
        <v>1542</v>
      </c>
      <c r="CA59" s="1" t="s">
        <v>45</v>
      </c>
      <c r="CB59" s="1" t="s">
        <v>45</v>
      </c>
      <c r="CJ59" s="1" t="s">
        <v>45</v>
      </c>
      <c r="DH59" s="1" t="s">
        <v>45</v>
      </c>
      <c r="DM59" s="1" t="s">
        <v>45</v>
      </c>
      <c r="DO59" s="1" t="s">
        <v>45</v>
      </c>
      <c r="DQ59" s="1" t="s">
        <v>45</v>
      </c>
      <c r="DT59" s="32">
        <v>44832</v>
      </c>
      <c r="DU59" s="1" t="s">
        <v>1598</v>
      </c>
      <c r="DV59" s="1">
        <v>0.72273324572930298</v>
      </c>
      <c r="DW59" s="1" t="s">
        <v>45</v>
      </c>
      <c r="DY59" s="32">
        <v>44832</v>
      </c>
      <c r="DZ59" s="1" t="s">
        <v>1557</v>
      </c>
    </row>
    <row r="60" spans="1:130" ht="15.75" customHeight="1" x14ac:dyDescent="0.2">
      <c r="A60" s="8" t="s">
        <v>239</v>
      </c>
      <c r="B60" s="32">
        <v>21824</v>
      </c>
      <c r="C60" s="32">
        <v>44810</v>
      </c>
      <c r="D60" s="1">
        <v>62.933530462637798</v>
      </c>
      <c r="E60" s="1" t="s">
        <v>1523</v>
      </c>
      <c r="F60" s="1" t="s">
        <v>1524</v>
      </c>
      <c r="G60" s="1" t="s">
        <v>1545</v>
      </c>
      <c r="H60" s="1" t="s">
        <v>51</v>
      </c>
      <c r="I60" s="1">
        <v>1.87</v>
      </c>
      <c r="J60" s="1" t="s">
        <v>51</v>
      </c>
      <c r="K60" s="1">
        <v>110</v>
      </c>
      <c r="L60" s="1">
        <v>31.456432840515799</v>
      </c>
      <c r="M60" s="1" t="s">
        <v>45</v>
      </c>
      <c r="N60" s="1" t="s">
        <v>45</v>
      </c>
      <c r="O60" s="1" t="s">
        <v>45</v>
      </c>
      <c r="P60" s="1" t="s">
        <v>45</v>
      </c>
      <c r="Q60" s="1" t="s">
        <v>45</v>
      </c>
      <c r="R60" s="1" t="s">
        <v>45</v>
      </c>
      <c r="S60" s="1" t="s">
        <v>45</v>
      </c>
      <c r="T60" s="1" t="s">
        <v>45</v>
      </c>
      <c r="U60" s="1" t="s">
        <v>45</v>
      </c>
      <c r="V60" s="1" t="s">
        <v>45</v>
      </c>
      <c r="W60" s="1" t="s">
        <v>45</v>
      </c>
      <c r="X60" s="1" t="s">
        <v>45</v>
      </c>
      <c r="Y60" s="1" t="s">
        <v>45</v>
      </c>
      <c r="Z60" s="1" t="s">
        <v>45</v>
      </c>
      <c r="AA60" s="1" t="s">
        <v>45</v>
      </c>
      <c r="AB60" s="1" t="s">
        <v>45</v>
      </c>
      <c r="AC60" s="1" t="s">
        <v>45</v>
      </c>
      <c r="AD60" s="1" t="s">
        <v>45</v>
      </c>
      <c r="AE60" s="1" t="s">
        <v>45</v>
      </c>
      <c r="AF60" s="32">
        <v>44810</v>
      </c>
      <c r="AG60" s="1">
        <v>62.933530462637798</v>
      </c>
      <c r="AH60" s="1" t="s">
        <v>1526</v>
      </c>
      <c r="AI60" s="1" t="s">
        <v>1527</v>
      </c>
      <c r="AJ60" s="1" t="s">
        <v>45</v>
      </c>
      <c r="AK60" s="1" t="s">
        <v>51</v>
      </c>
      <c r="AL60" s="1" t="s">
        <v>45</v>
      </c>
      <c r="AM60" s="1" t="s">
        <v>45</v>
      </c>
      <c r="AN60" s="1" t="s">
        <v>45</v>
      </c>
      <c r="AO60" s="1" t="s">
        <v>45</v>
      </c>
      <c r="AP60" s="1" t="s">
        <v>45</v>
      </c>
      <c r="AQ60" s="1" t="s">
        <v>45</v>
      </c>
      <c r="AR60" s="1" t="s">
        <v>45</v>
      </c>
      <c r="AT60" s="1" t="s">
        <v>1601</v>
      </c>
      <c r="AW60" s="33" t="s">
        <v>1463</v>
      </c>
      <c r="AX60" s="3" t="s">
        <v>1601</v>
      </c>
      <c r="AY60" s="3"/>
      <c r="AZ60" s="1">
        <v>3</v>
      </c>
      <c r="BB60" s="1" t="s">
        <v>1567</v>
      </c>
      <c r="BC60" s="1" t="s">
        <v>1602</v>
      </c>
      <c r="BE60" s="1" t="s">
        <v>1525</v>
      </c>
      <c r="BF60" s="1" t="s">
        <v>1548</v>
      </c>
      <c r="BG60" s="1" t="s">
        <v>1525</v>
      </c>
      <c r="BH60" s="1" t="s">
        <v>46</v>
      </c>
      <c r="BI60" s="1" t="s">
        <v>1535</v>
      </c>
      <c r="BJ60" s="1" t="s">
        <v>51</v>
      </c>
      <c r="BK60" s="1" t="s">
        <v>1549</v>
      </c>
      <c r="BL60" s="32">
        <v>44810</v>
      </c>
      <c r="BM60" s="1" t="s">
        <v>1770</v>
      </c>
      <c r="BO60" s="1" t="s">
        <v>1537</v>
      </c>
      <c r="BP60" s="1" t="s">
        <v>1551</v>
      </c>
      <c r="BQ60" s="1" t="s">
        <v>1539</v>
      </c>
      <c r="BR60" s="1" t="s">
        <v>1552</v>
      </c>
      <c r="BS60" s="1" t="s">
        <v>50</v>
      </c>
      <c r="BU60" s="1" t="s">
        <v>51</v>
      </c>
      <c r="BW60" s="1" t="s">
        <v>1563</v>
      </c>
      <c r="BX60" s="32">
        <v>44909</v>
      </c>
      <c r="BY60" s="1">
        <v>4</v>
      </c>
      <c r="CA60" s="1" t="s">
        <v>51</v>
      </c>
      <c r="CB60" s="1" t="s">
        <v>51</v>
      </c>
      <c r="CC60" s="32">
        <v>44825</v>
      </c>
      <c r="CD60" s="1">
        <v>60</v>
      </c>
      <c r="CE60" s="1">
        <v>30</v>
      </c>
      <c r="CJ60" s="1" t="s">
        <v>51</v>
      </c>
      <c r="CK60" s="32">
        <v>44999</v>
      </c>
      <c r="CL60" s="1" t="s">
        <v>45</v>
      </c>
      <c r="DH60" s="1" t="s">
        <v>51</v>
      </c>
      <c r="DI60" s="1" t="s">
        <v>1771</v>
      </c>
      <c r="DJ60" s="32">
        <v>45021</v>
      </c>
      <c r="DK60" s="1" t="s">
        <v>1583</v>
      </c>
      <c r="DL60" s="1" t="s">
        <v>1772</v>
      </c>
      <c r="DM60" s="1" t="s">
        <v>45</v>
      </c>
      <c r="DO60" s="1" t="s">
        <v>45</v>
      </c>
      <c r="DQ60" s="1" t="s">
        <v>45</v>
      </c>
      <c r="DT60" s="32">
        <v>45496</v>
      </c>
      <c r="DU60" s="1" t="s">
        <v>1543</v>
      </c>
      <c r="DV60" s="1">
        <v>22.536136662286399</v>
      </c>
      <c r="DY60" s="32">
        <v>45496</v>
      </c>
      <c r="DZ60" s="1" t="s">
        <v>1557</v>
      </c>
    </row>
    <row r="61" spans="1:130" ht="15.75" customHeight="1" x14ac:dyDescent="0.2">
      <c r="A61" s="8" t="s">
        <v>245</v>
      </c>
      <c r="B61" s="32">
        <v>26746</v>
      </c>
      <c r="C61" s="32">
        <v>44817</v>
      </c>
      <c r="D61" s="1">
        <v>49.476603443830697</v>
      </c>
      <c r="E61" s="1" t="s">
        <v>1523</v>
      </c>
      <c r="F61" s="1" t="s">
        <v>1524</v>
      </c>
      <c r="G61" s="1" t="s">
        <v>1545</v>
      </c>
      <c r="H61" s="1" t="s">
        <v>51</v>
      </c>
      <c r="I61" s="1">
        <v>1.7949999999999999</v>
      </c>
      <c r="J61" s="1" t="s">
        <v>51</v>
      </c>
      <c r="K61" s="1">
        <v>129.1</v>
      </c>
      <c r="L61" s="1">
        <v>40.0679696774543</v>
      </c>
      <c r="M61" s="1" t="s">
        <v>45</v>
      </c>
      <c r="N61" s="1" t="s">
        <v>45</v>
      </c>
      <c r="O61" s="1" t="s">
        <v>45</v>
      </c>
      <c r="P61" s="1" t="s">
        <v>45</v>
      </c>
      <c r="Q61" s="1" t="s">
        <v>45</v>
      </c>
      <c r="R61" s="1" t="s">
        <v>45</v>
      </c>
      <c r="S61" s="1" t="s">
        <v>45</v>
      </c>
      <c r="T61" s="1" t="s">
        <v>45</v>
      </c>
      <c r="U61" s="1" t="s">
        <v>51</v>
      </c>
      <c r="V61" s="1" t="s">
        <v>45</v>
      </c>
      <c r="W61" s="1" t="s">
        <v>45</v>
      </c>
      <c r="X61" s="1" t="s">
        <v>45</v>
      </c>
      <c r="Y61" s="1" t="s">
        <v>45</v>
      </c>
      <c r="Z61" s="1" t="s">
        <v>45</v>
      </c>
      <c r="AA61" s="1" t="s">
        <v>45</v>
      </c>
      <c r="AB61" s="1" t="s">
        <v>45</v>
      </c>
      <c r="AC61" s="1" t="s">
        <v>45</v>
      </c>
      <c r="AD61" s="1" t="s">
        <v>45</v>
      </c>
      <c r="AE61" s="1" t="s">
        <v>45</v>
      </c>
      <c r="AF61" s="32">
        <v>44817</v>
      </c>
      <c r="AG61" s="1">
        <v>49.476603443830697</v>
      </c>
      <c r="AH61" s="1" t="s">
        <v>1526</v>
      </c>
      <c r="AI61" s="1" t="s">
        <v>1527</v>
      </c>
      <c r="AJ61" s="1" t="s">
        <v>45</v>
      </c>
      <c r="AK61" s="1" t="s">
        <v>51</v>
      </c>
      <c r="AL61" s="1" t="s">
        <v>45</v>
      </c>
      <c r="AM61" s="1" t="s">
        <v>45</v>
      </c>
      <c r="AN61" s="1" t="s">
        <v>45</v>
      </c>
      <c r="AO61" s="1" t="s">
        <v>45</v>
      </c>
      <c r="AP61" s="1" t="s">
        <v>45</v>
      </c>
      <c r="AQ61" s="1" t="s">
        <v>45</v>
      </c>
      <c r="AR61" s="1" t="s">
        <v>45</v>
      </c>
      <c r="AT61" s="1" t="s">
        <v>1528</v>
      </c>
      <c r="AW61" s="33" t="s">
        <v>1463</v>
      </c>
      <c r="AX61" s="3" t="s">
        <v>1528</v>
      </c>
      <c r="AY61" s="3"/>
      <c r="AZ61" s="1">
        <v>4</v>
      </c>
      <c r="BB61" s="1" t="s">
        <v>1530</v>
      </c>
      <c r="BC61" s="1" t="s">
        <v>1531</v>
      </c>
      <c r="BE61" s="1" t="s">
        <v>1533</v>
      </c>
      <c r="BF61" s="1" t="s">
        <v>1548</v>
      </c>
      <c r="BG61" s="1" t="s">
        <v>1525</v>
      </c>
      <c r="BH61" s="1" t="s">
        <v>46</v>
      </c>
      <c r="BI61" s="1" t="s">
        <v>1535</v>
      </c>
      <c r="BJ61" s="1" t="s">
        <v>1525</v>
      </c>
      <c r="BK61" s="1" t="s">
        <v>1549</v>
      </c>
      <c r="BL61" s="32">
        <v>44817</v>
      </c>
      <c r="BM61" s="1" t="s">
        <v>1773</v>
      </c>
      <c r="BO61" s="1" t="s">
        <v>1537</v>
      </c>
      <c r="BP61" s="1" t="s">
        <v>1551</v>
      </c>
      <c r="BQ61" s="1" t="s">
        <v>1605</v>
      </c>
      <c r="BR61" s="1" t="s">
        <v>1552</v>
      </c>
      <c r="BS61" s="1" t="s">
        <v>50</v>
      </c>
      <c r="BU61" s="1" t="s">
        <v>51</v>
      </c>
      <c r="BW61" s="1" t="s">
        <v>1563</v>
      </c>
      <c r="BX61" s="32">
        <v>44932</v>
      </c>
      <c r="BY61" s="1">
        <v>12</v>
      </c>
      <c r="CA61" s="1" t="s">
        <v>51</v>
      </c>
      <c r="CB61" s="1" t="s">
        <v>51</v>
      </c>
      <c r="CC61" s="32">
        <v>44834</v>
      </c>
      <c r="CD61" s="1">
        <v>60</v>
      </c>
      <c r="CE61" s="1">
        <v>30</v>
      </c>
      <c r="CJ61" s="1" t="s">
        <v>45</v>
      </c>
      <c r="DH61" s="1" t="s">
        <v>45</v>
      </c>
      <c r="DM61" s="1" t="s">
        <v>45</v>
      </c>
      <c r="DO61" s="1" t="s">
        <v>45</v>
      </c>
      <c r="DQ61" s="1" t="s">
        <v>45</v>
      </c>
      <c r="DT61" s="32">
        <v>45721</v>
      </c>
      <c r="DU61" s="1" t="s">
        <v>1598</v>
      </c>
      <c r="DV61" s="1">
        <v>29.6991349102058</v>
      </c>
      <c r="DW61" s="1" t="s">
        <v>45</v>
      </c>
      <c r="DY61" s="32">
        <v>45721</v>
      </c>
      <c r="DZ61" s="1" t="s">
        <v>1557</v>
      </c>
    </row>
    <row r="62" spans="1:130" ht="15.75" customHeight="1" x14ac:dyDescent="0.2">
      <c r="A62" s="8" t="s">
        <v>251</v>
      </c>
      <c r="B62" s="32">
        <v>37803</v>
      </c>
      <c r="C62" s="32">
        <v>44818</v>
      </c>
      <c r="D62" s="1">
        <v>19.2064176540243</v>
      </c>
      <c r="E62" s="1" t="s">
        <v>1587</v>
      </c>
      <c r="F62" s="1" t="s">
        <v>1524</v>
      </c>
      <c r="G62" s="1" t="s">
        <v>1574</v>
      </c>
      <c r="H62" s="1" t="s">
        <v>51</v>
      </c>
      <c r="I62" s="1">
        <v>1.6</v>
      </c>
      <c r="J62" s="1" t="s">
        <v>51</v>
      </c>
      <c r="K62" s="1">
        <v>54.3</v>
      </c>
      <c r="L62" s="1">
        <v>21.210937499999901</v>
      </c>
      <c r="M62" s="1" t="s">
        <v>45</v>
      </c>
      <c r="N62" s="1" t="s">
        <v>45</v>
      </c>
      <c r="O62" s="1" t="s">
        <v>45</v>
      </c>
      <c r="P62" s="1" t="s">
        <v>45</v>
      </c>
      <c r="Q62" s="1" t="s">
        <v>45</v>
      </c>
      <c r="R62" s="1" t="s">
        <v>45</v>
      </c>
      <c r="S62" s="1" t="s">
        <v>45</v>
      </c>
      <c r="T62" s="1" t="s">
        <v>45</v>
      </c>
      <c r="U62" s="1" t="s">
        <v>45</v>
      </c>
      <c r="V62" s="1" t="s">
        <v>45</v>
      </c>
      <c r="W62" s="1" t="s">
        <v>45</v>
      </c>
      <c r="X62" s="1" t="s">
        <v>45</v>
      </c>
      <c r="Y62" s="1" t="s">
        <v>45</v>
      </c>
      <c r="Z62" s="1" t="s">
        <v>45</v>
      </c>
      <c r="AA62" s="1" t="s">
        <v>45</v>
      </c>
      <c r="AB62" s="1" t="s">
        <v>45</v>
      </c>
      <c r="AC62" s="1" t="s">
        <v>45</v>
      </c>
      <c r="AD62" s="1" t="s">
        <v>45</v>
      </c>
      <c r="AE62" s="1" t="s">
        <v>45</v>
      </c>
      <c r="AF62" s="32">
        <v>44818</v>
      </c>
      <c r="AG62" s="1">
        <v>19.2064176540243</v>
      </c>
      <c r="AH62" s="1" t="s">
        <v>1558</v>
      </c>
      <c r="AI62" s="1" t="s">
        <v>1527</v>
      </c>
      <c r="AJ62" s="1" t="s">
        <v>45</v>
      </c>
      <c r="AK62" s="1" t="s">
        <v>51</v>
      </c>
      <c r="AL62" s="1" t="s">
        <v>45</v>
      </c>
      <c r="AM62" s="1" t="s">
        <v>45</v>
      </c>
      <c r="AN62" s="1" t="s">
        <v>45</v>
      </c>
      <c r="AO62" s="1" t="s">
        <v>45</v>
      </c>
      <c r="AP62" s="1" t="s">
        <v>45</v>
      </c>
      <c r="AQ62" s="1" t="s">
        <v>45</v>
      </c>
      <c r="AR62" s="1" t="s">
        <v>45</v>
      </c>
      <c r="AT62" s="1" t="s">
        <v>1546</v>
      </c>
      <c r="AV62" s="1" t="s">
        <v>1547</v>
      </c>
      <c r="AW62" s="33" t="s">
        <v>1463</v>
      </c>
      <c r="AX62" s="33" t="s">
        <v>1547</v>
      </c>
      <c r="AY62" s="3"/>
      <c r="AZ62" s="1">
        <v>3</v>
      </c>
      <c r="BB62" s="1" t="s">
        <v>1530</v>
      </c>
      <c r="BC62" s="1" t="s">
        <v>1561</v>
      </c>
      <c r="BE62" s="1" t="s">
        <v>1533</v>
      </c>
      <c r="BF62" s="1" t="s">
        <v>1548</v>
      </c>
      <c r="BG62" s="1" t="s">
        <v>45</v>
      </c>
      <c r="BH62" s="1" t="s">
        <v>68</v>
      </c>
      <c r="BI62" s="1" t="s">
        <v>1535</v>
      </c>
      <c r="BJ62" s="1" t="s">
        <v>51</v>
      </c>
      <c r="BK62" s="1" t="s">
        <v>1549</v>
      </c>
      <c r="BL62" s="32">
        <v>44818</v>
      </c>
      <c r="BM62" s="1" t="s">
        <v>1774</v>
      </c>
      <c r="BO62" s="1" t="s">
        <v>1537</v>
      </c>
      <c r="BP62" s="1" t="s">
        <v>1551</v>
      </c>
      <c r="BQ62" s="1" t="s">
        <v>1539</v>
      </c>
      <c r="BR62" s="1" t="s">
        <v>1540</v>
      </c>
      <c r="BS62" s="1" t="s">
        <v>106</v>
      </c>
      <c r="BU62" s="1" t="s">
        <v>51</v>
      </c>
      <c r="BW62" s="1" t="s">
        <v>1563</v>
      </c>
      <c r="BX62" s="32">
        <v>44930</v>
      </c>
      <c r="BY62" s="1">
        <v>12</v>
      </c>
      <c r="CA62" s="1" t="s">
        <v>51</v>
      </c>
      <c r="CB62" s="1" t="s">
        <v>51</v>
      </c>
      <c r="CC62" s="32">
        <v>44854</v>
      </c>
      <c r="CD62" s="1">
        <v>60</v>
      </c>
      <c r="CE62" s="1">
        <v>33</v>
      </c>
      <c r="CJ62" s="1" t="s">
        <v>45</v>
      </c>
      <c r="DH62" s="1" t="s">
        <v>45</v>
      </c>
      <c r="DM62" s="1" t="s">
        <v>45</v>
      </c>
      <c r="DO62" s="1" t="s">
        <v>45</v>
      </c>
      <c r="DQ62" s="1" t="s">
        <v>45</v>
      </c>
      <c r="DT62" s="32">
        <v>45673</v>
      </c>
      <c r="DU62" s="1" t="s">
        <v>1598</v>
      </c>
      <c r="DV62" s="1">
        <v>28.089410862899602</v>
      </c>
      <c r="DW62" s="1" t="s">
        <v>45</v>
      </c>
      <c r="DY62" s="32">
        <v>45673</v>
      </c>
      <c r="DZ62" s="1" t="s">
        <v>1557</v>
      </c>
    </row>
    <row r="63" spans="1:130" ht="15.75" customHeight="1" x14ac:dyDescent="0.2">
      <c r="A63" s="8" t="s">
        <v>257</v>
      </c>
      <c r="B63" s="32">
        <v>25117</v>
      </c>
      <c r="C63" s="32">
        <v>44821</v>
      </c>
      <c r="D63" s="1">
        <v>53.947719665701499</v>
      </c>
      <c r="E63" s="1" t="s">
        <v>1587</v>
      </c>
      <c r="F63" s="1" t="s">
        <v>1524</v>
      </c>
      <c r="G63" s="1" t="s">
        <v>1574</v>
      </c>
      <c r="H63" s="1" t="s">
        <v>51</v>
      </c>
      <c r="I63" s="1">
        <v>1.64</v>
      </c>
      <c r="J63" s="1" t="s">
        <v>51</v>
      </c>
      <c r="K63" s="1">
        <v>65</v>
      </c>
      <c r="L63" s="1">
        <v>24.1671624033313</v>
      </c>
      <c r="M63" s="1" t="s">
        <v>45</v>
      </c>
      <c r="N63" s="1" t="s">
        <v>45</v>
      </c>
      <c r="O63" s="1" t="s">
        <v>45</v>
      </c>
      <c r="P63" s="1" t="s">
        <v>45</v>
      </c>
      <c r="Q63" s="1" t="s">
        <v>45</v>
      </c>
      <c r="R63" s="1" t="s">
        <v>45</v>
      </c>
      <c r="S63" s="1" t="s">
        <v>45</v>
      </c>
      <c r="T63" s="1" t="s">
        <v>45</v>
      </c>
      <c r="U63" s="1" t="s">
        <v>45</v>
      </c>
      <c r="V63" s="1" t="s">
        <v>45</v>
      </c>
      <c r="W63" s="1" t="s">
        <v>45</v>
      </c>
      <c r="X63" s="1" t="s">
        <v>45</v>
      </c>
      <c r="Y63" s="1" t="s">
        <v>45</v>
      </c>
      <c r="Z63" s="1" t="s">
        <v>45</v>
      </c>
      <c r="AA63" s="1" t="s">
        <v>45</v>
      </c>
      <c r="AB63" s="1" t="s">
        <v>45</v>
      </c>
      <c r="AC63" s="1" t="s">
        <v>45</v>
      </c>
      <c r="AD63" s="1" t="s">
        <v>45</v>
      </c>
      <c r="AE63" s="1" t="s">
        <v>45</v>
      </c>
      <c r="AF63" s="32">
        <v>44092</v>
      </c>
      <c r="AG63" s="1">
        <v>51.951785457606903</v>
      </c>
      <c r="AH63" s="1" t="s">
        <v>1613</v>
      </c>
      <c r="AI63" s="1" t="s">
        <v>1527</v>
      </c>
      <c r="AJ63" s="1" t="s">
        <v>45</v>
      </c>
      <c r="AK63" s="1" t="s">
        <v>45</v>
      </c>
      <c r="AL63" s="1" t="s">
        <v>45</v>
      </c>
      <c r="AM63" s="1" t="s">
        <v>45</v>
      </c>
      <c r="AN63" s="1" t="s">
        <v>51</v>
      </c>
      <c r="AO63" s="1" t="s">
        <v>45</v>
      </c>
      <c r="AP63" s="1" t="s">
        <v>45</v>
      </c>
      <c r="AQ63" s="1" t="s">
        <v>45</v>
      </c>
      <c r="AR63" s="1" t="s">
        <v>45</v>
      </c>
      <c r="AT63" s="1" t="s">
        <v>1528</v>
      </c>
      <c r="AW63" s="33" t="s">
        <v>1463</v>
      </c>
      <c r="AX63" s="3" t="s">
        <v>1528</v>
      </c>
      <c r="AY63" s="3"/>
      <c r="AZ63" s="1">
        <v>4</v>
      </c>
      <c r="BB63" s="1" t="s">
        <v>1530</v>
      </c>
      <c r="BC63" s="1" t="s">
        <v>1531</v>
      </c>
      <c r="BE63" s="1" t="s">
        <v>1603</v>
      </c>
      <c r="BF63" s="1" t="s">
        <v>1548</v>
      </c>
      <c r="BG63" s="1" t="s">
        <v>51</v>
      </c>
      <c r="BH63" s="1" t="s">
        <v>46</v>
      </c>
      <c r="BI63" s="1" t="s">
        <v>1535</v>
      </c>
      <c r="BJ63" s="1" t="s">
        <v>45</v>
      </c>
      <c r="BK63" s="1" t="s">
        <v>1549</v>
      </c>
      <c r="BL63" s="32">
        <v>44821</v>
      </c>
      <c r="BM63" s="1" t="s">
        <v>1775</v>
      </c>
      <c r="BO63" s="1" t="s">
        <v>1537</v>
      </c>
      <c r="BP63" s="1" t="s">
        <v>1566</v>
      </c>
      <c r="BQ63" s="1" t="s">
        <v>1539</v>
      </c>
      <c r="BR63" s="1" t="s">
        <v>1552</v>
      </c>
      <c r="BS63" s="1" t="s">
        <v>50</v>
      </c>
      <c r="BU63" s="1" t="s">
        <v>51</v>
      </c>
      <c r="BW63" s="1" t="s">
        <v>1563</v>
      </c>
      <c r="BX63" s="32">
        <v>44231</v>
      </c>
      <c r="BY63" s="1">
        <v>12</v>
      </c>
      <c r="CA63" s="1" t="s">
        <v>51</v>
      </c>
      <c r="CB63" s="1" t="s">
        <v>51</v>
      </c>
      <c r="CI63" s="1" t="s">
        <v>1776</v>
      </c>
      <c r="CJ63" s="1" t="s">
        <v>51</v>
      </c>
      <c r="CK63" s="32">
        <v>44821</v>
      </c>
      <c r="CL63" s="1" t="s">
        <v>51</v>
      </c>
      <c r="CM63" s="32">
        <v>44821</v>
      </c>
      <c r="CN63" s="1">
        <v>0</v>
      </c>
      <c r="CO63" s="1" t="s">
        <v>1537</v>
      </c>
      <c r="CP63" s="1" t="s">
        <v>1566</v>
      </c>
      <c r="CQ63" s="1" t="s">
        <v>1539</v>
      </c>
      <c r="CR63" s="1" t="s">
        <v>1552</v>
      </c>
      <c r="CS63" s="1" t="s">
        <v>50</v>
      </c>
      <c r="CT63" s="1" t="s">
        <v>1528</v>
      </c>
      <c r="CW63" s="1">
        <v>4</v>
      </c>
      <c r="CY63" s="1" t="s">
        <v>1530</v>
      </c>
      <c r="CZ63" s="1" t="s">
        <v>1531</v>
      </c>
      <c r="DB63" s="1" t="s">
        <v>1603</v>
      </c>
      <c r="DC63" s="1" t="s">
        <v>1548</v>
      </c>
      <c r="DD63" s="1" t="s">
        <v>51</v>
      </c>
      <c r="DE63" s="1" t="s">
        <v>46</v>
      </c>
      <c r="DF63" s="1" t="s">
        <v>46</v>
      </c>
      <c r="DG63" s="1" t="s">
        <v>45</v>
      </c>
      <c r="DH63" s="1" t="s">
        <v>45</v>
      </c>
      <c r="DM63" s="1" t="s">
        <v>45</v>
      </c>
      <c r="DO63" s="1" t="s">
        <v>45</v>
      </c>
      <c r="DQ63" s="1" t="s">
        <v>45</v>
      </c>
      <c r="DS63" s="1" t="s">
        <v>1777</v>
      </c>
      <c r="DT63" s="32">
        <v>44862</v>
      </c>
      <c r="DU63" s="1" t="s">
        <v>1556</v>
      </c>
      <c r="DV63" s="1">
        <v>25.2956636005256</v>
      </c>
      <c r="DW63" s="1" t="s">
        <v>45</v>
      </c>
      <c r="DY63" s="32">
        <v>44862</v>
      </c>
      <c r="DZ63" s="1" t="s">
        <v>1557</v>
      </c>
    </row>
    <row r="64" spans="1:130" ht="15.75" customHeight="1" x14ac:dyDescent="0.2">
      <c r="A64" s="8" t="s">
        <v>528</v>
      </c>
      <c r="B64" s="32">
        <v>20860</v>
      </c>
      <c r="C64" s="32">
        <v>44813</v>
      </c>
      <c r="D64" s="1">
        <v>65.580972458937097</v>
      </c>
      <c r="E64" s="1" t="s">
        <v>1523</v>
      </c>
      <c r="F64" s="1" t="s">
        <v>1578</v>
      </c>
      <c r="G64" s="1" t="s">
        <v>1574</v>
      </c>
      <c r="H64" s="1" t="s">
        <v>51</v>
      </c>
      <c r="I64" s="1">
        <v>1.64</v>
      </c>
      <c r="J64" s="1" t="s">
        <v>51</v>
      </c>
      <c r="K64" s="1">
        <v>59.3</v>
      </c>
      <c r="L64" s="1">
        <v>22.047888161808402</v>
      </c>
      <c r="M64" s="1" t="s">
        <v>45</v>
      </c>
      <c r="N64" s="1" t="s">
        <v>45</v>
      </c>
      <c r="O64" s="1" t="s">
        <v>45</v>
      </c>
      <c r="P64" s="1" t="s">
        <v>45</v>
      </c>
      <c r="Q64" s="1" t="s">
        <v>45</v>
      </c>
      <c r="R64" s="1" t="s">
        <v>45</v>
      </c>
      <c r="S64" s="1" t="s">
        <v>45</v>
      </c>
      <c r="T64" s="1" t="s">
        <v>45</v>
      </c>
      <c r="U64" s="1" t="s">
        <v>45</v>
      </c>
      <c r="V64" s="1" t="s">
        <v>45</v>
      </c>
      <c r="W64" s="1" t="s">
        <v>45</v>
      </c>
      <c r="X64" s="1" t="s">
        <v>45</v>
      </c>
      <c r="Y64" s="1" t="s">
        <v>45</v>
      </c>
      <c r="Z64" s="1" t="s">
        <v>45</v>
      </c>
      <c r="AA64" s="1" t="s">
        <v>45</v>
      </c>
      <c r="AB64" s="1" t="s">
        <v>45</v>
      </c>
      <c r="AC64" s="1" t="s">
        <v>45</v>
      </c>
      <c r="AD64" s="1" t="s">
        <v>45</v>
      </c>
      <c r="AE64" s="1" t="s">
        <v>45</v>
      </c>
      <c r="AF64" s="32">
        <v>44819</v>
      </c>
      <c r="AG64" s="1">
        <v>65.597399900978999</v>
      </c>
      <c r="AH64" s="1" t="s">
        <v>1625</v>
      </c>
      <c r="AI64" s="1" t="s">
        <v>1527</v>
      </c>
      <c r="AJ64" s="1" t="s">
        <v>45</v>
      </c>
      <c r="AK64" s="1" t="s">
        <v>45</v>
      </c>
      <c r="AL64" s="1" t="s">
        <v>45</v>
      </c>
      <c r="AM64" s="1" t="s">
        <v>45</v>
      </c>
      <c r="AN64" s="1" t="s">
        <v>45</v>
      </c>
      <c r="AO64" s="1" t="s">
        <v>45</v>
      </c>
      <c r="AP64" s="1" t="s">
        <v>45</v>
      </c>
      <c r="AQ64" s="1" t="s">
        <v>45</v>
      </c>
      <c r="AR64" s="1" t="s">
        <v>51</v>
      </c>
      <c r="AS64" s="1" t="s">
        <v>1778</v>
      </c>
      <c r="AT64" s="1" t="s">
        <v>1583</v>
      </c>
      <c r="AV64" s="1" t="s">
        <v>1713</v>
      </c>
      <c r="AW64" s="33" t="s">
        <v>1713</v>
      </c>
      <c r="AX64" s="3"/>
      <c r="AY64" s="3"/>
      <c r="AZ64" s="1">
        <v>2</v>
      </c>
      <c r="BB64" s="1" t="s">
        <v>1530</v>
      </c>
      <c r="BC64" s="1" t="s">
        <v>1531</v>
      </c>
      <c r="BE64" s="1" t="s">
        <v>1533</v>
      </c>
      <c r="BG64" s="1" t="s">
        <v>1525</v>
      </c>
      <c r="BH64" s="1" t="s">
        <v>46</v>
      </c>
      <c r="BI64" s="1" t="s">
        <v>1535</v>
      </c>
      <c r="BJ64" s="1" t="s">
        <v>45</v>
      </c>
      <c r="BK64" s="1" t="s">
        <v>1549</v>
      </c>
      <c r="BL64" s="32">
        <v>44819</v>
      </c>
      <c r="BM64" s="1" t="s">
        <v>1779</v>
      </c>
      <c r="BO64" s="1" t="s">
        <v>1537</v>
      </c>
      <c r="BP64" s="1" t="s">
        <v>1551</v>
      </c>
      <c r="BQ64" s="1" t="s">
        <v>1539</v>
      </c>
      <c r="BR64" s="1" t="s">
        <v>1562</v>
      </c>
      <c r="BS64" s="1" t="s">
        <v>1780</v>
      </c>
      <c r="BU64" s="1" t="s">
        <v>51</v>
      </c>
      <c r="BW64" s="1" t="s">
        <v>1542</v>
      </c>
      <c r="CA64" s="1" t="s">
        <v>45</v>
      </c>
      <c r="CB64" s="1" t="s">
        <v>51</v>
      </c>
      <c r="CC64" s="32">
        <v>44972</v>
      </c>
      <c r="CD64" s="1" t="s">
        <v>1781</v>
      </c>
      <c r="CE64" s="1">
        <v>30</v>
      </c>
      <c r="CJ64" s="1" t="s">
        <v>45</v>
      </c>
      <c r="DH64" s="1" t="s">
        <v>45</v>
      </c>
      <c r="DM64" s="1" t="s">
        <v>45</v>
      </c>
      <c r="DO64" s="1" t="s">
        <v>45</v>
      </c>
      <c r="DQ64" s="1" t="s">
        <v>45</v>
      </c>
      <c r="DT64" s="32">
        <v>45525</v>
      </c>
      <c r="DU64" s="1" t="s">
        <v>1598</v>
      </c>
      <c r="DV64" s="1">
        <v>23.1931668856767</v>
      </c>
      <c r="DW64" s="1" t="s">
        <v>45</v>
      </c>
      <c r="DY64" s="32">
        <v>45525</v>
      </c>
      <c r="DZ64" s="1" t="s">
        <v>1557</v>
      </c>
    </row>
    <row r="65" spans="1:130" ht="15.75" customHeight="1" x14ac:dyDescent="0.2">
      <c r="A65" s="8" t="s">
        <v>533</v>
      </c>
      <c r="B65" s="32">
        <v>37803</v>
      </c>
      <c r="C65" s="32">
        <v>39458</v>
      </c>
      <c r="D65" s="1">
        <v>4.5313501760246</v>
      </c>
      <c r="E65" s="1" t="s">
        <v>1587</v>
      </c>
      <c r="F65" s="1" t="s">
        <v>1524</v>
      </c>
      <c r="G65" s="1" t="s">
        <v>1574</v>
      </c>
      <c r="H65" s="1" t="s">
        <v>51</v>
      </c>
      <c r="I65" s="1">
        <v>1.65</v>
      </c>
      <c r="J65" s="1" t="s">
        <v>51</v>
      </c>
      <c r="K65" s="1">
        <v>52.1</v>
      </c>
      <c r="L65" s="1">
        <v>19.136822773186399</v>
      </c>
      <c r="M65" s="1" t="s">
        <v>45</v>
      </c>
      <c r="N65" s="1" t="s">
        <v>45</v>
      </c>
      <c r="O65" s="1" t="s">
        <v>45</v>
      </c>
      <c r="P65" s="1" t="s">
        <v>45</v>
      </c>
      <c r="Q65" s="1" t="s">
        <v>45</v>
      </c>
      <c r="R65" s="1" t="s">
        <v>45</v>
      </c>
      <c r="S65" s="1" t="s">
        <v>45</v>
      </c>
      <c r="T65" s="1" t="s">
        <v>45</v>
      </c>
      <c r="U65" s="1" t="s">
        <v>45</v>
      </c>
      <c r="V65" s="1" t="s">
        <v>45</v>
      </c>
      <c r="W65" s="1" t="s">
        <v>45</v>
      </c>
      <c r="X65" s="1" t="s">
        <v>45</v>
      </c>
      <c r="Y65" s="1" t="s">
        <v>45</v>
      </c>
      <c r="Z65" s="1" t="s">
        <v>45</v>
      </c>
      <c r="AA65" s="1" t="s">
        <v>45</v>
      </c>
      <c r="AB65" s="1" t="s">
        <v>45</v>
      </c>
      <c r="AC65" s="1" t="s">
        <v>45</v>
      </c>
      <c r="AD65" s="1" t="s">
        <v>45</v>
      </c>
      <c r="AE65" s="1" t="s">
        <v>45</v>
      </c>
      <c r="AF65" s="32">
        <v>39458</v>
      </c>
      <c r="AG65" s="1">
        <v>4.5313501760246</v>
      </c>
      <c r="AH65" s="1" t="s">
        <v>1526</v>
      </c>
      <c r="AI65" s="1" t="s">
        <v>1527</v>
      </c>
      <c r="AJ65" s="1" t="s">
        <v>45</v>
      </c>
      <c r="AK65" s="1" t="s">
        <v>45</v>
      </c>
      <c r="AL65" s="1" t="s">
        <v>45</v>
      </c>
      <c r="AM65" s="1" t="s">
        <v>45</v>
      </c>
      <c r="AN65" s="1" t="s">
        <v>45</v>
      </c>
      <c r="AO65" s="1" t="s">
        <v>45</v>
      </c>
      <c r="AP65" s="1" t="s">
        <v>45</v>
      </c>
      <c r="AQ65" s="1" t="s">
        <v>45</v>
      </c>
      <c r="AR65" s="1" t="s">
        <v>45</v>
      </c>
      <c r="AT65" s="1" t="s">
        <v>1583</v>
      </c>
      <c r="AU65" s="1" t="s">
        <v>1668</v>
      </c>
      <c r="AW65" s="33" t="s">
        <v>1464</v>
      </c>
      <c r="AX65" s="3"/>
      <c r="AY65" s="33" t="s">
        <v>1668</v>
      </c>
      <c r="AZ65" s="1">
        <v>1</v>
      </c>
      <c r="BB65" s="1" t="s">
        <v>1530</v>
      </c>
      <c r="BC65" s="1" t="s">
        <v>1561</v>
      </c>
      <c r="BE65" s="1" t="s">
        <v>1525</v>
      </c>
      <c r="BG65" s="1" t="s">
        <v>1525</v>
      </c>
      <c r="BH65" s="1" t="s">
        <v>1525</v>
      </c>
      <c r="BI65" s="1" t="s">
        <v>1525</v>
      </c>
      <c r="BJ65" s="1" t="s">
        <v>1525</v>
      </c>
      <c r="BK65" s="1" t="s">
        <v>1549</v>
      </c>
      <c r="BL65" s="32">
        <v>39448</v>
      </c>
      <c r="BM65" s="1" t="s">
        <v>534</v>
      </c>
      <c r="BO65" s="1" t="s">
        <v>1537</v>
      </c>
      <c r="BP65" s="1" t="s">
        <v>1551</v>
      </c>
      <c r="BQ65" s="1" t="s">
        <v>1605</v>
      </c>
      <c r="BR65" s="1" t="s">
        <v>1562</v>
      </c>
      <c r="BS65" s="1" t="s">
        <v>90</v>
      </c>
      <c r="BU65" s="1" t="s">
        <v>51</v>
      </c>
      <c r="BW65" s="1" t="s">
        <v>1542</v>
      </c>
      <c r="CA65" s="1" t="s">
        <v>45</v>
      </c>
      <c r="CB65" s="1" t="s">
        <v>45</v>
      </c>
      <c r="CI65" s="1" t="s">
        <v>1782</v>
      </c>
      <c r="CJ65" s="1" t="s">
        <v>51</v>
      </c>
      <c r="CK65" s="32">
        <v>39539</v>
      </c>
      <c r="CL65" s="1" t="s">
        <v>45</v>
      </c>
      <c r="DH65" s="1" t="s">
        <v>51</v>
      </c>
      <c r="DI65" s="1" t="s">
        <v>1783</v>
      </c>
      <c r="DJ65" s="32">
        <v>39539</v>
      </c>
      <c r="DK65" s="1" t="s">
        <v>1569</v>
      </c>
      <c r="DM65" s="1" t="s">
        <v>45</v>
      </c>
      <c r="DO65" s="1" t="s">
        <v>51</v>
      </c>
      <c r="DP65" s="1" t="s">
        <v>1784</v>
      </c>
      <c r="DQ65" s="1" t="s">
        <v>51</v>
      </c>
      <c r="DR65" s="1" t="s">
        <v>1785</v>
      </c>
      <c r="DS65" s="1" t="s">
        <v>1786</v>
      </c>
      <c r="DT65" s="32">
        <v>45755</v>
      </c>
      <c r="DU65" s="1" t="s">
        <v>1598</v>
      </c>
      <c r="DV65" s="1">
        <v>206.864597021463</v>
      </c>
      <c r="DY65" s="32">
        <v>45755</v>
      </c>
      <c r="DZ65" s="1" t="s">
        <v>1557</v>
      </c>
    </row>
    <row r="66" spans="1:130" ht="15.75" customHeight="1" x14ac:dyDescent="0.2">
      <c r="A66" s="8" t="s">
        <v>266</v>
      </c>
      <c r="B66" s="32">
        <v>30631</v>
      </c>
      <c r="C66" s="32">
        <v>44827</v>
      </c>
      <c r="D66" s="1">
        <v>38.867213791750203</v>
      </c>
      <c r="E66" s="1" t="s">
        <v>1587</v>
      </c>
      <c r="F66" s="1" t="s">
        <v>1524</v>
      </c>
      <c r="G66" s="1" t="s">
        <v>1574</v>
      </c>
      <c r="H66" s="1" t="s">
        <v>51</v>
      </c>
      <c r="I66" s="1">
        <v>1.5940000000000001</v>
      </c>
      <c r="J66" s="1" t="s">
        <v>51</v>
      </c>
      <c r="K66" s="1">
        <v>53</v>
      </c>
      <c r="L66" s="1">
        <v>20.859276238214498</v>
      </c>
      <c r="M66" s="1" t="s">
        <v>45</v>
      </c>
      <c r="N66" s="1" t="s">
        <v>45</v>
      </c>
      <c r="O66" s="1" t="s">
        <v>45</v>
      </c>
      <c r="P66" s="1" t="s">
        <v>45</v>
      </c>
      <c r="Q66" s="1" t="s">
        <v>45</v>
      </c>
      <c r="R66" s="1" t="s">
        <v>45</v>
      </c>
      <c r="S66" s="1" t="s">
        <v>45</v>
      </c>
      <c r="T66" s="1" t="s">
        <v>45</v>
      </c>
      <c r="U66" s="1" t="s">
        <v>45</v>
      </c>
      <c r="V66" s="1" t="s">
        <v>45</v>
      </c>
      <c r="W66" s="1" t="s">
        <v>45</v>
      </c>
      <c r="X66" s="1" t="s">
        <v>45</v>
      </c>
      <c r="Y66" s="1" t="s">
        <v>45</v>
      </c>
      <c r="Z66" s="1" t="s">
        <v>45</v>
      </c>
      <c r="AA66" s="1" t="s">
        <v>45</v>
      </c>
      <c r="AB66" s="1" t="s">
        <v>45</v>
      </c>
      <c r="AC66" s="1" t="s">
        <v>45</v>
      </c>
      <c r="AD66" s="1" t="s">
        <v>45</v>
      </c>
      <c r="AE66" s="1" t="s">
        <v>45</v>
      </c>
      <c r="AF66" s="32">
        <v>44838</v>
      </c>
      <c r="AG66" s="1">
        <v>38.897330768827103</v>
      </c>
      <c r="AH66" s="1" t="s">
        <v>1613</v>
      </c>
      <c r="AI66" s="1" t="s">
        <v>1527</v>
      </c>
      <c r="AJ66" s="1" t="s">
        <v>45</v>
      </c>
      <c r="AK66" s="1" t="s">
        <v>45</v>
      </c>
      <c r="AL66" s="1" t="s">
        <v>45</v>
      </c>
      <c r="AM66" s="1" t="s">
        <v>45</v>
      </c>
      <c r="AN66" s="1" t="s">
        <v>51</v>
      </c>
      <c r="AO66" s="1" t="s">
        <v>45</v>
      </c>
      <c r="AP66" s="1" t="s">
        <v>45</v>
      </c>
      <c r="AQ66" s="1" t="s">
        <v>45</v>
      </c>
      <c r="AR66" s="1" t="s">
        <v>45</v>
      </c>
      <c r="AT66" s="1" t="s">
        <v>1583</v>
      </c>
      <c r="AU66" s="1" t="s">
        <v>1787</v>
      </c>
      <c r="AW66" s="33" t="s">
        <v>1463</v>
      </c>
      <c r="AX66" s="33" t="s">
        <v>1787</v>
      </c>
      <c r="AY66" s="3"/>
      <c r="AZ66" s="1">
        <v>4</v>
      </c>
      <c r="BB66" s="1" t="s">
        <v>1530</v>
      </c>
      <c r="BC66" s="1" t="s">
        <v>1561</v>
      </c>
      <c r="BE66" s="1" t="s">
        <v>1603</v>
      </c>
      <c r="BF66" s="1" t="s">
        <v>1548</v>
      </c>
      <c r="BG66" s="1" t="s">
        <v>45</v>
      </c>
      <c r="BH66" s="1" t="s">
        <v>46</v>
      </c>
      <c r="BI66" s="1" t="s">
        <v>1599</v>
      </c>
      <c r="BJ66" s="1" t="s">
        <v>45</v>
      </c>
      <c r="BK66" s="1" t="s">
        <v>1549</v>
      </c>
      <c r="BL66" s="32">
        <v>44838</v>
      </c>
      <c r="BM66" s="1" t="s">
        <v>1788</v>
      </c>
      <c r="BO66" s="1" t="s">
        <v>1537</v>
      </c>
      <c r="BP66" s="1" t="s">
        <v>1551</v>
      </c>
      <c r="BQ66" s="1" t="s">
        <v>1539</v>
      </c>
      <c r="BR66" s="1" t="s">
        <v>1552</v>
      </c>
      <c r="BS66" s="1" t="s">
        <v>43</v>
      </c>
      <c r="BU66" s="1" t="s">
        <v>51</v>
      </c>
      <c r="BW66" s="1" t="s">
        <v>1563</v>
      </c>
      <c r="BX66" s="32">
        <v>44951</v>
      </c>
      <c r="BY66" s="1">
        <v>1</v>
      </c>
      <c r="CA66" s="1" t="s">
        <v>51</v>
      </c>
      <c r="CB66" s="1" t="s">
        <v>51</v>
      </c>
      <c r="CC66" s="32">
        <v>44862</v>
      </c>
      <c r="CD66" s="1">
        <v>60</v>
      </c>
      <c r="CE66" s="1">
        <v>30</v>
      </c>
      <c r="CJ66" s="1" t="s">
        <v>51</v>
      </c>
      <c r="CK66" s="32">
        <v>45139</v>
      </c>
      <c r="CL66" s="1" t="s">
        <v>45</v>
      </c>
      <c r="DH66" s="1" t="s">
        <v>45</v>
      </c>
      <c r="DM66" s="1" t="s">
        <v>51</v>
      </c>
      <c r="DN66" s="1" t="s">
        <v>1789</v>
      </c>
      <c r="DO66" s="1" t="s">
        <v>45</v>
      </c>
      <c r="DQ66" s="1" t="s">
        <v>45</v>
      </c>
      <c r="DT66" s="32">
        <v>45265</v>
      </c>
      <c r="DU66" s="1" t="s">
        <v>1543</v>
      </c>
      <c r="DV66" s="1">
        <v>14.0289640823477</v>
      </c>
      <c r="DY66" s="32">
        <v>45265</v>
      </c>
      <c r="DZ66" s="1" t="s">
        <v>1557</v>
      </c>
    </row>
    <row r="67" spans="1:130" ht="15.75" customHeight="1" x14ac:dyDescent="0.2">
      <c r="A67" s="8" t="s">
        <v>536</v>
      </c>
      <c r="B67" s="32">
        <v>24214</v>
      </c>
      <c r="C67" s="32">
        <v>44831</v>
      </c>
      <c r="D67" s="1">
        <v>56.447314683623397</v>
      </c>
      <c r="E67" s="1" t="s">
        <v>1523</v>
      </c>
      <c r="F67" s="1" t="s">
        <v>1524</v>
      </c>
      <c r="G67" s="1" t="s">
        <v>1574</v>
      </c>
      <c r="H67" s="1" t="s">
        <v>51</v>
      </c>
      <c r="I67" s="1">
        <v>1.82</v>
      </c>
      <c r="J67" s="1" t="s">
        <v>51</v>
      </c>
      <c r="K67" s="1">
        <v>89.1</v>
      </c>
      <c r="L67" s="1">
        <v>26.898925250573502</v>
      </c>
      <c r="M67" s="1" t="s">
        <v>45</v>
      </c>
      <c r="N67" s="1" t="s">
        <v>45</v>
      </c>
      <c r="O67" s="1" t="s">
        <v>51</v>
      </c>
      <c r="P67" s="1" t="s">
        <v>45</v>
      </c>
      <c r="Q67" s="1" t="s">
        <v>45</v>
      </c>
      <c r="R67" s="1" t="s">
        <v>45</v>
      </c>
      <c r="S67" s="1" t="s">
        <v>45</v>
      </c>
      <c r="T67" s="1" t="s">
        <v>45</v>
      </c>
      <c r="U67" s="1" t="s">
        <v>51</v>
      </c>
      <c r="V67" s="1" t="s">
        <v>45</v>
      </c>
      <c r="W67" s="1" t="s">
        <v>45</v>
      </c>
      <c r="X67" s="1" t="s">
        <v>45</v>
      </c>
      <c r="Y67" s="1" t="s">
        <v>45</v>
      </c>
      <c r="Z67" s="1" t="s">
        <v>45</v>
      </c>
      <c r="AA67" s="1" t="s">
        <v>45</v>
      </c>
      <c r="AB67" s="1" t="s">
        <v>45</v>
      </c>
      <c r="AC67" s="1" t="s">
        <v>45</v>
      </c>
      <c r="AD67" s="1" t="s">
        <v>45</v>
      </c>
      <c r="AE67" s="1" t="s">
        <v>45</v>
      </c>
      <c r="AF67" s="32">
        <v>44838</v>
      </c>
      <c r="AG67" s="1">
        <v>56.466480032672301</v>
      </c>
      <c r="AH67" s="1" t="s">
        <v>1526</v>
      </c>
      <c r="AI67" s="1" t="s">
        <v>1527</v>
      </c>
      <c r="AJ67" s="1" t="s">
        <v>45</v>
      </c>
      <c r="AK67" s="1" t="s">
        <v>45</v>
      </c>
      <c r="AL67" s="1" t="s">
        <v>45</v>
      </c>
      <c r="AM67" s="1" t="s">
        <v>45</v>
      </c>
      <c r="AN67" s="1" t="s">
        <v>51</v>
      </c>
      <c r="AO67" s="1" t="s">
        <v>45</v>
      </c>
      <c r="AP67" s="1" t="s">
        <v>45</v>
      </c>
      <c r="AQ67" s="1" t="s">
        <v>45</v>
      </c>
      <c r="AR67" s="1" t="s">
        <v>45</v>
      </c>
      <c r="AT67" s="1" t="s">
        <v>1528</v>
      </c>
      <c r="AW67" s="33" t="s">
        <v>1463</v>
      </c>
      <c r="AX67" s="3" t="s">
        <v>1528</v>
      </c>
      <c r="AY67" s="3"/>
      <c r="AZ67" s="1">
        <v>4</v>
      </c>
      <c r="BA67" s="1">
        <v>4</v>
      </c>
      <c r="BB67" s="1" t="s">
        <v>1530</v>
      </c>
      <c r="BC67" s="1" t="s">
        <v>1561</v>
      </c>
      <c r="BE67" s="1" t="s">
        <v>1525</v>
      </c>
      <c r="BG67" s="1" t="s">
        <v>45</v>
      </c>
      <c r="BH67" s="1" t="s">
        <v>46</v>
      </c>
      <c r="BI67" s="1" t="s">
        <v>1535</v>
      </c>
      <c r="BJ67" s="1" t="s">
        <v>45</v>
      </c>
      <c r="BK67" s="1" t="s">
        <v>1549</v>
      </c>
      <c r="BL67" s="32">
        <v>44838</v>
      </c>
      <c r="BM67" s="1" t="s">
        <v>1790</v>
      </c>
      <c r="BO67" s="1" t="s">
        <v>1537</v>
      </c>
      <c r="BP67" s="1" t="s">
        <v>1551</v>
      </c>
      <c r="BQ67" s="1" t="s">
        <v>1539</v>
      </c>
      <c r="BR67" s="1" t="s">
        <v>1589</v>
      </c>
      <c r="BS67" s="1" t="s">
        <v>1592</v>
      </c>
      <c r="BU67" s="1" t="s">
        <v>51</v>
      </c>
      <c r="BW67" s="1" t="s">
        <v>1563</v>
      </c>
      <c r="BX67" s="32">
        <v>44614</v>
      </c>
      <c r="BY67" s="1">
        <v>3</v>
      </c>
      <c r="BZ67" s="1" t="s">
        <v>1791</v>
      </c>
      <c r="CA67" s="1" t="s">
        <v>51</v>
      </c>
      <c r="CB67" s="1" t="s">
        <v>51</v>
      </c>
      <c r="CC67" s="32">
        <v>44866</v>
      </c>
      <c r="CD67" s="1">
        <v>60</v>
      </c>
      <c r="CE67" s="1">
        <v>30</v>
      </c>
      <c r="CJ67" s="1" t="s">
        <v>51</v>
      </c>
      <c r="CK67" s="32">
        <v>45781</v>
      </c>
      <c r="CL67" s="1" t="s">
        <v>45</v>
      </c>
      <c r="DH67" s="1" t="s">
        <v>45</v>
      </c>
      <c r="DM67" s="1" t="s">
        <v>45</v>
      </c>
      <c r="DO67" s="1" t="s">
        <v>45</v>
      </c>
      <c r="DQ67" s="1" t="s">
        <v>45</v>
      </c>
      <c r="DS67" s="1" t="s">
        <v>1792</v>
      </c>
      <c r="DT67" s="32">
        <v>45063</v>
      </c>
      <c r="DU67" s="1" t="s">
        <v>1556</v>
      </c>
      <c r="DV67" s="1">
        <v>7.3915900131405996</v>
      </c>
      <c r="DW67" s="1" t="s">
        <v>45</v>
      </c>
    </row>
    <row r="68" spans="1:130" ht="15.75" customHeight="1" x14ac:dyDescent="0.2">
      <c r="A68" s="8" t="s">
        <v>271</v>
      </c>
      <c r="B68" s="32">
        <v>24747</v>
      </c>
      <c r="C68" s="32">
        <v>44839</v>
      </c>
      <c r="D68" s="1">
        <v>55.010027584413002</v>
      </c>
      <c r="E68" s="1" t="s">
        <v>1523</v>
      </c>
      <c r="F68" s="1" t="s">
        <v>1524</v>
      </c>
      <c r="G68" s="1" t="s">
        <v>1686</v>
      </c>
      <c r="H68" s="1" t="s">
        <v>51</v>
      </c>
      <c r="I68" s="1">
        <v>1.635</v>
      </c>
      <c r="J68" s="1" t="s">
        <v>51</v>
      </c>
      <c r="K68" s="1">
        <v>55.2</v>
      </c>
      <c r="L68" s="1">
        <v>20.649215834806199</v>
      </c>
      <c r="M68" s="1" t="s">
        <v>45</v>
      </c>
      <c r="N68" s="1" t="s">
        <v>45</v>
      </c>
      <c r="O68" s="1" t="s">
        <v>45</v>
      </c>
      <c r="P68" s="1" t="s">
        <v>45</v>
      </c>
      <c r="Q68" s="1" t="s">
        <v>45</v>
      </c>
      <c r="R68" s="1" t="s">
        <v>45</v>
      </c>
      <c r="S68" s="1" t="s">
        <v>45</v>
      </c>
      <c r="T68" s="1" t="s">
        <v>45</v>
      </c>
      <c r="U68" s="1" t="s">
        <v>51</v>
      </c>
      <c r="V68" s="1" t="s">
        <v>45</v>
      </c>
      <c r="W68" s="1" t="s">
        <v>45</v>
      </c>
      <c r="X68" s="1" t="s">
        <v>45</v>
      </c>
      <c r="Y68" s="1" t="s">
        <v>45</v>
      </c>
      <c r="Z68" s="1" t="s">
        <v>45</v>
      </c>
      <c r="AA68" s="1" t="s">
        <v>51</v>
      </c>
      <c r="AB68" s="1" t="s">
        <v>45</v>
      </c>
      <c r="AC68" s="1" t="s">
        <v>45</v>
      </c>
      <c r="AD68" s="1" t="s">
        <v>45</v>
      </c>
      <c r="AE68" s="1" t="s">
        <v>45</v>
      </c>
      <c r="AF68" s="32">
        <v>44839</v>
      </c>
      <c r="AG68" s="1">
        <v>55.010027584413002</v>
      </c>
      <c r="AH68" s="1" t="s">
        <v>1526</v>
      </c>
      <c r="AI68" s="1" t="s">
        <v>1527</v>
      </c>
      <c r="AJ68" s="1" t="s">
        <v>45</v>
      </c>
      <c r="AK68" s="1" t="s">
        <v>51</v>
      </c>
      <c r="AL68" s="1" t="s">
        <v>45</v>
      </c>
      <c r="AM68" s="1" t="s">
        <v>45</v>
      </c>
      <c r="AN68" s="1" t="s">
        <v>45</v>
      </c>
      <c r="AO68" s="1" t="s">
        <v>45</v>
      </c>
      <c r="AP68" s="1" t="s">
        <v>45</v>
      </c>
      <c r="AQ68" s="1" t="s">
        <v>51</v>
      </c>
      <c r="AR68" s="1" t="s">
        <v>45</v>
      </c>
      <c r="AT68" s="1" t="s">
        <v>1528</v>
      </c>
      <c r="AW68" s="33" t="s">
        <v>1463</v>
      </c>
      <c r="AX68" s="3" t="s">
        <v>1528</v>
      </c>
      <c r="AY68" s="3"/>
      <c r="AZ68" s="1">
        <v>4</v>
      </c>
      <c r="BB68" s="1" t="s">
        <v>1530</v>
      </c>
      <c r="BC68" s="1" t="s">
        <v>1531</v>
      </c>
      <c r="BE68" s="1" t="s">
        <v>1603</v>
      </c>
      <c r="BG68" s="1" t="s">
        <v>45</v>
      </c>
      <c r="BH68" s="1" t="s">
        <v>46</v>
      </c>
      <c r="BI68" s="1" t="s">
        <v>1535</v>
      </c>
      <c r="BJ68" s="1" t="s">
        <v>45</v>
      </c>
      <c r="BK68" s="1" t="s">
        <v>1549</v>
      </c>
      <c r="BL68" s="32">
        <v>44839</v>
      </c>
      <c r="BO68" s="1" t="s">
        <v>1537</v>
      </c>
      <c r="BP68" s="1" t="s">
        <v>1551</v>
      </c>
      <c r="BQ68" s="1" t="s">
        <v>1539</v>
      </c>
      <c r="BR68" s="1" t="s">
        <v>1540</v>
      </c>
      <c r="BS68" s="1" t="s">
        <v>106</v>
      </c>
      <c r="BU68" s="1" t="s">
        <v>51</v>
      </c>
      <c r="BW68" s="1" t="s">
        <v>1563</v>
      </c>
      <c r="BY68" s="1">
        <v>6</v>
      </c>
      <c r="CA68" s="1" t="s">
        <v>51</v>
      </c>
      <c r="CB68" s="1" t="s">
        <v>51</v>
      </c>
      <c r="CI68" s="1" t="s">
        <v>1793</v>
      </c>
      <c r="CJ68" s="1" t="s">
        <v>51</v>
      </c>
      <c r="CK68" s="32">
        <v>45133</v>
      </c>
      <c r="CL68" s="1" t="s">
        <v>45</v>
      </c>
      <c r="DH68" s="1" t="s">
        <v>45</v>
      </c>
      <c r="DM68" s="1" t="s">
        <v>45</v>
      </c>
      <c r="DO68" s="1" t="s">
        <v>45</v>
      </c>
      <c r="DQ68" s="1" t="s">
        <v>45</v>
      </c>
      <c r="DS68" s="1" t="s">
        <v>1794</v>
      </c>
      <c r="DT68" s="32">
        <v>45261</v>
      </c>
      <c r="DU68" s="1" t="s">
        <v>1556</v>
      </c>
      <c r="DV68" s="1">
        <v>13.8647065265002</v>
      </c>
      <c r="DW68" s="1" t="s">
        <v>45</v>
      </c>
      <c r="DY68" s="32">
        <v>45261</v>
      </c>
      <c r="DZ68" s="1" t="s">
        <v>1557</v>
      </c>
    </row>
    <row r="69" spans="1:130" ht="15.75" customHeight="1" x14ac:dyDescent="0.2">
      <c r="A69" s="8" t="s">
        <v>276</v>
      </c>
      <c r="B69" s="32">
        <v>24220</v>
      </c>
      <c r="C69" s="32">
        <v>44671</v>
      </c>
      <c r="D69" s="1">
        <v>55.9929361999219</v>
      </c>
      <c r="E69" s="1" t="s">
        <v>1587</v>
      </c>
      <c r="F69" s="1" t="s">
        <v>1524</v>
      </c>
      <c r="G69" s="1" t="s">
        <v>1574</v>
      </c>
      <c r="H69" s="1" t="s">
        <v>51</v>
      </c>
      <c r="I69" s="1">
        <v>1.6259999999999999</v>
      </c>
      <c r="J69" s="1" t="s">
        <v>51</v>
      </c>
      <c r="K69" s="1">
        <v>106</v>
      </c>
      <c r="L69" s="1">
        <v>40.092651849027703</v>
      </c>
      <c r="M69" s="1" t="s">
        <v>45</v>
      </c>
      <c r="N69" s="1" t="s">
        <v>45</v>
      </c>
      <c r="O69" s="1" t="s">
        <v>45</v>
      </c>
      <c r="P69" s="1" t="s">
        <v>45</v>
      </c>
      <c r="Q69" s="1" t="s">
        <v>45</v>
      </c>
      <c r="R69" s="1" t="s">
        <v>45</v>
      </c>
      <c r="S69" s="1" t="s">
        <v>45</v>
      </c>
      <c r="T69" s="1" t="s">
        <v>45</v>
      </c>
      <c r="U69" s="1" t="s">
        <v>45</v>
      </c>
      <c r="V69" s="1" t="s">
        <v>45</v>
      </c>
      <c r="W69" s="1" t="s">
        <v>45</v>
      </c>
      <c r="X69" s="1" t="s">
        <v>45</v>
      </c>
      <c r="Y69" s="1" t="s">
        <v>45</v>
      </c>
      <c r="Z69" s="1" t="s">
        <v>45</v>
      </c>
      <c r="AA69" s="1" t="s">
        <v>45</v>
      </c>
      <c r="AB69" s="1" t="s">
        <v>45</v>
      </c>
      <c r="AC69" s="1" t="s">
        <v>45</v>
      </c>
      <c r="AD69" s="1" t="s">
        <v>45</v>
      </c>
      <c r="AE69" s="1" t="s">
        <v>45</v>
      </c>
      <c r="AF69" s="32">
        <v>44653</v>
      </c>
      <c r="AG69" s="1">
        <v>55.943653873796102</v>
      </c>
      <c r="AH69" s="1" t="s">
        <v>1526</v>
      </c>
      <c r="AI69" s="1" t="s">
        <v>1527</v>
      </c>
      <c r="AJ69" s="1" t="s">
        <v>45</v>
      </c>
      <c r="AK69" s="1" t="s">
        <v>45</v>
      </c>
      <c r="AL69" s="1" t="s">
        <v>51</v>
      </c>
      <c r="AM69" s="1" t="s">
        <v>51</v>
      </c>
      <c r="AN69" s="1" t="s">
        <v>45</v>
      </c>
      <c r="AO69" s="1" t="s">
        <v>45</v>
      </c>
      <c r="AP69" s="1" t="s">
        <v>51</v>
      </c>
      <c r="AQ69" s="1" t="s">
        <v>51</v>
      </c>
      <c r="AR69" s="1" t="s">
        <v>45</v>
      </c>
      <c r="AT69" s="1" t="s">
        <v>1528</v>
      </c>
      <c r="AW69" s="33" t="s">
        <v>1463</v>
      </c>
      <c r="AX69" s="3" t="s">
        <v>1528</v>
      </c>
      <c r="AY69" s="3"/>
      <c r="AZ69" s="1">
        <v>4</v>
      </c>
      <c r="BA69" s="1" t="s">
        <v>1529</v>
      </c>
      <c r="BB69" s="1" t="s">
        <v>1530</v>
      </c>
      <c r="BC69" s="1" t="s">
        <v>1531</v>
      </c>
      <c r="BD69" s="1" t="s">
        <v>1532</v>
      </c>
      <c r="BE69" s="1" t="s">
        <v>1533</v>
      </c>
      <c r="BF69" s="1" t="s">
        <v>1534</v>
      </c>
      <c r="BG69" s="1" t="s">
        <v>45</v>
      </c>
      <c r="BH69" s="1" t="s">
        <v>46</v>
      </c>
      <c r="BI69" s="1" t="s">
        <v>1535</v>
      </c>
      <c r="BJ69" s="1" t="s">
        <v>45</v>
      </c>
      <c r="BK69" s="1" t="s">
        <v>1536</v>
      </c>
      <c r="BL69" s="32">
        <v>44653</v>
      </c>
      <c r="BO69" s="1" t="s">
        <v>1537</v>
      </c>
      <c r="BP69" s="1" t="s">
        <v>1538</v>
      </c>
      <c r="BQ69" s="1" t="s">
        <v>1539</v>
      </c>
      <c r="BR69" s="1" t="s">
        <v>1540</v>
      </c>
      <c r="BS69" s="1" t="s">
        <v>43</v>
      </c>
      <c r="BW69" s="1" t="s">
        <v>1563</v>
      </c>
      <c r="BX69" s="32">
        <v>44762</v>
      </c>
      <c r="BY69" s="1">
        <v>3</v>
      </c>
      <c r="BZ69" s="1" t="s">
        <v>1795</v>
      </c>
      <c r="CA69" s="1" t="s">
        <v>51</v>
      </c>
      <c r="CB69" s="1" t="s">
        <v>51</v>
      </c>
      <c r="CC69" s="32">
        <v>44683</v>
      </c>
      <c r="CD69" s="1">
        <v>60</v>
      </c>
      <c r="CE69" s="1">
        <v>30</v>
      </c>
      <c r="CJ69" s="1" t="s">
        <v>51</v>
      </c>
      <c r="CK69" s="32">
        <v>44835</v>
      </c>
      <c r="CL69" s="1" t="s">
        <v>51</v>
      </c>
      <c r="CM69" s="32">
        <v>44853</v>
      </c>
      <c r="CN69" s="1">
        <v>0.54758140139770095</v>
      </c>
      <c r="CO69" s="1" t="s">
        <v>1537</v>
      </c>
      <c r="CP69" s="1" t="s">
        <v>1796</v>
      </c>
      <c r="CQ69" s="1" t="s">
        <v>1539</v>
      </c>
      <c r="CR69" s="1" t="s">
        <v>1540</v>
      </c>
      <c r="CS69" s="1" t="s">
        <v>43</v>
      </c>
      <c r="CT69" s="1" t="s">
        <v>1528</v>
      </c>
      <c r="CW69" s="1">
        <v>4</v>
      </c>
      <c r="CX69" s="1" t="s">
        <v>1529</v>
      </c>
      <c r="CY69" s="1" t="s">
        <v>1530</v>
      </c>
      <c r="CZ69" s="1" t="s">
        <v>1531</v>
      </c>
      <c r="DA69" s="1" t="s">
        <v>1532</v>
      </c>
      <c r="DB69" s="1" t="s">
        <v>1533</v>
      </c>
      <c r="DC69" s="1" t="s">
        <v>1534</v>
      </c>
      <c r="DD69" s="1" t="s">
        <v>45</v>
      </c>
      <c r="DE69" s="1" t="s">
        <v>46</v>
      </c>
      <c r="DF69" s="1" t="s">
        <v>68</v>
      </c>
      <c r="DG69" s="1" t="s">
        <v>45</v>
      </c>
      <c r="DH69" s="1" t="s">
        <v>51</v>
      </c>
      <c r="DI69" s="1" t="s">
        <v>1797</v>
      </c>
      <c r="DJ69" s="32">
        <v>44881</v>
      </c>
      <c r="DK69" s="1" t="s">
        <v>1569</v>
      </c>
      <c r="DM69" s="1" t="s">
        <v>45</v>
      </c>
      <c r="DO69" s="1" t="s">
        <v>45</v>
      </c>
      <c r="DQ69" s="1" t="s">
        <v>45</v>
      </c>
      <c r="DT69" s="32">
        <v>44897</v>
      </c>
      <c r="DU69" s="1" t="s">
        <v>1543</v>
      </c>
      <c r="DV69" s="1">
        <v>8.0157687253613599</v>
      </c>
      <c r="DW69" s="1" t="s">
        <v>45</v>
      </c>
      <c r="DY69" s="32">
        <v>45810</v>
      </c>
      <c r="DZ69" s="1" t="s">
        <v>1544</v>
      </c>
    </row>
    <row r="70" spans="1:130" ht="15.75" customHeight="1" x14ac:dyDescent="0.2">
      <c r="A70" s="8" t="s">
        <v>280</v>
      </c>
      <c r="B70" s="32">
        <v>28492</v>
      </c>
      <c r="C70" s="32">
        <v>44854</v>
      </c>
      <c r="D70" s="1">
        <v>44.797520368887298</v>
      </c>
      <c r="E70" s="1" t="s">
        <v>1523</v>
      </c>
      <c r="F70" s="1" t="s">
        <v>1524</v>
      </c>
      <c r="G70" s="1" t="s">
        <v>1574</v>
      </c>
      <c r="H70" s="1" t="s">
        <v>51</v>
      </c>
      <c r="I70" s="1">
        <v>1.78</v>
      </c>
      <c r="J70" s="1" t="s">
        <v>51</v>
      </c>
      <c r="K70" s="1">
        <v>95.6</v>
      </c>
      <c r="L70" s="1">
        <v>30.172957959853498</v>
      </c>
      <c r="M70" s="1" t="s">
        <v>45</v>
      </c>
      <c r="N70" s="1" t="s">
        <v>45</v>
      </c>
      <c r="O70" s="1" t="s">
        <v>45</v>
      </c>
      <c r="P70" s="1" t="s">
        <v>45</v>
      </c>
      <c r="Q70" s="1" t="s">
        <v>45</v>
      </c>
      <c r="R70" s="1" t="s">
        <v>45</v>
      </c>
      <c r="S70" s="1" t="s">
        <v>45</v>
      </c>
      <c r="T70" s="1" t="s">
        <v>45</v>
      </c>
      <c r="U70" s="1" t="s">
        <v>45</v>
      </c>
      <c r="V70" s="1" t="s">
        <v>45</v>
      </c>
      <c r="W70" s="1" t="s">
        <v>45</v>
      </c>
      <c r="X70" s="1" t="s">
        <v>45</v>
      </c>
      <c r="Y70" s="1" t="s">
        <v>45</v>
      </c>
      <c r="Z70" s="1" t="s">
        <v>45</v>
      </c>
      <c r="AA70" s="1" t="s">
        <v>45</v>
      </c>
      <c r="AB70" s="1" t="s">
        <v>45</v>
      </c>
      <c r="AC70" s="1" t="s">
        <v>45</v>
      </c>
      <c r="AD70" s="1" t="s">
        <v>45</v>
      </c>
      <c r="AE70" s="1" t="s">
        <v>45</v>
      </c>
      <c r="AF70" s="32">
        <v>44854</v>
      </c>
      <c r="AG70" s="1">
        <v>44.797520368887298</v>
      </c>
      <c r="AH70" s="1" t="s">
        <v>1558</v>
      </c>
      <c r="AI70" s="1" t="s">
        <v>1527</v>
      </c>
      <c r="AJ70" s="1" t="s">
        <v>45</v>
      </c>
      <c r="AK70" s="1" t="s">
        <v>45</v>
      </c>
      <c r="AL70" s="1" t="s">
        <v>45</v>
      </c>
      <c r="AM70" s="1" t="s">
        <v>51</v>
      </c>
      <c r="AN70" s="1" t="s">
        <v>45</v>
      </c>
      <c r="AO70" s="1" t="s">
        <v>45</v>
      </c>
      <c r="AP70" s="1" t="s">
        <v>45</v>
      </c>
      <c r="AQ70" s="1" t="s">
        <v>45</v>
      </c>
      <c r="AR70" s="1" t="s">
        <v>45</v>
      </c>
      <c r="AT70" s="1" t="s">
        <v>1528</v>
      </c>
      <c r="AW70" s="33" t="s">
        <v>1463</v>
      </c>
      <c r="AX70" s="3" t="s">
        <v>1528</v>
      </c>
      <c r="AY70" s="3"/>
      <c r="AZ70" s="1">
        <v>4</v>
      </c>
      <c r="BB70" s="1" t="s">
        <v>1530</v>
      </c>
      <c r="BC70" s="1" t="s">
        <v>1531</v>
      </c>
      <c r="BE70" s="1" t="s">
        <v>1525</v>
      </c>
      <c r="BG70" s="1" t="s">
        <v>1525</v>
      </c>
      <c r="BH70" s="1" t="s">
        <v>46</v>
      </c>
      <c r="BI70" s="1" t="s">
        <v>1535</v>
      </c>
      <c r="BJ70" s="1" t="s">
        <v>45</v>
      </c>
      <c r="BK70" s="1" t="s">
        <v>1549</v>
      </c>
      <c r="BL70" s="32">
        <v>44854</v>
      </c>
      <c r="BM70" s="1" t="s">
        <v>1798</v>
      </c>
      <c r="BO70" s="1" t="s">
        <v>1537</v>
      </c>
      <c r="BP70" s="1" t="s">
        <v>1551</v>
      </c>
      <c r="BQ70" s="1" t="s">
        <v>1605</v>
      </c>
      <c r="BR70" s="1" t="s">
        <v>1540</v>
      </c>
      <c r="BS70" s="1" t="s">
        <v>177</v>
      </c>
      <c r="BU70" s="1" t="s">
        <v>51</v>
      </c>
      <c r="BW70" s="1" t="s">
        <v>1563</v>
      </c>
      <c r="BX70" s="32">
        <v>44944</v>
      </c>
      <c r="BY70" s="1">
        <v>3</v>
      </c>
      <c r="CA70" s="1" t="s">
        <v>51</v>
      </c>
      <c r="CB70" s="1" t="s">
        <v>51</v>
      </c>
      <c r="CC70" s="32">
        <v>44866</v>
      </c>
      <c r="CD70" s="1">
        <v>60</v>
      </c>
      <c r="CE70" s="1">
        <v>30</v>
      </c>
      <c r="CJ70" s="1" t="s">
        <v>51</v>
      </c>
      <c r="CK70" s="32">
        <v>45037</v>
      </c>
      <c r="CL70" s="1" t="s">
        <v>45</v>
      </c>
      <c r="DH70" s="1" t="s">
        <v>51</v>
      </c>
      <c r="DI70" s="1" t="s">
        <v>1799</v>
      </c>
      <c r="DJ70" s="32">
        <v>45037</v>
      </c>
      <c r="DK70" s="1" t="s">
        <v>1569</v>
      </c>
      <c r="DM70" s="1" t="s">
        <v>45</v>
      </c>
      <c r="DO70" s="1" t="s">
        <v>45</v>
      </c>
      <c r="DQ70" s="1" t="s">
        <v>45</v>
      </c>
      <c r="DT70" s="32">
        <v>45310</v>
      </c>
      <c r="DU70" s="1" t="s">
        <v>1598</v>
      </c>
      <c r="DV70" s="1">
        <v>14.9816579062636</v>
      </c>
      <c r="DW70" s="1" t="s">
        <v>45</v>
      </c>
      <c r="DY70" s="32">
        <v>45323</v>
      </c>
      <c r="DZ70" s="1" t="s">
        <v>1557</v>
      </c>
    </row>
    <row r="71" spans="1:130" ht="15.75" customHeight="1" x14ac:dyDescent="0.2">
      <c r="A71" s="8" t="s">
        <v>285</v>
      </c>
      <c r="B71" s="32">
        <v>24568</v>
      </c>
      <c r="C71" s="32">
        <v>44854</v>
      </c>
      <c r="D71" s="1">
        <v>55.541067464310203</v>
      </c>
      <c r="E71" s="1" t="s">
        <v>1523</v>
      </c>
      <c r="F71" s="1" t="s">
        <v>1524</v>
      </c>
      <c r="G71" s="1" t="s">
        <v>1545</v>
      </c>
      <c r="H71" s="1" t="s">
        <v>51</v>
      </c>
      <c r="I71" s="1">
        <v>1.6</v>
      </c>
      <c r="J71" s="1" t="s">
        <v>51</v>
      </c>
      <c r="K71" s="1">
        <v>97.5</v>
      </c>
      <c r="L71" s="1">
        <v>38.085937499999901</v>
      </c>
      <c r="M71" s="1" t="s">
        <v>45</v>
      </c>
      <c r="N71" s="1" t="s">
        <v>45</v>
      </c>
      <c r="O71" s="1" t="s">
        <v>45</v>
      </c>
      <c r="P71" s="1" t="s">
        <v>45</v>
      </c>
      <c r="Q71" s="1" t="s">
        <v>45</v>
      </c>
      <c r="R71" s="1" t="s">
        <v>45</v>
      </c>
      <c r="S71" s="1" t="s">
        <v>45</v>
      </c>
      <c r="T71" s="1" t="s">
        <v>45</v>
      </c>
      <c r="U71" s="1" t="s">
        <v>45</v>
      </c>
      <c r="V71" s="1" t="s">
        <v>45</v>
      </c>
      <c r="W71" s="1" t="s">
        <v>45</v>
      </c>
      <c r="X71" s="1" t="s">
        <v>45</v>
      </c>
      <c r="Y71" s="1" t="s">
        <v>45</v>
      </c>
      <c r="Z71" s="1" t="s">
        <v>45</v>
      </c>
      <c r="AA71" s="1" t="s">
        <v>45</v>
      </c>
      <c r="AB71" s="1" t="s">
        <v>45</v>
      </c>
      <c r="AC71" s="1" t="s">
        <v>45</v>
      </c>
      <c r="AD71" s="1" t="s">
        <v>45</v>
      </c>
      <c r="AE71" s="1" t="s">
        <v>45</v>
      </c>
      <c r="AF71" s="32">
        <v>44854</v>
      </c>
      <c r="AG71" s="1">
        <v>55.541067464310203</v>
      </c>
      <c r="AH71" s="1" t="s">
        <v>1625</v>
      </c>
      <c r="AI71" s="1" t="s">
        <v>1527</v>
      </c>
      <c r="AJ71" s="1" t="s">
        <v>45</v>
      </c>
      <c r="AK71" s="1" t="s">
        <v>45</v>
      </c>
      <c r="AL71" s="1" t="s">
        <v>45</v>
      </c>
      <c r="AM71" s="1" t="s">
        <v>45</v>
      </c>
      <c r="AN71" s="1" t="s">
        <v>51</v>
      </c>
      <c r="AO71" s="1" t="s">
        <v>45</v>
      </c>
      <c r="AP71" s="1" t="s">
        <v>45</v>
      </c>
      <c r="AQ71" s="1" t="s">
        <v>51</v>
      </c>
      <c r="AR71" s="1" t="s">
        <v>45</v>
      </c>
      <c r="AT71" s="1" t="s">
        <v>1528</v>
      </c>
      <c r="AW71" s="33" t="s">
        <v>1463</v>
      </c>
      <c r="AX71" s="3" t="s">
        <v>1528</v>
      </c>
      <c r="AY71" s="3"/>
      <c r="AZ71" s="1">
        <v>4</v>
      </c>
      <c r="BB71" s="1" t="s">
        <v>1530</v>
      </c>
      <c r="BC71" s="1" t="s">
        <v>1531</v>
      </c>
      <c r="BE71" s="1" t="s">
        <v>1525</v>
      </c>
      <c r="BG71" s="1" t="s">
        <v>1525</v>
      </c>
      <c r="BH71" s="1" t="s">
        <v>46</v>
      </c>
      <c r="BI71" s="1" t="s">
        <v>1535</v>
      </c>
      <c r="BJ71" s="1" t="s">
        <v>45</v>
      </c>
      <c r="BK71" s="1" t="s">
        <v>1549</v>
      </c>
      <c r="BL71" s="32">
        <v>44854</v>
      </c>
      <c r="BM71" s="1" t="s">
        <v>1800</v>
      </c>
      <c r="BO71" s="1" t="s">
        <v>1537</v>
      </c>
      <c r="BP71" s="1" t="s">
        <v>1551</v>
      </c>
      <c r="BQ71" s="1" t="s">
        <v>1605</v>
      </c>
      <c r="BR71" s="1" t="s">
        <v>1540</v>
      </c>
      <c r="BS71" s="1" t="s">
        <v>50</v>
      </c>
      <c r="BU71" s="1" t="s">
        <v>51</v>
      </c>
      <c r="BW71" s="1" t="s">
        <v>1542</v>
      </c>
      <c r="CA71" s="1" t="s">
        <v>1525</v>
      </c>
      <c r="CB71" s="1" t="s">
        <v>45</v>
      </c>
      <c r="CI71" s="1" t="s">
        <v>1801</v>
      </c>
      <c r="CJ71" s="1" t="s">
        <v>45</v>
      </c>
      <c r="DH71" s="1" t="s">
        <v>45</v>
      </c>
      <c r="DM71" s="1" t="s">
        <v>45</v>
      </c>
      <c r="DO71" s="1" t="s">
        <v>45</v>
      </c>
      <c r="DQ71" s="1" t="s">
        <v>45</v>
      </c>
      <c r="DT71" s="32">
        <v>44900</v>
      </c>
      <c r="DU71" s="1" t="s">
        <v>1556</v>
      </c>
      <c r="DV71" s="1">
        <v>1.5125383267630299</v>
      </c>
      <c r="DW71" s="1" t="s">
        <v>45</v>
      </c>
      <c r="DY71" s="32">
        <v>44900</v>
      </c>
      <c r="DZ71" s="1" t="s">
        <v>1557</v>
      </c>
    </row>
    <row r="72" spans="1:130" ht="15.75" customHeight="1" x14ac:dyDescent="0.2">
      <c r="A72" s="8" t="s">
        <v>548</v>
      </c>
      <c r="B72" s="32">
        <v>25337</v>
      </c>
      <c r="C72" s="32">
        <v>44823</v>
      </c>
      <c r="D72" s="1">
        <v>53.350855938178</v>
      </c>
      <c r="E72" s="1" t="s">
        <v>1523</v>
      </c>
      <c r="F72" s="1" t="s">
        <v>1524</v>
      </c>
      <c r="G72" s="1" t="s">
        <v>1574</v>
      </c>
      <c r="H72" s="1" t="s">
        <v>51</v>
      </c>
      <c r="I72" s="1">
        <v>1.83</v>
      </c>
      <c r="J72" s="1" t="s">
        <v>51</v>
      </c>
      <c r="K72" s="1">
        <v>79.2</v>
      </c>
      <c r="L72" s="1">
        <v>23.649556570814202</v>
      </c>
      <c r="M72" s="1" t="s">
        <v>45</v>
      </c>
      <c r="N72" s="1" t="s">
        <v>45</v>
      </c>
      <c r="O72" s="1" t="s">
        <v>45</v>
      </c>
      <c r="P72" s="1" t="s">
        <v>45</v>
      </c>
      <c r="Q72" s="1" t="s">
        <v>45</v>
      </c>
      <c r="R72" s="1" t="s">
        <v>45</v>
      </c>
      <c r="S72" s="1" t="s">
        <v>45</v>
      </c>
      <c r="T72" s="1" t="s">
        <v>45</v>
      </c>
      <c r="U72" s="1" t="s">
        <v>45</v>
      </c>
      <c r="V72" s="1" t="s">
        <v>45</v>
      </c>
      <c r="W72" s="1" t="s">
        <v>45</v>
      </c>
      <c r="X72" s="1" t="s">
        <v>45</v>
      </c>
      <c r="Y72" s="1" t="s">
        <v>45</v>
      </c>
      <c r="Z72" s="1" t="s">
        <v>45</v>
      </c>
      <c r="AA72" s="1" t="s">
        <v>45</v>
      </c>
      <c r="AB72" s="1" t="s">
        <v>45</v>
      </c>
      <c r="AC72" s="1" t="s">
        <v>45</v>
      </c>
      <c r="AD72" s="1" t="s">
        <v>45</v>
      </c>
      <c r="AE72" s="1" t="s">
        <v>45</v>
      </c>
      <c r="AF72" s="32">
        <v>44861</v>
      </c>
      <c r="AG72" s="1">
        <v>53.454896404443602</v>
      </c>
      <c r="AH72" s="1" t="s">
        <v>1526</v>
      </c>
      <c r="AI72" s="1" t="s">
        <v>1527</v>
      </c>
      <c r="AJ72" s="1" t="s">
        <v>45</v>
      </c>
      <c r="AK72" s="1" t="s">
        <v>45</v>
      </c>
      <c r="AL72" s="1" t="s">
        <v>45</v>
      </c>
      <c r="AM72" s="1" t="s">
        <v>45</v>
      </c>
      <c r="AN72" s="1" t="s">
        <v>45</v>
      </c>
      <c r="AO72" s="1" t="s">
        <v>45</v>
      </c>
      <c r="AP72" s="1" t="s">
        <v>45</v>
      </c>
      <c r="AQ72" s="1" t="s">
        <v>45</v>
      </c>
      <c r="AR72" s="1" t="s">
        <v>51</v>
      </c>
      <c r="AS72" s="1" t="s">
        <v>1802</v>
      </c>
      <c r="AT72" s="1" t="s">
        <v>1560</v>
      </c>
      <c r="AW72" s="33" t="s">
        <v>1463</v>
      </c>
      <c r="AX72" s="3" t="s">
        <v>1560</v>
      </c>
      <c r="AY72" s="3"/>
      <c r="AZ72" s="1">
        <v>3</v>
      </c>
      <c r="BB72" s="1" t="s">
        <v>1567</v>
      </c>
      <c r="BC72" s="1" t="s">
        <v>1531</v>
      </c>
      <c r="BE72" s="1" t="s">
        <v>1603</v>
      </c>
      <c r="BG72" s="1" t="s">
        <v>1525</v>
      </c>
      <c r="BH72" s="1" t="s">
        <v>46</v>
      </c>
      <c r="BI72" s="1" t="s">
        <v>1599</v>
      </c>
      <c r="BJ72" s="1" t="s">
        <v>45</v>
      </c>
      <c r="BK72" s="1" t="s">
        <v>1549</v>
      </c>
      <c r="BL72" s="32">
        <v>44860</v>
      </c>
      <c r="BM72" s="1" t="s">
        <v>549</v>
      </c>
      <c r="BO72" s="1" t="s">
        <v>1537</v>
      </c>
      <c r="BP72" s="1" t="s">
        <v>1551</v>
      </c>
      <c r="BQ72" s="1" t="s">
        <v>1539</v>
      </c>
      <c r="BR72" s="1" t="s">
        <v>1589</v>
      </c>
      <c r="BS72" s="1" t="s">
        <v>1803</v>
      </c>
      <c r="BU72" s="1" t="s">
        <v>51</v>
      </c>
      <c r="BW72" s="1" t="s">
        <v>1563</v>
      </c>
      <c r="BX72" s="32">
        <v>44965</v>
      </c>
      <c r="BY72" s="1">
        <v>12</v>
      </c>
      <c r="BZ72" s="1" t="s">
        <v>1804</v>
      </c>
      <c r="CA72" s="1" t="s">
        <v>51</v>
      </c>
      <c r="CB72" s="1" t="s">
        <v>51</v>
      </c>
      <c r="CC72" s="32">
        <v>44889</v>
      </c>
      <c r="CD72" s="1">
        <v>60</v>
      </c>
      <c r="CE72" s="1">
        <v>30</v>
      </c>
      <c r="CJ72" s="1" t="s">
        <v>45</v>
      </c>
      <c r="DH72" s="1" t="s">
        <v>45</v>
      </c>
      <c r="DM72" s="1" t="s">
        <v>45</v>
      </c>
      <c r="DO72" s="1" t="s">
        <v>45</v>
      </c>
      <c r="DQ72" s="1" t="s">
        <v>45</v>
      </c>
      <c r="DT72" s="32">
        <v>45763</v>
      </c>
      <c r="DU72" s="1" t="s">
        <v>1598</v>
      </c>
      <c r="DV72" s="1">
        <v>29.632063074901399</v>
      </c>
      <c r="DW72" s="1" t="s">
        <v>45</v>
      </c>
    </row>
    <row r="73" spans="1:130" ht="15.75" customHeight="1" x14ac:dyDescent="0.2">
      <c r="A73" s="8" t="s">
        <v>290</v>
      </c>
      <c r="B73" s="32">
        <v>24988</v>
      </c>
      <c r="C73" s="32">
        <v>44854</v>
      </c>
      <c r="D73" s="1">
        <v>54.391260600833597</v>
      </c>
      <c r="E73" s="1" t="s">
        <v>1523</v>
      </c>
      <c r="F73" s="1" t="s">
        <v>1524</v>
      </c>
      <c r="G73" s="1" t="s">
        <v>1574</v>
      </c>
      <c r="H73" s="1" t="s">
        <v>51</v>
      </c>
      <c r="I73" s="1">
        <v>1.8</v>
      </c>
      <c r="J73" s="1" t="s">
        <v>51</v>
      </c>
      <c r="K73" s="1">
        <v>65.8</v>
      </c>
      <c r="L73" s="1">
        <v>20.3086419753086</v>
      </c>
      <c r="M73" s="1" t="s">
        <v>45</v>
      </c>
      <c r="N73" s="1" t="s">
        <v>45</v>
      </c>
      <c r="O73" s="1" t="s">
        <v>45</v>
      </c>
      <c r="P73" s="1" t="s">
        <v>45</v>
      </c>
      <c r="Q73" s="1" t="s">
        <v>45</v>
      </c>
      <c r="R73" s="1" t="s">
        <v>45</v>
      </c>
      <c r="S73" s="1" t="s">
        <v>45</v>
      </c>
      <c r="T73" s="1" t="s">
        <v>45</v>
      </c>
      <c r="U73" s="1" t="s">
        <v>45</v>
      </c>
      <c r="V73" s="1" t="s">
        <v>45</v>
      </c>
      <c r="W73" s="1" t="s">
        <v>45</v>
      </c>
      <c r="X73" s="1" t="s">
        <v>45</v>
      </c>
      <c r="Y73" s="1" t="s">
        <v>45</v>
      </c>
      <c r="Z73" s="1" t="s">
        <v>45</v>
      </c>
      <c r="AA73" s="1" t="s">
        <v>45</v>
      </c>
      <c r="AB73" s="1" t="s">
        <v>45</v>
      </c>
      <c r="AC73" s="1" t="s">
        <v>45</v>
      </c>
      <c r="AD73" s="1" t="s">
        <v>45</v>
      </c>
      <c r="AE73" s="1" t="s">
        <v>45</v>
      </c>
      <c r="AF73" s="32">
        <v>44854</v>
      </c>
      <c r="AG73" s="1">
        <v>54.391260600833597</v>
      </c>
      <c r="AH73" s="1" t="s">
        <v>1558</v>
      </c>
      <c r="AI73" s="1" t="s">
        <v>1618</v>
      </c>
      <c r="AJ73" s="1" t="s">
        <v>45</v>
      </c>
      <c r="AK73" s="1" t="s">
        <v>51</v>
      </c>
      <c r="AL73" s="1" t="s">
        <v>45</v>
      </c>
      <c r="AM73" s="1" t="s">
        <v>45</v>
      </c>
      <c r="AN73" s="1" t="s">
        <v>45</v>
      </c>
      <c r="AO73" s="1" t="s">
        <v>45</v>
      </c>
      <c r="AP73" s="1" t="s">
        <v>45</v>
      </c>
      <c r="AQ73" s="1" t="s">
        <v>45</v>
      </c>
      <c r="AR73" s="1" t="s">
        <v>45</v>
      </c>
      <c r="AT73" s="1" t="s">
        <v>1528</v>
      </c>
      <c r="AW73" s="33" t="s">
        <v>1463</v>
      </c>
      <c r="AX73" s="3" t="s">
        <v>1528</v>
      </c>
      <c r="AY73" s="3"/>
      <c r="AZ73" s="1">
        <v>4</v>
      </c>
      <c r="BB73" s="1" t="s">
        <v>1530</v>
      </c>
      <c r="BC73" s="1" t="s">
        <v>1531</v>
      </c>
      <c r="BE73" s="1" t="s">
        <v>1603</v>
      </c>
      <c r="BG73" s="1" t="s">
        <v>45</v>
      </c>
      <c r="BH73" s="1" t="s">
        <v>46</v>
      </c>
      <c r="BI73" s="1" t="s">
        <v>1535</v>
      </c>
      <c r="BJ73" s="1" t="s">
        <v>45</v>
      </c>
      <c r="BK73" s="1" t="s">
        <v>1549</v>
      </c>
      <c r="BL73" s="32">
        <v>44854</v>
      </c>
      <c r="BM73" s="1" t="s">
        <v>1805</v>
      </c>
      <c r="BO73" s="1" t="s">
        <v>1537</v>
      </c>
      <c r="BP73" s="1" t="s">
        <v>1551</v>
      </c>
      <c r="BQ73" s="1" t="s">
        <v>1539</v>
      </c>
      <c r="BR73" s="1" t="s">
        <v>1540</v>
      </c>
      <c r="BS73" s="1" t="s">
        <v>50</v>
      </c>
      <c r="BU73" s="1" t="s">
        <v>51</v>
      </c>
      <c r="BW73" s="1" t="s">
        <v>1563</v>
      </c>
      <c r="BX73" s="32">
        <v>44966</v>
      </c>
      <c r="BY73" s="1">
        <v>7</v>
      </c>
      <c r="CA73" s="1" t="s">
        <v>51</v>
      </c>
      <c r="CB73" s="1" t="s">
        <v>51</v>
      </c>
      <c r="CC73" s="32">
        <v>44893</v>
      </c>
      <c r="CD73" s="1" t="s">
        <v>1672</v>
      </c>
      <c r="CE73" s="1">
        <v>30</v>
      </c>
      <c r="CJ73" s="1" t="s">
        <v>51</v>
      </c>
      <c r="CK73" s="32">
        <v>45261</v>
      </c>
      <c r="CL73" s="1" t="s">
        <v>45</v>
      </c>
      <c r="DH73" s="1" t="s">
        <v>51</v>
      </c>
      <c r="DI73" s="1" t="s">
        <v>1806</v>
      </c>
      <c r="DJ73" s="32">
        <v>45261</v>
      </c>
      <c r="DK73" s="1" t="s">
        <v>1569</v>
      </c>
      <c r="DM73" s="1" t="s">
        <v>45</v>
      </c>
      <c r="DO73" s="1" t="s">
        <v>45</v>
      </c>
      <c r="DQ73" s="1" t="s">
        <v>45</v>
      </c>
      <c r="DS73" s="1" t="s">
        <v>1807</v>
      </c>
      <c r="DT73" s="32">
        <v>45464</v>
      </c>
      <c r="DU73" s="1" t="s">
        <v>1543</v>
      </c>
      <c r="DV73" s="1">
        <v>20.039421813403401</v>
      </c>
      <c r="DW73" s="1" t="s">
        <v>45</v>
      </c>
      <c r="DY73" s="32">
        <v>45464</v>
      </c>
      <c r="DZ73" s="1" t="s">
        <v>1557</v>
      </c>
    </row>
    <row r="74" spans="1:130" ht="15.75" customHeight="1" x14ac:dyDescent="0.2">
      <c r="A74" s="8" t="s">
        <v>551</v>
      </c>
      <c r="B74" s="32">
        <v>33115</v>
      </c>
      <c r="C74" s="32">
        <v>43370</v>
      </c>
      <c r="D74" s="1">
        <v>28.0772363566671</v>
      </c>
      <c r="E74" s="1" t="s">
        <v>1587</v>
      </c>
      <c r="F74" s="1" t="s">
        <v>1524</v>
      </c>
      <c r="G74" s="1" t="s">
        <v>1574</v>
      </c>
      <c r="H74" s="1" t="s">
        <v>51</v>
      </c>
      <c r="I74" s="1">
        <v>1.78</v>
      </c>
      <c r="J74" s="1" t="s">
        <v>51</v>
      </c>
      <c r="K74" s="1">
        <v>67.5</v>
      </c>
      <c r="L74" s="1">
        <v>21.304128266633001</v>
      </c>
      <c r="M74" s="1" t="s">
        <v>45</v>
      </c>
      <c r="N74" s="1" t="s">
        <v>45</v>
      </c>
      <c r="O74" s="1" t="s">
        <v>45</v>
      </c>
      <c r="P74" s="1" t="s">
        <v>45</v>
      </c>
      <c r="Q74" s="1" t="s">
        <v>45</v>
      </c>
      <c r="R74" s="1" t="s">
        <v>45</v>
      </c>
      <c r="S74" s="1" t="s">
        <v>45</v>
      </c>
      <c r="T74" s="1" t="s">
        <v>45</v>
      </c>
      <c r="U74" s="1" t="s">
        <v>45</v>
      </c>
      <c r="V74" s="1" t="s">
        <v>45</v>
      </c>
      <c r="W74" s="1" t="s">
        <v>45</v>
      </c>
      <c r="X74" s="1" t="s">
        <v>45</v>
      </c>
      <c r="Y74" s="1" t="s">
        <v>45</v>
      </c>
      <c r="Z74" s="1" t="s">
        <v>45</v>
      </c>
      <c r="AA74" s="1" t="s">
        <v>45</v>
      </c>
      <c r="AB74" s="1" t="s">
        <v>45</v>
      </c>
      <c r="AC74" s="1" t="s">
        <v>45</v>
      </c>
      <c r="AD74" s="1" t="s">
        <v>45</v>
      </c>
      <c r="AE74" s="1" t="s">
        <v>45</v>
      </c>
      <c r="AF74" s="32">
        <v>43406</v>
      </c>
      <c r="AG74" s="1">
        <v>28.1758010089187</v>
      </c>
      <c r="AH74" s="1" t="s">
        <v>1526</v>
      </c>
      <c r="AI74" s="1" t="s">
        <v>1527</v>
      </c>
      <c r="AJ74" s="1" t="s">
        <v>45</v>
      </c>
      <c r="AK74" s="1" t="s">
        <v>51</v>
      </c>
      <c r="AL74" s="1" t="s">
        <v>45</v>
      </c>
      <c r="AM74" s="1" t="s">
        <v>45</v>
      </c>
      <c r="AN74" s="1" t="s">
        <v>45</v>
      </c>
      <c r="AO74" s="1" t="s">
        <v>45</v>
      </c>
      <c r="AP74" s="1" t="s">
        <v>45</v>
      </c>
      <c r="AQ74" s="1" t="s">
        <v>45</v>
      </c>
      <c r="AR74" s="1" t="s">
        <v>45</v>
      </c>
      <c r="AT74" s="1" t="s">
        <v>1560</v>
      </c>
      <c r="AW74" s="33" t="s">
        <v>1463</v>
      </c>
      <c r="AX74" s="3" t="s">
        <v>1560</v>
      </c>
      <c r="AY74" s="3"/>
      <c r="AZ74" s="1">
        <v>4</v>
      </c>
      <c r="BB74" s="1" t="s">
        <v>1567</v>
      </c>
      <c r="BC74" s="1" t="s">
        <v>1531</v>
      </c>
      <c r="BE74" s="1" t="s">
        <v>1533</v>
      </c>
      <c r="BG74" s="1" t="s">
        <v>45</v>
      </c>
      <c r="BH74" s="1" t="s">
        <v>46</v>
      </c>
      <c r="BI74" s="1" t="s">
        <v>1599</v>
      </c>
      <c r="BJ74" s="1" t="s">
        <v>45</v>
      </c>
      <c r="BK74" s="1" t="s">
        <v>1549</v>
      </c>
      <c r="BL74" s="32">
        <v>43406</v>
      </c>
      <c r="BM74" s="1" t="s">
        <v>1808</v>
      </c>
      <c r="BO74" s="1" t="s">
        <v>1537</v>
      </c>
      <c r="BP74" s="1" t="s">
        <v>1551</v>
      </c>
      <c r="BQ74" s="1" t="s">
        <v>1539</v>
      </c>
      <c r="BR74" s="1" t="s">
        <v>1589</v>
      </c>
      <c r="BS74" s="1" t="s">
        <v>1581</v>
      </c>
      <c r="BU74" s="1" t="s">
        <v>51</v>
      </c>
      <c r="BW74" s="1" t="s">
        <v>1563</v>
      </c>
      <c r="BX74" s="32">
        <v>43523</v>
      </c>
      <c r="BY74" s="1">
        <v>8</v>
      </c>
      <c r="BZ74" s="1" t="s">
        <v>1809</v>
      </c>
      <c r="CA74" s="1" t="s">
        <v>51</v>
      </c>
      <c r="CB74" s="1" t="s">
        <v>51</v>
      </c>
      <c r="CC74" s="32">
        <v>43425</v>
      </c>
      <c r="CD74" s="1">
        <v>59.4</v>
      </c>
      <c r="CE74" s="1">
        <v>33</v>
      </c>
      <c r="CJ74" s="1" t="s">
        <v>51</v>
      </c>
      <c r="CK74" s="32">
        <v>44840</v>
      </c>
      <c r="CL74" s="1" t="s">
        <v>51</v>
      </c>
      <c r="CM74" s="32">
        <v>44862</v>
      </c>
      <c r="CN74" s="1">
        <v>3.9863926021752598</v>
      </c>
      <c r="CO74" s="1" t="s">
        <v>1537</v>
      </c>
      <c r="CP74" s="1" t="s">
        <v>1566</v>
      </c>
      <c r="CQ74" s="1" t="s">
        <v>1539</v>
      </c>
      <c r="CR74" s="1" t="s">
        <v>1589</v>
      </c>
      <c r="CS74" s="1" t="s">
        <v>1581</v>
      </c>
      <c r="CT74" s="1" t="s">
        <v>1560</v>
      </c>
      <c r="CW74" s="1">
        <v>4</v>
      </c>
      <c r="CY74" s="1" t="s">
        <v>1567</v>
      </c>
      <c r="DB74" s="1" t="s">
        <v>1533</v>
      </c>
      <c r="DD74" s="1" t="s">
        <v>45</v>
      </c>
      <c r="DE74" s="1" t="s">
        <v>46</v>
      </c>
      <c r="DF74" s="1" t="s">
        <v>46</v>
      </c>
      <c r="DG74" s="1" t="s">
        <v>45</v>
      </c>
      <c r="DH74" s="1" t="s">
        <v>51</v>
      </c>
      <c r="DI74" s="1" t="s">
        <v>1810</v>
      </c>
      <c r="DJ74" s="32">
        <v>44939</v>
      </c>
      <c r="DK74" s="1" t="s">
        <v>1569</v>
      </c>
      <c r="DM74" s="1" t="s">
        <v>45</v>
      </c>
      <c r="DO74" s="1" t="s">
        <v>51</v>
      </c>
      <c r="DP74" s="1" t="s">
        <v>1811</v>
      </c>
      <c r="DQ74" s="1" t="s">
        <v>51</v>
      </c>
      <c r="DR74" s="1" t="s">
        <v>1812</v>
      </c>
      <c r="DS74" s="1" t="s">
        <v>1813</v>
      </c>
      <c r="DT74" s="32">
        <v>45616</v>
      </c>
      <c r="DU74" s="1" t="s">
        <v>1543</v>
      </c>
      <c r="DV74" s="1">
        <v>72.603208497590799</v>
      </c>
      <c r="DW74" s="1" t="s">
        <v>45</v>
      </c>
    </row>
    <row r="75" spans="1:130" ht="15.75" customHeight="1" x14ac:dyDescent="0.2">
      <c r="A75" s="8" t="s">
        <v>302</v>
      </c>
      <c r="B75" s="32">
        <v>38100</v>
      </c>
      <c r="C75" s="32">
        <v>44870</v>
      </c>
      <c r="D75" s="1">
        <v>18.535630437312101</v>
      </c>
      <c r="E75" s="1" t="s">
        <v>1523</v>
      </c>
      <c r="F75" s="1" t="s">
        <v>1524</v>
      </c>
      <c r="G75" s="1" t="s">
        <v>1574</v>
      </c>
      <c r="H75" s="1" t="s">
        <v>51</v>
      </c>
      <c r="I75" s="1">
        <v>1.71</v>
      </c>
      <c r="J75" s="1" t="s">
        <v>51</v>
      </c>
      <c r="K75" s="1">
        <v>65.8</v>
      </c>
      <c r="L75" s="1">
        <v>22.502650388153601</v>
      </c>
      <c r="M75" s="1" t="s">
        <v>45</v>
      </c>
      <c r="N75" s="1" t="s">
        <v>45</v>
      </c>
      <c r="O75" s="1" t="s">
        <v>45</v>
      </c>
      <c r="P75" s="1" t="s">
        <v>45</v>
      </c>
      <c r="Q75" s="1" t="s">
        <v>45</v>
      </c>
      <c r="R75" s="1" t="s">
        <v>45</v>
      </c>
      <c r="S75" s="1" t="s">
        <v>45</v>
      </c>
      <c r="T75" s="1" t="s">
        <v>45</v>
      </c>
      <c r="U75" s="1" t="s">
        <v>45</v>
      </c>
      <c r="V75" s="1" t="s">
        <v>45</v>
      </c>
      <c r="W75" s="1" t="s">
        <v>45</v>
      </c>
      <c r="X75" s="1" t="s">
        <v>45</v>
      </c>
      <c r="Y75" s="1" t="s">
        <v>45</v>
      </c>
      <c r="Z75" s="1" t="s">
        <v>45</v>
      </c>
      <c r="AA75" s="1" t="s">
        <v>45</v>
      </c>
      <c r="AB75" s="1" t="s">
        <v>45</v>
      </c>
      <c r="AC75" s="1" t="s">
        <v>45</v>
      </c>
      <c r="AD75" s="1" t="s">
        <v>45</v>
      </c>
      <c r="AE75" s="1" t="s">
        <v>45</v>
      </c>
      <c r="AF75" s="32">
        <v>44871</v>
      </c>
      <c r="AG75" s="1">
        <v>18.5383683443191</v>
      </c>
      <c r="AH75" s="1" t="s">
        <v>1526</v>
      </c>
      <c r="AI75" s="1" t="s">
        <v>1527</v>
      </c>
      <c r="AJ75" s="1" t="s">
        <v>45</v>
      </c>
      <c r="AK75" s="1" t="s">
        <v>51</v>
      </c>
      <c r="AL75" s="1" t="s">
        <v>45</v>
      </c>
      <c r="AM75" s="1" t="s">
        <v>51</v>
      </c>
      <c r="AN75" s="1" t="s">
        <v>51</v>
      </c>
      <c r="AO75" s="1" t="s">
        <v>45</v>
      </c>
      <c r="AP75" s="1" t="s">
        <v>45</v>
      </c>
      <c r="AQ75" s="1" t="s">
        <v>45</v>
      </c>
      <c r="AR75" s="1" t="s">
        <v>45</v>
      </c>
      <c r="AT75" s="1" t="s">
        <v>1583</v>
      </c>
      <c r="AU75" s="1" t="s">
        <v>1706</v>
      </c>
      <c r="AW75" s="33" t="s">
        <v>1464</v>
      </c>
      <c r="AX75" s="3"/>
      <c r="AY75" s="33" t="s">
        <v>1621</v>
      </c>
      <c r="AZ75" s="1">
        <v>1</v>
      </c>
      <c r="BA75" s="1" t="s">
        <v>1814</v>
      </c>
      <c r="BB75" s="1" t="s">
        <v>1530</v>
      </c>
      <c r="BC75" s="1" t="s">
        <v>1531</v>
      </c>
      <c r="BD75" s="1" t="s">
        <v>1532</v>
      </c>
      <c r="BE75" s="1" t="s">
        <v>1525</v>
      </c>
      <c r="BG75" s="1" t="s">
        <v>1525</v>
      </c>
      <c r="BH75" s="1" t="s">
        <v>46</v>
      </c>
      <c r="BI75" s="1" t="s">
        <v>1535</v>
      </c>
      <c r="BJ75" s="1" t="s">
        <v>45</v>
      </c>
      <c r="BK75" s="1" t="s">
        <v>1536</v>
      </c>
      <c r="BL75" s="32">
        <v>44871</v>
      </c>
      <c r="BM75" s="1" t="s">
        <v>303</v>
      </c>
      <c r="BO75" s="1" t="s">
        <v>1537</v>
      </c>
      <c r="BP75" s="1" t="s">
        <v>1538</v>
      </c>
      <c r="BQ75" s="1" t="s">
        <v>1647</v>
      </c>
      <c r="BR75" s="1" t="s">
        <v>1552</v>
      </c>
      <c r="BS75" s="1" t="s">
        <v>50</v>
      </c>
      <c r="BU75" s="1" t="s">
        <v>45</v>
      </c>
      <c r="BW75" s="1" t="s">
        <v>1542</v>
      </c>
      <c r="CA75" s="1" t="s">
        <v>45</v>
      </c>
      <c r="CB75" s="1" t="s">
        <v>45</v>
      </c>
      <c r="CJ75" s="1" t="s">
        <v>45</v>
      </c>
      <c r="DH75" s="1" t="s">
        <v>45</v>
      </c>
      <c r="DM75" s="1" t="s">
        <v>45</v>
      </c>
      <c r="DO75" s="1" t="s">
        <v>45</v>
      </c>
      <c r="DQ75" s="1" t="s">
        <v>45</v>
      </c>
      <c r="DT75" s="32">
        <v>45610</v>
      </c>
      <c r="DU75" s="1" t="s">
        <v>1598</v>
      </c>
      <c r="DV75" s="1">
        <v>24.277266754270599</v>
      </c>
      <c r="DW75" s="1" t="s">
        <v>45</v>
      </c>
      <c r="DY75" s="32">
        <v>45810</v>
      </c>
      <c r="DZ75" s="1" t="s">
        <v>1544</v>
      </c>
    </row>
    <row r="76" spans="1:130" ht="15.75" customHeight="1" x14ac:dyDescent="0.2">
      <c r="A76" s="8" t="s">
        <v>564</v>
      </c>
      <c r="B76" s="32">
        <v>30572</v>
      </c>
      <c r="C76" s="32">
        <v>43266</v>
      </c>
      <c r="D76" s="1">
        <v>34.754991546712098</v>
      </c>
      <c r="E76" s="1" t="s">
        <v>1523</v>
      </c>
      <c r="F76" s="1" t="s">
        <v>1524</v>
      </c>
      <c r="G76" s="1" t="s">
        <v>1545</v>
      </c>
      <c r="H76" s="1" t="s">
        <v>51</v>
      </c>
      <c r="I76" s="1">
        <v>1.8540000000000001</v>
      </c>
      <c r="J76" s="1" t="s">
        <v>51</v>
      </c>
      <c r="K76" s="1">
        <v>88.5</v>
      </c>
      <c r="L76" s="1">
        <v>25.746832703190499</v>
      </c>
      <c r="M76" s="1" t="s">
        <v>45</v>
      </c>
      <c r="N76" s="1" t="s">
        <v>45</v>
      </c>
      <c r="O76" s="1" t="s">
        <v>45</v>
      </c>
      <c r="P76" s="1" t="s">
        <v>45</v>
      </c>
      <c r="Q76" s="1" t="s">
        <v>45</v>
      </c>
      <c r="R76" s="1" t="s">
        <v>45</v>
      </c>
      <c r="S76" s="1" t="s">
        <v>45</v>
      </c>
      <c r="T76" s="1" t="s">
        <v>45</v>
      </c>
      <c r="U76" s="1" t="s">
        <v>45</v>
      </c>
      <c r="V76" s="1" t="s">
        <v>45</v>
      </c>
      <c r="W76" s="1" t="s">
        <v>45</v>
      </c>
      <c r="X76" s="1" t="s">
        <v>45</v>
      </c>
      <c r="Y76" s="1" t="s">
        <v>45</v>
      </c>
      <c r="Z76" s="1" t="s">
        <v>45</v>
      </c>
      <c r="AA76" s="1" t="s">
        <v>45</v>
      </c>
      <c r="AB76" s="1" t="s">
        <v>45</v>
      </c>
      <c r="AC76" s="1" t="s">
        <v>45</v>
      </c>
      <c r="AD76" s="1" t="s">
        <v>45</v>
      </c>
      <c r="AE76" s="1" t="s">
        <v>45</v>
      </c>
      <c r="AF76" s="32">
        <v>44880</v>
      </c>
      <c r="AG76" s="1">
        <v>39.174087535450099</v>
      </c>
      <c r="AH76" s="1" t="s">
        <v>1558</v>
      </c>
      <c r="AI76" s="1" t="s">
        <v>1527</v>
      </c>
      <c r="AJ76" s="1" t="s">
        <v>45</v>
      </c>
      <c r="AK76" s="1" t="s">
        <v>51</v>
      </c>
      <c r="AL76" s="1" t="s">
        <v>45</v>
      </c>
      <c r="AM76" s="1" t="s">
        <v>45</v>
      </c>
      <c r="AN76" s="1" t="s">
        <v>45</v>
      </c>
      <c r="AO76" s="1" t="s">
        <v>45</v>
      </c>
      <c r="AP76" s="1" t="s">
        <v>45</v>
      </c>
      <c r="AQ76" s="1" t="s">
        <v>45</v>
      </c>
      <c r="AR76" s="1" t="s">
        <v>45</v>
      </c>
      <c r="AT76" s="1" t="s">
        <v>1601</v>
      </c>
      <c r="AW76" s="33" t="s">
        <v>1463</v>
      </c>
      <c r="AX76" s="3" t="s">
        <v>1601</v>
      </c>
      <c r="AY76" s="3"/>
      <c r="AZ76" s="1">
        <v>3</v>
      </c>
      <c r="BB76" s="1" t="s">
        <v>1567</v>
      </c>
      <c r="BC76" s="1" t="s">
        <v>1602</v>
      </c>
      <c r="BE76" s="1" t="s">
        <v>1603</v>
      </c>
      <c r="BG76" s="1" t="s">
        <v>1525</v>
      </c>
      <c r="BH76" s="1" t="s">
        <v>1525</v>
      </c>
      <c r="BI76" s="1" t="s">
        <v>1535</v>
      </c>
      <c r="BJ76" s="1" t="s">
        <v>1525</v>
      </c>
      <c r="BK76" s="1" t="s">
        <v>1549</v>
      </c>
      <c r="BL76" s="32">
        <v>44880</v>
      </c>
      <c r="BM76" s="1" t="s">
        <v>565</v>
      </c>
      <c r="BO76" s="1" t="s">
        <v>1537</v>
      </c>
      <c r="BP76" s="1" t="s">
        <v>1551</v>
      </c>
      <c r="BQ76" s="1" t="s">
        <v>1539</v>
      </c>
      <c r="BR76" s="1" t="s">
        <v>1580</v>
      </c>
      <c r="BS76" s="1" t="s">
        <v>1581</v>
      </c>
      <c r="BU76" s="1" t="s">
        <v>51</v>
      </c>
      <c r="BW76" s="1" t="s">
        <v>1563</v>
      </c>
      <c r="BX76" s="32">
        <v>44986</v>
      </c>
      <c r="BY76" s="1">
        <v>12</v>
      </c>
      <c r="BZ76" s="1" t="s">
        <v>1815</v>
      </c>
      <c r="CA76" s="1" t="s">
        <v>51</v>
      </c>
      <c r="CB76" s="1" t="s">
        <v>51</v>
      </c>
      <c r="CC76" s="32">
        <v>44910</v>
      </c>
      <c r="CD76" s="1">
        <v>60</v>
      </c>
      <c r="CE76" s="1">
        <v>30</v>
      </c>
      <c r="CI76" s="1" t="s">
        <v>1816</v>
      </c>
      <c r="CJ76" s="1" t="s">
        <v>45</v>
      </c>
      <c r="DH76" s="1" t="s">
        <v>45</v>
      </c>
      <c r="DM76" s="1" t="s">
        <v>45</v>
      </c>
      <c r="DO76" s="1" t="s">
        <v>45</v>
      </c>
      <c r="DQ76" s="1" t="s">
        <v>45</v>
      </c>
      <c r="DT76" s="32">
        <v>45743</v>
      </c>
      <c r="DU76" s="1" t="s">
        <v>1598</v>
      </c>
      <c r="DV76" s="1">
        <v>28.349485326324999</v>
      </c>
      <c r="DW76" s="1" t="s">
        <v>45</v>
      </c>
    </row>
    <row r="77" spans="1:130" ht="15.75" customHeight="1" x14ac:dyDescent="0.2">
      <c r="A77" s="8" t="s">
        <v>306</v>
      </c>
      <c r="B77" s="32">
        <v>24217</v>
      </c>
      <c r="C77" s="32">
        <v>44796</v>
      </c>
      <c r="D77" s="1">
        <v>56.343388296816499</v>
      </c>
      <c r="E77" s="1" t="s">
        <v>1523</v>
      </c>
      <c r="F77" s="1" t="s">
        <v>1524</v>
      </c>
      <c r="G77" s="1" t="s">
        <v>1574</v>
      </c>
      <c r="H77" s="1" t="s">
        <v>51</v>
      </c>
      <c r="I77" s="1">
        <v>1.77</v>
      </c>
      <c r="J77" s="1" t="s">
        <v>51</v>
      </c>
      <c r="K77" s="1">
        <v>102.5</v>
      </c>
      <c r="L77" s="1">
        <v>32.717290689137798</v>
      </c>
      <c r="M77" s="1" t="s">
        <v>45</v>
      </c>
      <c r="N77" s="1" t="s">
        <v>45</v>
      </c>
      <c r="O77" s="1" t="s">
        <v>45</v>
      </c>
      <c r="P77" s="1" t="s">
        <v>45</v>
      </c>
      <c r="Q77" s="1" t="s">
        <v>45</v>
      </c>
      <c r="R77" s="1" t="s">
        <v>45</v>
      </c>
      <c r="S77" s="1" t="s">
        <v>45</v>
      </c>
      <c r="T77" s="1" t="s">
        <v>45</v>
      </c>
      <c r="U77" s="1" t="s">
        <v>45</v>
      </c>
      <c r="V77" s="1" t="s">
        <v>45</v>
      </c>
      <c r="W77" s="1" t="s">
        <v>45</v>
      </c>
      <c r="X77" s="1" t="s">
        <v>45</v>
      </c>
      <c r="Y77" s="1" t="s">
        <v>45</v>
      </c>
      <c r="Z77" s="1" t="s">
        <v>45</v>
      </c>
      <c r="AA77" s="1" t="s">
        <v>45</v>
      </c>
      <c r="AB77" s="1" t="s">
        <v>45</v>
      </c>
      <c r="AC77" s="1" t="s">
        <v>51</v>
      </c>
      <c r="AD77" s="1" t="s">
        <v>45</v>
      </c>
      <c r="AE77" s="1" t="s">
        <v>45</v>
      </c>
      <c r="AF77" s="32">
        <v>44886</v>
      </c>
      <c r="AG77" s="1">
        <v>56.589799927445398</v>
      </c>
      <c r="AH77" s="1" t="s">
        <v>1526</v>
      </c>
      <c r="AI77" s="1" t="s">
        <v>1527</v>
      </c>
      <c r="AJ77" s="1" t="s">
        <v>45</v>
      </c>
      <c r="AK77" s="1" t="s">
        <v>51</v>
      </c>
      <c r="AL77" s="1" t="s">
        <v>45</v>
      </c>
      <c r="AM77" s="1" t="s">
        <v>45</v>
      </c>
      <c r="AN77" s="1" t="s">
        <v>45</v>
      </c>
      <c r="AO77" s="1" t="s">
        <v>45</v>
      </c>
      <c r="AP77" s="1" t="s">
        <v>45</v>
      </c>
      <c r="AQ77" s="1" t="s">
        <v>45</v>
      </c>
      <c r="AR77" s="1" t="s">
        <v>45</v>
      </c>
      <c r="AT77" s="1" t="s">
        <v>1528</v>
      </c>
      <c r="AW77" s="33" t="s">
        <v>1463</v>
      </c>
      <c r="AX77" s="3" t="s">
        <v>1528</v>
      </c>
      <c r="AY77" s="3"/>
      <c r="AZ77" s="1">
        <v>4</v>
      </c>
      <c r="BA77" s="1" t="s">
        <v>1529</v>
      </c>
      <c r="BB77" s="1" t="s">
        <v>1530</v>
      </c>
      <c r="BC77" s="1" t="s">
        <v>1531</v>
      </c>
      <c r="BD77" s="1" t="s">
        <v>1532</v>
      </c>
      <c r="BE77" s="1" t="s">
        <v>1603</v>
      </c>
      <c r="BF77" s="1" t="s">
        <v>1534</v>
      </c>
      <c r="BG77" s="1" t="s">
        <v>1525</v>
      </c>
      <c r="BH77" s="1" t="s">
        <v>46</v>
      </c>
      <c r="BI77" s="1" t="s">
        <v>1535</v>
      </c>
      <c r="BJ77" s="1" t="s">
        <v>45</v>
      </c>
      <c r="BK77" s="1" t="s">
        <v>1536</v>
      </c>
      <c r="BL77" s="32">
        <v>44886</v>
      </c>
      <c r="BM77" s="1" t="s">
        <v>307</v>
      </c>
      <c r="BO77" s="1" t="s">
        <v>1537</v>
      </c>
      <c r="BP77" s="1" t="s">
        <v>1538</v>
      </c>
      <c r="BQ77" s="1" t="s">
        <v>1539</v>
      </c>
      <c r="BR77" s="1" t="s">
        <v>1540</v>
      </c>
      <c r="BS77" s="1" t="s">
        <v>50</v>
      </c>
      <c r="BW77" s="1" t="s">
        <v>1563</v>
      </c>
      <c r="BX77" s="32">
        <v>44993</v>
      </c>
      <c r="BY77" s="1">
        <v>12</v>
      </c>
      <c r="BZ77" s="1" t="s">
        <v>1817</v>
      </c>
      <c r="CA77" s="1" t="s">
        <v>51</v>
      </c>
      <c r="CB77" s="1" t="s">
        <v>51</v>
      </c>
      <c r="CC77" s="32">
        <v>44916</v>
      </c>
      <c r="CD77" s="1">
        <v>60</v>
      </c>
      <c r="CE77" s="1">
        <v>30</v>
      </c>
      <c r="CJ77" s="1" t="s">
        <v>51</v>
      </c>
      <c r="CK77" s="32">
        <v>45707</v>
      </c>
      <c r="CL77" s="1" t="s">
        <v>51</v>
      </c>
      <c r="CM77" s="32">
        <v>45770</v>
      </c>
      <c r="CN77" s="1">
        <v>2.42030979417784</v>
      </c>
      <c r="CO77" s="1" t="s">
        <v>1537</v>
      </c>
      <c r="CP77" s="1" t="s">
        <v>1796</v>
      </c>
      <c r="CQ77" s="1" t="s">
        <v>1539</v>
      </c>
      <c r="CR77" s="1" t="s">
        <v>1540</v>
      </c>
      <c r="CS77" s="1" t="s">
        <v>50</v>
      </c>
      <c r="CT77" s="1" t="s">
        <v>1528</v>
      </c>
      <c r="CW77" s="1">
        <v>4</v>
      </c>
      <c r="CX77" s="1" t="s">
        <v>1529</v>
      </c>
      <c r="CY77" s="1" t="s">
        <v>1530</v>
      </c>
      <c r="CZ77" s="1" t="s">
        <v>1531</v>
      </c>
      <c r="DA77" s="1" t="s">
        <v>1532</v>
      </c>
      <c r="DB77" s="1" t="s">
        <v>1603</v>
      </c>
      <c r="DC77" s="1" t="s">
        <v>1534</v>
      </c>
      <c r="DD77" s="1" t="s">
        <v>1525</v>
      </c>
      <c r="DE77" s="1" t="s">
        <v>46</v>
      </c>
      <c r="DF77" s="1" t="s">
        <v>68</v>
      </c>
      <c r="DG77" s="1" t="s">
        <v>45</v>
      </c>
      <c r="DH77" s="1" t="s">
        <v>51</v>
      </c>
      <c r="DI77" s="1" t="s">
        <v>1818</v>
      </c>
      <c r="DJ77" s="32">
        <v>45779</v>
      </c>
      <c r="DM77" s="1" t="s">
        <v>45</v>
      </c>
      <c r="DO77" s="1" t="s">
        <v>45</v>
      </c>
      <c r="DQ77" s="1" t="s">
        <v>45</v>
      </c>
      <c r="DT77" s="32">
        <v>45798</v>
      </c>
      <c r="DU77" s="1" t="s">
        <v>1598</v>
      </c>
      <c r="DV77" s="1">
        <v>29.9605781865965</v>
      </c>
      <c r="DW77" s="1" t="s">
        <v>45</v>
      </c>
      <c r="DY77" s="32">
        <v>45810</v>
      </c>
      <c r="DZ77" s="1" t="s">
        <v>1544</v>
      </c>
    </row>
    <row r="78" spans="1:130" ht="15.75" customHeight="1" x14ac:dyDescent="0.2">
      <c r="A78" s="8" t="s">
        <v>314</v>
      </c>
      <c r="B78" s="32">
        <v>14610</v>
      </c>
      <c r="C78" s="32">
        <v>44887</v>
      </c>
      <c r="D78" s="1">
        <v>82.895610450590993</v>
      </c>
      <c r="E78" s="1" t="s">
        <v>1523</v>
      </c>
      <c r="F78" s="1" t="s">
        <v>1578</v>
      </c>
      <c r="G78" s="1" t="s">
        <v>1574</v>
      </c>
      <c r="H78" s="1" t="s">
        <v>51</v>
      </c>
      <c r="I78" s="1">
        <v>1.59</v>
      </c>
      <c r="J78" s="1" t="s">
        <v>51</v>
      </c>
      <c r="K78" s="1">
        <v>50.7</v>
      </c>
      <c r="L78" s="1">
        <v>20.054586448320801</v>
      </c>
      <c r="M78" s="1" t="s">
        <v>45</v>
      </c>
      <c r="N78" s="1" t="s">
        <v>45</v>
      </c>
      <c r="O78" s="1" t="s">
        <v>45</v>
      </c>
      <c r="P78" s="1" t="s">
        <v>45</v>
      </c>
      <c r="Q78" s="1" t="s">
        <v>45</v>
      </c>
      <c r="R78" s="1" t="s">
        <v>45</v>
      </c>
      <c r="S78" s="1" t="s">
        <v>45</v>
      </c>
      <c r="T78" s="1" t="s">
        <v>45</v>
      </c>
      <c r="U78" s="1" t="s">
        <v>45</v>
      </c>
      <c r="V78" s="1" t="s">
        <v>45</v>
      </c>
      <c r="W78" s="1" t="s">
        <v>45</v>
      </c>
      <c r="X78" s="1" t="s">
        <v>45</v>
      </c>
      <c r="Y78" s="1" t="s">
        <v>45</v>
      </c>
      <c r="Z78" s="1" t="s">
        <v>45</v>
      </c>
      <c r="AA78" s="1" t="s">
        <v>45</v>
      </c>
      <c r="AB78" s="1" t="s">
        <v>45</v>
      </c>
      <c r="AC78" s="1" t="s">
        <v>45</v>
      </c>
      <c r="AD78" s="1" t="s">
        <v>45</v>
      </c>
      <c r="AE78" s="1" t="s">
        <v>45</v>
      </c>
      <c r="AF78" s="32">
        <v>44887</v>
      </c>
      <c r="AG78" s="1">
        <v>82.895610450590993</v>
      </c>
      <c r="AH78" s="1" t="s">
        <v>1625</v>
      </c>
      <c r="AI78" s="1" t="s">
        <v>1527</v>
      </c>
      <c r="AJ78" s="1" t="s">
        <v>45</v>
      </c>
      <c r="AK78" s="1" t="s">
        <v>45</v>
      </c>
      <c r="AL78" s="1" t="s">
        <v>45</v>
      </c>
      <c r="AM78" s="1" t="s">
        <v>45</v>
      </c>
      <c r="AN78" s="1" t="s">
        <v>45</v>
      </c>
      <c r="AO78" s="1" t="s">
        <v>45</v>
      </c>
      <c r="AP78" s="1" t="s">
        <v>45</v>
      </c>
      <c r="AQ78" s="1" t="s">
        <v>51</v>
      </c>
      <c r="AR78" s="1" t="s">
        <v>45</v>
      </c>
      <c r="AT78" s="1" t="s">
        <v>1528</v>
      </c>
      <c r="AW78" s="33" t="s">
        <v>1463</v>
      </c>
      <c r="AX78" s="3" t="s">
        <v>1528</v>
      </c>
      <c r="AY78" s="3"/>
      <c r="AZ78" s="1">
        <v>4</v>
      </c>
      <c r="BB78" s="1" t="s">
        <v>1530</v>
      </c>
      <c r="BC78" s="1" t="s">
        <v>1531</v>
      </c>
      <c r="BE78" s="1" t="s">
        <v>1525</v>
      </c>
      <c r="BF78" s="1" t="s">
        <v>1548</v>
      </c>
      <c r="BG78" s="1" t="s">
        <v>1525</v>
      </c>
      <c r="BH78" s="1" t="s">
        <v>46</v>
      </c>
      <c r="BI78" s="1" t="s">
        <v>1535</v>
      </c>
      <c r="BJ78" s="1" t="s">
        <v>45</v>
      </c>
      <c r="BK78" s="1" t="s">
        <v>1549</v>
      </c>
      <c r="BL78" s="32">
        <v>44887</v>
      </c>
      <c r="BM78" s="1" t="s">
        <v>1819</v>
      </c>
      <c r="BO78" s="1" t="s">
        <v>1537</v>
      </c>
      <c r="BP78" s="1" t="s">
        <v>1551</v>
      </c>
      <c r="BQ78" s="1" t="s">
        <v>1605</v>
      </c>
      <c r="BR78" s="1" t="s">
        <v>1540</v>
      </c>
      <c r="BS78" s="1" t="s">
        <v>106</v>
      </c>
      <c r="BU78" s="1" t="s">
        <v>51</v>
      </c>
      <c r="BW78" s="1" t="s">
        <v>1542</v>
      </c>
      <c r="CA78" s="1" t="s">
        <v>45</v>
      </c>
      <c r="CB78" s="1" t="s">
        <v>45</v>
      </c>
      <c r="CI78" s="1" t="s">
        <v>1701</v>
      </c>
      <c r="CJ78" s="1" t="s">
        <v>45</v>
      </c>
      <c r="DH78" s="1" t="s">
        <v>45</v>
      </c>
      <c r="DM78" s="1" t="s">
        <v>45</v>
      </c>
      <c r="DO78" s="1" t="s">
        <v>45</v>
      </c>
      <c r="DQ78" s="1" t="s">
        <v>45</v>
      </c>
      <c r="DU78" s="1" t="s">
        <v>1556</v>
      </c>
      <c r="DW78" s="1" t="s">
        <v>45</v>
      </c>
      <c r="DY78" s="32">
        <v>44945</v>
      </c>
      <c r="DZ78" s="1" t="s">
        <v>1557</v>
      </c>
    </row>
    <row r="79" spans="1:130" ht="15.75" customHeight="1" x14ac:dyDescent="0.2">
      <c r="A79" s="8" t="s">
        <v>319</v>
      </c>
      <c r="B79" s="32">
        <v>34072</v>
      </c>
      <c r="C79" s="32">
        <v>44826</v>
      </c>
      <c r="D79" s="1">
        <v>29.443451953154401</v>
      </c>
      <c r="E79" s="1" t="s">
        <v>1523</v>
      </c>
      <c r="F79" s="1" t="s">
        <v>1524</v>
      </c>
      <c r="G79" s="1" t="s">
        <v>1545</v>
      </c>
      <c r="H79" s="1" t="s">
        <v>51</v>
      </c>
      <c r="I79" s="1">
        <v>1.76</v>
      </c>
      <c r="J79" s="1" t="s">
        <v>51</v>
      </c>
      <c r="K79" s="1">
        <v>58.6</v>
      </c>
      <c r="L79" s="1">
        <v>18.917871900826398</v>
      </c>
      <c r="M79" s="1" t="s">
        <v>45</v>
      </c>
      <c r="N79" s="1" t="s">
        <v>45</v>
      </c>
      <c r="O79" s="1" t="s">
        <v>45</v>
      </c>
      <c r="P79" s="1" t="s">
        <v>45</v>
      </c>
      <c r="Q79" s="1" t="s">
        <v>45</v>
      </c>
      <c r="R79" s="1" t="s">
        <v>45</v>
      </c>
      <c r="S79" s="1" t="s">
        <v>45</v>
      </c>
      <c r="T79" s="1" t="s">
        <v>45</v>
      </c>
      <c r="U79" s="1" t="s">
        <v>45</v>
      </c>
      <c r="V79" s="1" t="s">
        <v>45</v>
      </c>
      <c r="W79" s="1" t="s">
        <v>45</v>
      </c>
      <c r="X79" s="1" t="s">
        <v>45</v>
      </c>
      <c r="Y79" s="1" t="s">
        <v>45</v>
      </c>
      <c r="Z79" s="1" t="s">
        <v>45</v>
      </c>
      <c r="AA79" s="1" t="s">
        <v>45</v>
      </c>
      <c r="AB79" s="1" t="s">
        <v>45</v>
      </c>
      <c r="AC79" s="1" t="s">
        <v>45</v>
      </c>
      <c r="AD79" s="1" t="s">
        <v>45</v>
      </c>
      <c r="AE79" s="1" t="s">
        <v>45</v>
      </c>
      <c r="AF79" s="32">
        <v>44888</v>
      </c>
      <c r="AG79" s="1">
        <v>29.613202187587699</v>
      </c>
      <c r="AH79" s="1" t="s">
        <v>1526</v>
      </c>
      <c r="AI79" s="1" t="s">
        <v>1527</v>
      </c>
      <c r="AJ79" s="1" t="s">
        <v>45</v>
      </c>
      <c r="AK79" s="1" t="s">
        <v>45</v>
      </c>
      <c r="AL79" s="1" t="s">
        <v>45</v>
      </c>
      <c r="AM79" s="1" t="s">
        <v>51</v>
      </c>
      <c r="AN79" s="1" t="s">
        <v>51</v>
      </c>
      <c r="AO79" s="1" t="s">
        <v>45</v>
      </c>
      <c r="AP79" s="1" t="s">
        <v>45</v>
      </c>
      <c r="AQ79" s="1" t="s">
        <v>45</v>
      </c>
      <c r="AR79" s="1" t="s">
        <v>51</v>
      </c>
      <c r="AS79" s="1" t="s">
        <v>1820</v>
      </c>
      <c r="AT79" s="1" t="s">
        <v>1560</v>
      </c>
      <c r="AW79" s="33" t="s">
        <v>1464</v>
      </c>
      <c r="AX79" s="3"/>
      <c r="AY79" s="3" t="s">
        <v>1560</v>
      </c>
      <c r="AZ79" s="1">
        <v>2</v>
      </c>
      <c r="BA79" s="1" t="s">
        <v>1821</v>
      </c>
      <c r="BB79" s="1" t="s">
        <v>1567</v>
      </c>
      <c r="BC79" s="1" t="s">
        <v>1531</v>
      </c>
      <c r="BD79" s="1" t="s">
        <v>1822</v>
      </c>
      <c r="BE79" s="1" t="s">
        <v>1603</v>
      </c>
      <c r="BF79" s="1" t="s">
        <v>1534</v>
      </c>
      <c r="BG79" s="1" t="s">
        <v>1525</v>
      </c>
      <c r="BH79" s="1" t="s">
        <v>1525</v>
      </c>
      <c r="BI79" s="1" t="s">
        <v>1599</v>
      </c>
      <c r="BJ79" s="1" t="s">
        <v>51</v>
      </c>
      <c r="BK79" s="1" t="s">
        <v>1536</v>
      </c>
      <c r="BL79" s="32">
        <v>44888</v>
      </c>
      <c r="BM79" s="1" t="s">
        <v>320</v>
      </c>
      <c r="BO79" s="1" t="s">
        <v>1537</v>
      </c>
      <c r="BP79" s="1" t="s">
        <v>1538</v>
      </c>
      <c r="BQ79" s="1" t="s">
        <v>1539</v>
      </c>
      <c r="BR79" s="1" t="s">
        <v>1540</v>
      </c>
      <c r="BS79" s="1" t="s">
        <v>50</v>
      </c>
      <c r="BU79" s="1" t="s">
        <v>51</v>
      </c>
      <c r="BV79" s="1" t="s">
        <v>1541</v>
      </c>
      <c r="BW79" s="1" t="s">
        <v>1563</v>
      </c>
      <c r="BX79" s="32">
        <v>44986</v>
      </c>
      <c r="BY79" s="1">
        <v>12</v>
      </c>
      <c r="BZ79" s="1" t="s">
        <v>1823</v>
      </c>
      <c r="CA79" s="1" t="s">
        <v>51</v>
      </c>
      <c r="CB79" s="1" t="s">
        <v>51</v>
      </c>
      <c r="CC79" s="32">
        <v>44916</v>
      </c>
      <c r="CD79" s="1">
        <v>54</v>
      </c>
      <c r="CE79" s="1">
        <v>180</v>
      </c>
      <c r="CF79" s="1" t="s">
        <v>1824</v>
      </c>
      <c r="CJ79" s="1" t="s">
        <v>45</v>
      </c>
      <c r="DH79" s="1" t="s">
        <v>45</v>
      </c>
      <c r="DM79" s="1" t="s">
        <v>45</v>
      </c>
      <c r="DO79" s="1" t="s">
        <v>45</v>
      </c>
      <c r="DQ79" s="1" t="s">
        <v>45</v>
      </c>
      <c r="DT79" s="32">
        <v>45770</v>
      </c>
      <c r="DU79" s="1" t="s">
        <v>1598</v>
      </c>
      <c r="DV79" s="1">
        <v>28.975032851511099</v>
      </c>
      <c r="DW79" s="1" t="s">
        <v>45</v>
      </c>
      <c r="DY79" s="32">
        <v>45810</v>
      </c>
      <c r="DZ79" s="1" t="s">
        <v>1544</v>
      </c>
    </row>
    <row r="80" spans="1:130" ht="15.75" customHeight="1" x14ac:dyDescent="0.2">
      <c r="A80" s="8" t="s">
        <v>322</v>
      </c>
      <c r="B80" s="32">
        <v>25068</v>
      </c>
      <c r="C80" s="32">
        <v>44893</v>
      </c>
      <c r="D80" s="1">
        <v>54.279120493005699</v>
      </c>
      <c r="E80" s="1" t="s">
        <v>1523</v>
      </c>
      <c r="F80" s="1" t="s">
        <v>1524</v>
      </c>
      <c r="G80" s="1" t="s">
        <v>1574</v>
      </c>
      <c r="H80" s="1" t="s">
        <v>51</v>
      </c>
      <c r="I80" s="1">
        <v>1.718</v>
      </c>
      <c r="J80" s="1" t="s">
        <v>51</v>
      </c>
      <c r="K80" s="1">
        <v>82.9</v>
      </c>
      <c r="L80" s="1">
        <v>28.087184789959299</v>
      </c>
      <c r="M80" s="1" t="s">
        <v>45</v>
      </c>
      <c r="N80" s="1" t="s">
        <v>45</v>
      </c>
      <c r="O80" s="1" t="s">
        <v>45</v>
      </c>
      <c r="P80" s="1" t="s">
        <v>45</v>
      </c>
      <c r="Q80" s="1" t="s">
        <v>45</v>
      </c>
      <c r="R80" s="1" t="s">
        <v>45</v>
      </c>
      <c r="S80" s="1" t="s">
        <v>45</v>
      </c>
      <c r="T80" s="1" t="s">
        <v>45</v>
      </c>
      <c r="U80" s="1" t="s">
        <v>45</v>
      </c>
      <c r="V80" s="1" t="s">
        <v>45</v>
      </c>
      <c r="W80" s="1" t="s">
        <v>45</v>
      </c>
      <c r="X80" s="1" t="s">
        <v>45</v>
      </c>
      <c r="Y80" s="1" t="s">
        <v>45</v>
      </c>
      <c r="Z80" s="1" t="s">
        <v>45</v>
      </c>
      <c r="AA80" s="1" t="s">
        <v>45</v>
      </c>
      <c r="AB80" s="1" t="s">
        <v>45</v>
      </c>
      <c r="AC80" s="1" t="s">
        <v>45</v>
      </c>
      <c r="AD80" s="1" t="s">
        <v>45</v>
      </c>
      <c r="AE80" s="1" t="s">
        <v>45</v>
      </c>
      <c r="AF80" s="32">
        <v>44893</v>
      </c>
      <c r="AG80" s="1">
        <v>54.279120493005699</v>
      </c>
      <c r="AH80" s="1" t="s">
        <v>1558</v>
      </c>
      <c r="AI80" s="1" t="s">
        <v>1527</v>
      </c>
      <c r="AJ80" s="1" t="s">
        <v>45</v>
      </c>
      <c r="AK80" s="1" t="s">
        <v>45</v>
      </c>
      <c r="AL80" s="1" t="s">
        <v>45</v>
      </c>
      <c r="AM80" s="1" t="s">
        <v>45</v>
      </c>
      <c r="AN80" s="1" t="s">
        <v>45</v>
      </c>
      <c r="AO80" s="1" t="s">
        <v>45</v>
      </c>
      <c r="AP80" s="1" t="s">
        <v>45</v>
      </c>
      <c r="AQ80" s="1" t="s">
        <v>51</v>
      </c>
      <c r="AR80" s="1" t="s">
        <v>45</v>
      </c>
      <c r="AT80" s="1" t="s">
        <v>1528</v>
      </c>
      <c r="AW80" s="33" t="s">
        <v>1463</v>
      </c>
      <c r="AX80" s="3" t="s">
        <v>1528</v>
      </c>
      <c r="AY80" s="3"/>
      <c r="AZ80" s="1">
        <v>4</v>
      </c>
      <c r="BB80" s="1" t="s">
        <v>1530</v>
      </c>
      <c r="BC80" s="1" t="s">
        <v>1531</v>
      </c>
      <c r="BE80" s="1" t="s">
        <v>1533</v>
      </c>
      <c r="BF80" s="1" t="s">
        <v>1548</v>
      </c>
      <c r="BG80" s="1" t="s">
        <v>51</v>
      </c>
      <c r="BH80" s="1" t="s">
        <v>68</v>
      </c>
      <c r="BI80" s="1" t="s">
        <v>1535</v>
      </c>
      <c r="BJ80" s="1" t="s">
        <v>1525</v>
      </c>
      <c r="BK80" s="1" t="s">
        <v>1549</v>
      </c>
      <c r="BL80" s="32">
        <v>44893</v>
      </c>
      <c r="BO80" s="1" t="s">
        <v>1537</v>
      </c>
      <c r="BP80" s="1" t="s">
        <v>1551</v>
      </c>
      <c r="BQ80" s="1" t="s">
        <v>1539</v>
      </c>
      <c r="BR80" s="1" t="s">
        <v>1540</v>
      </c>
      <c r="BS80" s="1" t="s">
        <v>50</v>
      </c>
      <c r="BU80" s="1" t="s">
        <v>51</v>
      </c>
      <c r="BW80" s="1" t="s">
        <v>1563</v>
      </c>
      <c r="BX80" s="32">
        <v>44993</v>
      </c>
      <c r="BY80" s="1">
        <v>12</v>
      </c>
      <c r="CA80" s="1" t="s">
        <v>51</v>
      </c>
      <c r="CB80" s="1" t="s">
        <v>51</v>
      </c>
      <c r="CC80" s="32">
        <v>44915</v>
      </c>
      <c r="CD80" s="1">
        <v>60</v>
      </c>
      <c r="CE80" s="1">
        <v>30</v>
      </c>
      <c r="CJ80" s="1" t="s">
        <v>45</v>
      </c>
      <c r="DH80" s="1" t="s">
        <v>45</v>
      </c>
      <c r="DM80" s="1" t="s">
        <v>45</v>
      </c>
      <c r="DO80" s="1" t="s">
        <v>45</v>
      </c>
      <c r="DQ80" s="1" t="s">
        <v>45</v>
      </c>
      <c r="DT80" s="32">
        <v>45728</v>
      </c>
      <c r="DU80" s="1" t="s">
        <v>1598</v>
      </c>
      <c r="DV80" s="1">
        <v>27.431011826544001</v>
      </c>
      <c r="DW80" s="1" t="s">
        <v>45</v>
      </c>
      <c r="DY80" s="32">
        <v>45728</v>
      </c>
      <c r="DZ80" s="1" t="s">
        <v>1557</v>
      </c>
    </row>
    <row r="81" spans="1:130" ht="15.75" customHeight="1" x14ac:dyDescent="0.2">
      <c r="A81" s="8" t="s">
        <v>344</v>
      </c>
      <c r="B81" s="32">
        <v>26622</v>
      </c>
      <c r="C81" s="32">
        <v>44890</v>
      </c>
      <c r="D81" s="1">
        <v>50.016085203666002</v>
      </c>
      <c r="E81" s="1" t="s">
        <v>1523</v>
      </c>
      <c r="F81" s="1" t="s">
        <v>1524</v>
      </c>
      <c r="G81" s="1" t="s">
        <v>1545</v>
      </c>
      <c r="H81" s="1" t="s">
        <v>45</v>
      </c>
      <c r="J81" s="1" t="s">
        <v>45</v>
      </c>
      <c r="M81" s="1" t="s">
        <v>45</v>
      </c>
      <c r="N81" s="1" t="s">
        <v>45</v>
      </c>
      <c r="O81" s="1" t="s">
        <v>45</v>
      </c>
      <c r="P81" s="1" t="s">
        <v>45</v>
      </c>
      <c r="Q81" s="1" t="s">
        <v>45</v>
      </c>
      <c r="R81" s="1" t="s">
        <v>45</v>
      </c>
      <c r="S81" s="1" t="s">
        <v>45</v>
      </c>
      <c r="T81" s="1" t="s">
        <v>45</v>
      </c>
      <c r="U81" s="1" t="s">
        <v>45</v>
      </c>
      <c r="V81" s="1" t="s">
        <v>45</v>
      </c>
      <c r="W81" s="1" t="s">
        <v>45</v>
      </c>
      <c r="X81" s="1" t="s">
        <v>45</v>
      </c>
      <c r="Y81" s="1" t="s">
        <v>45</v>
      </c>
      <c r="Z81" s="1" t="s">
        <v>45</v>
      </c>
      <c r="AA81" s="1" t="s">
        <v>45</v>
      </c>
      <c r="AB81" s="1" t="s">
        <v>45</v>
      </c>
      <c r="AC81" s="1" t="s">
        <v>45</v>
      </c>
      <c r="AD81" s="1" t="s">
        <v>45</v>
      </c>
      <c r="AE81" s="1" t="s">
        <v>45</v>
      </c>
      <c r="AF81" s="32">
        <v>44892</v>
      </c>
      <c r="AG81" s="1">
        <v>50.02156101768</v>
      </c>
      <c r="AH81" s="1" t="s">
        <v>1526</v>
      </c>
      <c r="AI81" s="1" t="s">
        <v>1527</v>
      </c>
      <c r="AJ81" s="1" t="s">
        <v>45</v>
      </c>
      <c r="AK81" s="1" t="s">
        <v>51</v>
      </c>
      <c r="AL81" s="1" t="s">
        <v>45</v>
      </c>
      <c r="AM81" s="1" t="s">
        <v>45</v>
      </c>
      <c r="AN81" s="1" t="s">
        <v>45</v>
      </c>
      <c r="AO81" s="1" t="s">
        <v>45</v>
      </c>
      <c r="AP81" s="1" t="s">
        <v>45</v>
      </c>
      <c r="AQ81" s="1" t="s">
        <v>45</v>
      </c>
      <c r="AR81" s="1" t="s">
        <v>45</v>
      </c>
      <c r="AT81" s="1" t="s">
        <v>1528</v>
      </c>
      <c r="AW81" s="33" t="s">
        <v>1463</v>
      </c>
      <c r="AX81" s="3" t="s">
        <v>1528</v>
      </c>
      <c r="AY81" s="3"/>
      <c r="AZ81" s="1">
        <v>4</v>
      </c>
      <c r="BA81" s="1" t="s">
        <v>1529</v>
      </c>
      <c r="BB81" s="1" t="s">
        <v>1530</v>
      </c>
      <c r="BC81" s="1" t="s">
        <v>1531</v>
      </c>
      <c r="BD81" s="1" t="s">
        <v>1532</v>
      </c>
      <c r="BE81" s="1" t="s">
        <v>1533</v>
      </c>
      <c r="BF81" s="1" t="s">
        <v>1534</v>
      </c>
      <c r="BG81" s="1" t="s">
        <v>1525</v>
      </c>
      <c r="BH81" s="1" t="s">
        <v>46</v>
      </c>
      <c r="BI81" s="1" t="s">
        <v>1535</v>
      </c>
      <c r="BJ81" s="1" t="s">
        <v>51</v>
      </c>
      <c r="BK81" s="1" t="s">
        <v>1536</v>
      </c>
      <c r="BL81" s="32">
        <v>44892</v>
      </c>
      <c r="BM81" s="1" t="s">
        <v>345</v>
      </c>
      <c r="BO81" s="1" t="s">
        <v>1537</v>
      </c>
      <c r="BP81" s="1" t="s">
        <v>1538</v>
      </c>
      <c r="BQ81" s="1" t="s">
        <v>1539</v>
      </c>
      <c r="BR81" s="1" t="s">
        <v>1540</v>
      </c>
      <c r="BS81" s="1" t="s">
        <v>50</v>
      </c>
      <c r="BU81" s="1" t="s">
        <v>45</v>
      </c>
      <c r="BW81" s="1" t="s">
        <v>1542</v>
      </c>
      <c r="CA81" s="1" t="s">
        <v>51</v>
      </c>
      <c r="CB81" s="1" t="s">
        <v>51</v>
      </c>
      <c r="CC81" s="32">
        <v>44963</v>
      </c>
      <c r="CD81" s="1">
        <v>60</v>
      </c>
      <c r="CE81" s="1">
        <v>30</v>
      </c>
      <c r="CI81" s="1" t="s">
        <v>1825</v>
      </c>
      <c r="CJ81" s="1" t="s">
        <v>51</v>
      </c>
      <c r="CK81" s="32">
        <v>44972</v>
      </c>
      <c r="CL81" s="1" t="s">
        <v>45</v>
      </c>
      <c r="DH81" s="1" t="s">
        <v>45</v>
      </c>
      <c r="DM81" s="1" t="s">
        <v>45</v>
      </c>
      <c r="DO81" s="1" t="s">
        <v>45</v>
      </c>
      <c r="DQ81" s="1" t="s">
        <v>45</v>
      </c>
      <c r="DT81" s="32">
        <v>45024</v>
      </c>
      <c r="DU81" s="1" t="s">
        <v>1543</v>
      </c>
      <c r="DV81" s="1">
        <v>4.3363994743758196</v>
      </c>
      <c r="DW81" s="1" t="s">
        <v>45</v>
      </c>
      <c r="DY81" s="32">
        <v>45810</v>
      </c>
      <c r="DZ81" s="1" t="s">
        <v>1544</v>
      </c>
    </row>
    <row r="82" spans="1:130" ht="15.75" customHeight="1" x14ac:dyDescent="0.2">
      <c r="A82" s="8" t="s">
        <v>351</v>
      </c>
      <c r="B82" s="32">
        <v>35421</v>
      </c>
      <c r="C82" s="32">
        <v>42870</v>
      </c>
      <c r="D82" s="1">
        <v>20.394669295057302</v>
      </c>
      <c r="E82" s="1" t="s">
        <v>1523</v>
      </c>
      <c r="F82" s="1" t="s">
        <v>1524</v>
      </c>
      <c r="G82" s="1" t="s">
        <v>1574</v>
      </c>
      <c r="H82" s="1" t="s">
        <v>51</v>
      </c>
      <c r="I82" s="1">
        <v>1.6</v>
      </c>
      <c r="J82" s="1" t="s">
        <v>51</v>
      </c>
      <c r="K82" s="1">
        <v>57.6</v>
      </c>
      <c r="L82" s="1">
        <v>22.499999999999901</v>
      </c>
      <c r="M82" s="1" t="s">
        <v>45</v>
      </c>
      <c r="N82" s="1" t="s">
        <v>45</v>
      </c>
      <c r="O82" s="1" t="s">
        <v>45</v>
      </c>
      <c r="P82" s="1" t="s">
        <v>45</v>
      </c>
      <c r="Q82" s="1" t="s">
        <v>45</v>
      </c>
      <c r="R82" s="1" t="s">
        <v>45</v>
      </c>
      <c r="S82" s="1" t="s">
        <v>45</v>
      </c>
      <c r="T82" s="1" t="s">
        <v>45</v>
      </c>
      <c r="U82" s="1" t="s">
        <v>45</v>
      </c>
      <c r="V82" s="1" t="s">
        <v>45</v>
      </c>
      <c r="W82" s="1" t="s">
        <v>45</v>
      </c>
      <c r="X82" s="1" t="s">
        <v>45</v>
      </c>
      <c r="Y82" s="1" t="s">
        <v>45</v>
      </c>
      <c r="Z82" s="1" t="s">
        <v>45</v>
      </c>
      <c r="AA82" s="1" t="s">
        <v>45</v>
      </c>
      <c r="AB82" s="1" t="s">
        <v>45</v>
      </c>
      <c r="AC82" s="1" t="s">
        <v>45</v>
      </c>
      <c r="AD82" s="1" t="s">
        <v>45</v>
      </c>
      <c r="AE82" s="1" t="s">
        <v>45</v>
      </c>
      <c r="AF82" s="32">
        <v>40709</v>
      </c>
      <c r="AG82" s="1">
        <v>14.4780522529552</v>
      </c>
      <c r="AH82" s="1" t="s">
        <v>1526</v>
      </c>
      <c r="AI82" s="1" t="s">
        <v>1527</v>
      </c>
      <c r="AJ82" s="1" t="s">
        <v>45</v>
      </c>
      <c r="AK82" s="1" t="s">
        <v>45</v>
      </c>
      <c r="AL82" s="1" t="s">
        <v>45</v>
      </c>
      <c r="AM82" s="1" t="s">
        <v>45</v>
      </c>
      <c r="AN82" s="1" t="s">
        <v>45</v>
      </c>
      <c r="AO82" s="1" t="s">
        <v>45</v>
      </c>
      <c r="AP82" s="1" t="s">
        <v>45</v>
      </c>
      <c r="AQ82" s="1" t="s">
        <v>45</v>
      </c>
      <c r="AR82" s="1" t="s">
        <v>45</v>
      </c>
      <c r="AT82" s="1" t="s">
        <v>1583</v>
      </c>
      <c r="AU82" s="1" t="s">
        <v>237</v>
      </c>
      <c r="AW82" s="33" t="s">
        <v>1464</v>
      </c>
      <c r="AX82" s="3"/>
      <c r="AY82" s="33" t="s">
        <v>1621</v>
      </c>
      <c r="AZ82" s="1">
        <v>1</v>
      </c>
      <c r="BA82" s="1" t="s">
        <v>1814</v>
      </c>
      <c r="BB82" s="1" t="s">
        <v>1530</v>
      </c>
      <c r="BC82" s="1" t="s">
        <v>1531</v>
      </c>
      <c r="BD82" s="1" t="s">
        <v>1532</v>
      </c>
      <c r="BE82" s="1" t="s">
        <v>1525</v>
      </c>
      <c r="BG82" s="1" t="s">
        <v>1525</v>
      </c>
      <c r="BH82" s="1" t="s">
        <v>1525</v>
      </c>
      <c r="BI82" s="1" t="s">
        <v>1525</v>
      </c>
      <c r="BJ82" s="1" t="s">
        <v>45</v>
      </c>
      <c r="BK82" s="1" t="s">
        <v>1536</v>
      </c>
      <c r="BL82" s="32">
        <v>42870</v>
      </c>
      <c r="BM82" s="1" t="s">
        <v>352</v>
      </c>
      <c r="BO82" s="1" t="s">
        <v>1537</v>
      </c>
      <c r="BP82" s="1" t="s">
        <v>1796</v>
      </c>
      <c r="BQ82" s="1" t="s">
        <v>1539</v>
      </c>
      <c r="BR82" s="1" t="s">
        <v>1552</v>
      </c>
      <c r="BS82" s="1" t="s">
        <v>43</v>
      </c>
      <c r="BU82" s="1" t="s">
        <v>45</v>
      </c>
      <c r="BW82" s="1" t="s">
        <v>1542</v>
      </c>
      <c r="CA82" s="1" t="s">
        <v>45</v>
      </c>
      <c r="CB82" s="1" t="s">
        <v>45</v>
      </c>
      <c r="CJ82" s="1" t="s">
        <v>51</v>
      </c>
      <c r="CK82" s="32">
        <v>44807</v>
      </c>
      <c r="CL82" s="1" t="s">
        <v>51</v>
      </c>
      <c r="CM82" s="32">
        <v>44894</v>
      </c>
      <c r="CN82" s="1">
        <v>5.5415237821447398</v>
      </c>
      <c r="CO82" s="1" t="s">
        <v>1537</v>
      </c>
      <c r="CP82" s="1" t="s">
        <v>1796</v>
      </c>
      <c r="CQ82" s="1" t="s">
        <v>1539</v>
      </c>
      <c r="CR82" s="1" t="s">
        <v>1552</v>
      </c>
      <c r="CS82" s="1" t="s">
        <v>50</v>
      </c>
      <c r="CT82" s="1" t="s">
        <v>1583</v>
      </c>
      <c r="CU82" s="1" t="s">
        <v>237</v>
      </c>
      <c r="CW82" s="1">
        <v>1</v>
      </c>
      <c r="CX82" s="1" t="s">
        <v>1814</v>
      </c>
      <c r="CY82" s="1" t="s">
        <v>1530</v>
      </c>
      <c r="CZ82" s="1" t="s">
        <v>1531</v>
      </c>
      <c r="DA82" s="1" t="s">
        <v>1532</v>
      </c>
      <c r="DB82" s="1" t="s">
        <v>1525</v>
      </c>
      <c r="DD82" s="1" t="s">
        <v>1525</v>
      </c>
      <c r="DE82" s="1" t="s">
        <v>1525</v>
      </c>
      <c r="DF82" s="1" t="s">
        <v>1525</v>
      </c>
      <c r="DG82" s="1" t="s">
        <v>45</v>
      </c>
      <c r="DH82" s="1" t="s">
        <v>45</v>
      </c>
      <c r="DM82" s="1" t="s">
        <v>45</v>
      </c>
      <c r="DO82" s="1" t="s">
        <v>45</v>
      </c>
      <c r="DQ82" s="1" t="s">
        <v>45</v>
      </c>
      <c r="DT82" s="32">
        <v>45622</v>
      </c>
      <c r="DU82" s="1" t="s">
        <v>1598</v>
      </c>
      <c r="DV82" s="1">
        <v>161.399474375821</v>
      </c>
      <c r="DW82" s="1" t="s">
        <v>45</v>
      </c>
      <c r="DY82" s="32">
        <v>45810</v>
      </c>
      <c r="DZ82" s="1" t="s">
        <v>1544</v>
      </c>
    </row>
    <row r="83" spans="1:130" ht="15.75" customHeight="1" x14ac:dyDescent="0.2">
      <c r="A83" s="8" t="s">
        <v>355</v>
      </c>
      <c r="B83" s="32">
        <v>26270</v>
      </c>
      <c r="C83" s="32">
        <v>39083</v>
      </c>
      <c r="D83" s="1">
        <v>35.080802480543703</v>
      </c>
      <c r="E83" s="1" t="s">
        <v>1523</v>
      </c>
      <c r="F83" s="1" t="s">
        <v>1524</v>
      </c>
      <c r="G83" s="1" t="s">
        <v>1574</v>
      </c>
      <c r="H83" s="1" t="s">
        <v>51</v>
      </c>
      <c r="I83" s="1">
        <v>1.66</v>
      </c>
      <c r="J83" s="1" t="s">
        <v>51</v>
      </c>
      <c r="K83" s="1">
        <v>75.2</v>
      </c>
      <c r="L83" s="1">
        <v>27.2898824212512</v>
      </c>
      <c r="M83" s="1" t="s">
        <v>45</v>
      </c>
      <c r="N83" s="1" t="s">
        <v>45</v>
      </c>
      <c r="O83" s="1" t="s">
        <v>45</v>
      </c>
      <c r="P83" s="1" t="s">
        <v>45</v>
      </c>
      <c r="Q83" s="1" t="s">
        <v>45</v>
      </c>
      <c r="R83" s="1" t="s">
        <v>45</v>
      </c>
      <c r="S83" s="1" t="s">
        <v>45</v>
      </c>
      <c r="T83" s="1" t="s">
        <v>45</v>
      </c>
      <c r="U83" s="1" t="s">
        <v>51</v>
      </c>
      <c r="V83" s="1" t="s">
        <v>45</v>
      </c>
      <c r="W83" s="1" t="s">
        <v>45</v>
      </c>
      <c r="X83" s="1" t="s">
        <v>45</v>
      </c>
      <c r="Y83" s="1" t="s">
        <v>51</v>
      </c>
      <c r="Z83" s="1" t="s">
        <v>45</v>
      </c>
      <c r="AA83" s="1" t="s">
        <v>45</v>
      </c>
      <c r="AB83" s="1" t="s">
        <v>45</v>
      </c>
      <c r="AC83" s="1" t="s">
        <v>45</v>
      </c>
      <c r="AD83" s="1" t="s">
        <v>45</v>
      </c>
      <c r="AE83" s="1" t="s">
        <v>45</v>
      </c>
      <c r="AF83" s="32">
        <v>39083</v>
      </c>
      <c r="AG83" s="1">
        <v>35.080802480543703</v>
      </c>
      <c r="AH83" s="1" t="s">
        <v>1526</v>
      </c>
      <c r="AI83" s="1" t="s">
        <v>1527</v>
      </c>
      <c r="AJ83" s="1" t="s">
        <v>45</v>
      </c>
      <c r="AK83" s="1" t="s">
        <v>45</v>
      </c>
      <c r="AL83" s="1" t="s">
        <v>45</v>
      </c>
      <c r="AM83" s="1" t="s">
        <v>45</v>
      </c>
      <c r="AN83" s="1" t="s">
        <v>45</v>
      </c>
      <c r="AO83" s="1" t="s">
        <v>45</v>
      </c>
      <c r="AP83" s="1" t="s">
        <v>45</v>
      </c>
      <c r="AQ83" s="1" t="s">
        <v>45</v>
      </c>
      <c r="AR83" s="1" t="s">
        <v>51</v>
      </c>
      <c r="AS83" s="1" t="s">
        <v>1559</v>
      </c>
      <c r="AT83" s="1" t="s">
        <v>1601</v>
      </c>
      <c r="AW83" s="33" t="s">
        <v>1463</v>
      </c>
      <c r="AX83" s="3" t="s">
        <v>1601</v>
      </c>
      <c r="AY83" s="3"/>
      <c r="AZ83" s="1">
        <v>3</v>
      </c>
      <c r="BB83" s="1" t="s">
        <v>1567</v>
      </c>
      <c r="BC83" s="1" t="s">
        <v>1602</v>
      </c>
      <c r="BE83" s="1" t="s">
        <v>1603</v>
      </c>
      <c r="BF83" s="1" t="s">
        <v>1548</v>
      </c>
      <c r="BG83" s="1" t="s">
        <v>45</v>
      </c>
      <c r="BH83" s="1" t="s">
        <v>46</v>
      </c>
      <c r="BI83" s="1" t="s">
        <v>1535</v>
      </c>
      <c r="BJ83" s="1" t="s">
        <v>1525</v>
      </c>
      <c r="BK83" s="1" t="s">
        <v>1549</v>
      </c>
      <c r="BL83" s="32">
        <v>39083</v>
      </c>
      <c r="BM83" s="1" t="s">
        <v>1562</v>
      </c>
      <c r="BO83" s="1" t="s">
        <v>1537</v>
      </c>
      <c r="BP83" s="1" t="s">
        <v>1551</v>
      </c>
      <c r="BQ83" s="1" t="s">
        <v>1539</v>
      </c>
      <c r="BR83" s="1" t="s">
        <v>1540</v>
      </c>
      <c r="BS83" s="1" t="s">
        <v>50</v>
      </c>
      <c r="BU83" s="1" t="s">
        <v>51</v>
      </c>
      <c r="BW83" s="1" t="s">
        <v>1563</v>
      </c>
      <c r="BX83" s="32">
        <v>112539</v>
      </c>
      <c r="BY83" s="1">
        <v>12</v>
      </c>
      <c r="CA83" s="1" t="s">
        <v>45</v>
      </c>
      <c r="CB83" s="1" t="s">
        <v>45</v>
      </c>
      <c r="CJ83" s="1" t="s">
        <v>51</v>
      </c>
      <c r="CK83" s="32">
        <v>40676</v>
      </c>
      <c r="CL83" s="1" t="s">
        <v>45</v>
      </c>
      <c r="DH83" s="1" t="s">
        <v>51</v>
      </c>
      <c r="DI83" s="1" t="s">
        <v>1826</v>
      </c>
      <c r="DJ83" s="32">
        <v>40695</v>
      </c>
      <c r="DK83" s="1" t="s">
        <v>1569</v>
      </c>
      <c r="DM83" s="1" t="s">
        <v>51</v>
      </c>
      <c r="DN83" s="1" t="s">
        <v>1827</v>
      </c>
      <c r="DO83" s="1" t="s">
        <v>51</v>
      </c>
      <c r="DP83" s="1" t="s">
        <v>1828</v>
      </c>
      <c r="DQ83" s="1" t="s">
        <v>51</v>
      </c>
      <c r="DR83" s="1" t="s">
        <v>1829</v>
      </c>
      <c r="DS83" s="1" t="s">
        <v>1830</v>
      </c>
      <c r="DT83" s="32">
        <v>45653</v>
      </c>
      <c r="DU83" s="1" t="s">
        <v>1543</v>
      </c>
      <c r="DV83" s="1">
        <v>215.83442838370499</v>
      </c>
      <c r="DW83" s="1" t="s">
        <v>45</v>
      </c>
      <c r="DY83" s="32">
        <v>45672</v>
      </c>
      <c r="DZ83" s="1" t="s">
        <v>1557</v>
      </c>
    </row>
    <row r="84" spans="1:130" ht="15.75" customHeight="1" x14ac:dyDescent="0.2">
      <c r="A84" s="8" t="s">
        <v>357</v>
      </c>
      <c r="B84" s="32">
        <v>34556</v>
      </c>
      <c r="C84" s="32">
        <v>39083</v>
      </c>
      <c r="D84" s="1">
        <v>12.3946191000955</v>
      </c>
      <c r="E84" s="1" t="s">
        <v>1523</v>
      </c>
      <c r="F84" s="1" t="s">
        <v>1524</v>
      </c>
      <c r="G84" s="1" t="s">
        <v>1545</v>
      </c>
      <c r="H84" s="1" t="s">
        <v>51</v>
      </c>
      <c r="I84" s="1">
        <v>1.74</v>
      </c>
      <c r="J84" s="1" t="s">
        <v>51</v>
      </c>
      <c r="K84" s="1">
        <v>70.400000000000006</v>
      </c>
      <c r="L84" s="1">
        <v>23.2527414453692</v>
      </c>
      <c r="M84" s="1" t="s">
        <v>45</v>
      </c>
      <c r="N84" s="1" t="s">
        <v>45</v>
      </c>
      <c r="O84" s="1" t="s">
        <v>45</v>
      </c>
      <c r="P84" s="1" t="s">
        <v>45</v>
      </c>
      <c r="Q84" s="1" t="s">
        <v>45</v>
      </c>
      <c r="R84" s="1" t="s">
        <v>45</v>
      </c>
      <c r="S84" s="1" t="s">
        <v>45</v>
      </c>
      <c r="T84" s="1" t="s">
        <v>45</v>
      </c>
      <c r="U84" s="1" t="s">
        <v>45</v>
      </c>
      <c r="V84" s="1" t="s">
        <v>45</v>
      </c>
      <c r="W84" s="1" t="s">
        <v>45</v>
      </c>
      <c r="X84" s="1" t="s">
        <v>45</v>
      </c>
      <c r="Y84" s="1" t="s">
        <v>45</v>
      </c>
      <c r="Z84" s="1" t="s">
        <v>45</v>
      </c>
      <c r="AA84" s="1" t="s">
        <v>45</v>
      </c>
      <c r="AB84" s="1" t="s">
        <v>45</v>
      </c>
      <c r="AC84" s="1" t="s">
        <v>45</v>
      </c>
      <c r="AD84" s="1" t="s">
        <v>45</v>
      </c>
      <c r="AE84" s="1" t="s">
        <v>45</v>
      </c>
      <c r="AF84" s="32">
        <v>39083</v>
      </c>
      <c r="AG84" s="1">
        <v>12.3946191000955</v>
      </c>
      <c r="AH84" s="1" t="s">
        <v>1558</v>
      </c>
      <c r="AI84" s="1" t="s">
        <v>1618</v>
      </c>
      <c r="AJ84" s="1" t="s">
        <v>45</v>
      </c>
      <c r="AK84" s="1" t="s">
        <v>51</v>
      </c>
      <c r="AL84" s="1" t="s">
        <v>45</v>
      </c>
      <c r="AM84" s="1" t="s">
        <v>45</v>
      </c>
      <c r="AN84" s="1" t="s">
        <v>45</v>
      </c>
      <c r="AO84" s="1" t="s">
        <v>45</v>
      </c>
      <c r="AP84" s="1" t="s">
        <v>45</v>
      </c>
      <c r="AQ84" s="1" t="s">
        <v>45</v>
      </c>
      <c r="AR84" s="1" t="s">
        <v>45</v>
      </c>
      <c r="AT84" s="1" t="s">
        <v>1583</v>
      </c>
      <c r="AU84" s="1" t="s">
        <v>1831</v>
      </c>
      <c r="AW84" s="33" t="s">
        <v>1464</v>
      </c>
      <c r="AX84" s="3"/>
      <c r="AY84" s="33" t="s">
        <v>1832</v>
      </c>
      <c r="AZ84" s="1">
        <v>2</v>
      </c>
      <c r="BB84" s="1" t="s">
        <v>1530</v>
      </c>
      <c r="BC84" s="1" t="s">
        <v>1561</v>
      </c>
      <c r="BE84" s="1" t="s">
        <v>1533</v>
      </c>
      <c r="BF84" s="1" t="s">
        <v>1548</v>
      </c>
      <c r="BG84" s="1" t="s">
        <v>45</v>
      </c>
      <c r="BH84" s="1" t="s">
        <v>68</v>
      </c>
      <c r="BI84" s="1" t="s">
        <v>1535</v>
      </c>
      <c r="BJ84" s="1" t="s">
        <v>45</v>
      </c>
      <c r="BK84" s="1" t="s">
        <v>1549</v>
      </c>
      <c r="BL84" s="32">
        <v>39083</v>
      </c>
      <c r="BM84" s="1" t="s">
        <v>1561</v>
      </c>
      <c r="BO84" s="1" t="s">
        <v>1537</v>
      </c>
      <c r="BP84" s="1" t="s">
        <v>1551</v>
      </c>
      <c r="BQ84" s="1" t="s">
        <v>1539</v>
      </c>
      <c r="BR84" s="1" t="s">
        <v>1552</v>
      </c>
      <c r="BS84" s="1" t="s">
        <v>106</v>
      </c>
      <c r="BU84" s="1" t="s">
        <v>51</v>
      </c>
      <c r="BW84" s="1" t="s">
        <v>1542</v>
      </c>
      <c r="CA84" s="1" t="s">
        <v>45</v>
      </c>
      <c r="CB84" s="1" t="s">
        <v>45</v>
      </c>
      <c r="CI84" s="1" t="s">
        <v>1833</v>
      </c>
      <c r="CJ84" s="1" t="s">
        <v>51</v>
      </c>
      <c r="CK84" s="32">
        <v>44910</v>
      </c>
      <c r="CL84" s="1" t="s">
        <v>51</v>
      </c>
      <c r="CM84" s="32">
        <v>44910</v>
      </c>
      <c r="CN84" s="1">
        <v>15.953784129722001</v>
      </c>
      <c r="CO84" s="1" t="s">
        <v>1537</v>
      </c>
      <c r="CP84" s="1" t="s">
        <v>1566</v>
      </c>
      <c r="CQ84" s="1" t="s">
        <v>1539</v>
      </c>
      <c r="CR84" s="1" t="s">
        <v>1552</v>
      </c>
      <c r="CS84" s="1" t="s">
        <v>106</v>
      </c>
      <c r="CT84" s="1" t="s">
        <v>1583</v>
      </c>
      <c r="CU84" s="1" t="s">
        <v>1831</v>
      </c>
      <c r="CW84" s="1">
        <v>2</v>
      </c>
      <c r="CY84" s="1" t="s">
        <v>1530</v>
      </c>
      <c r="CZ84" s="1" t="s">
        <v>1561</v>
      </c>
      <c r="DB84" s="1" t="s">
        <v>1533</v>
      </c>
      <c r="DD84" s="1" t="s">
        <v>45</v>
      </c>
      <c r="DE84" s="1" t="s">
        <v>68</v>
      </c>
      <c r="DF84" s="1" t="s">
        <v>46</v>
      </c>
      <c r="DG84" s="1" t="s">
        <v>45</v>
      </c>
      <c r="DH84" s="1" t="s">
        <v>45</v>
      </c>
      <c r="DM84" s="1" t="s">
        <v>45</v>
      </c>
      <c r="DO84" s="1" t="s">
        <v>45</v>
      </c>
      <c r="DT84" s="32">
        <v>45671</v>
      </c>
      <c r="DU84" s="1" t="s">
        <v>1598</v>
      </c>
      <c r="DV84" s="1">
        <v>216.42575558475599</v>
      </c>
      <c r="DW84" s="1" t="s">
        <v>45</v>
      </c>
      <c r="DY84" s="32">
        <v>45671</v>
      </c>
      <c r="DZ84" s="1" t="s">
        <v>1557</v>
      </c>
    </row>
    <row r="85" spans="1:130" ht="15.75" customHeight="1" x14ac:dyDescent="0.2">
      <c r="A85" s="8" t="s">
        <v>567</v>
      </c>
      <c r="B85" s="32">
        <v>20929</v>
      </c>
      <c r="C85" s="32">
        <v>44912</v>
      </c>
      <c r="D85" s="1">
        <v>65.663223748605304</v>
      </c>
      <c r="E85" s="1" t="s">
        <v>1587</v>
      </c>
      <c r="F85" s="1" t="s">
        <v>1524</v>
      </c>
      <c r="G85" s="1" t="s">
        <v>1574</v>
      </c>
      <c r="H85" s="1" t="s">
        <v>51</v>
      </c>
      <c r="I85" s="1">
        <v>1.7270000000000001</v>
      </c>
      <c r="J85" s="1" t="s">
        <v>51</v>
      </c>
      <c r="K85" s="1">
        <v>62.1</v>
      </c>
      <c r="L85" s="1">
        <v>20.821256054844699</v>
      </c>
      <c r="M85" s="1" t="s">
        <v>45</v>
      </c>
      <c r="N85" s="1" t="s">
        <v>45</v>
      </c>
      <c r="O85" s="1" t="s">
        <v>45</v>
      </c>
      <c r="P85" s="1" t="s">
        <v>45</v>
      </c>
      <c r="Q85" s="1" t="s">
        <v>45</v>
      </c>
      <c r="R85" s="1" t="s">
        <v>45</v>
      </c>
      <c r="S85" s="1" t="s">
        <v>45</v>
      </c>
      <c r="T85" s="1" t="s">
        <v>45</v>
      </c>
      <c r="U85" s="1" t="s">
        <v>45</v>
      </c>
      <c r="V85" s="1" t="s">
        <v>45</v>
      </c>
      <c r="W85" s="1" t="s">
        <v>45</v>
      </c>
      <c r="X85" s="1" t="s">
        <v>45</v>
      </c>
      <c r="Y85" s="1" t="s">
        <v>45</v>
      </c>
      <c r="Z85" s="1" t="s">
        <v>45</v>
      </c>
      <c r="AA85" s="1" t="s">
        <v>45</v>
      </c>
      <c r="AB85" s="1" t="s">
        <v>45</v>
      </c>
      <c r="AC85" s="1" t="s">
        <v>45</v>
      </c>
      <c r="AD85" s="1" t="s">
        <v>45</v>
      </c>
      <c r="AE85" s="1" t="s">
        <v>45</v>
      </c>
      <c r="AF85" s="32">
        <v>44914</v>
      </c>
      <c r="AG85" s="1">
        <v>65.668699562619295</v>
      </c>
      <c r="AH85" s="1" t="s">
        <v>1526</v>
      </c>
      <c r="AI85" s="1" t="s">
        <v>1527</v>
      </c>
      <c r="AJ85" s="1" t="s">
        <v>45</v>
      </c>
      <c r="AK85" s="1" t="s">
        <v>45</v>
      </c>
      <c r="AL85" s="1" t="s">
        <v>45</v>
      </c>
      <c r="AM85" s="1" t="s">
        <v>45</v>
      </c>
      <c r="AN85" s="1" t="s">
        <v>51</v>
      </c>
      <c r="AO85" s="1" t="s">
        <v>45</v>
      </c>
      <c r="AP85" s="1" t="s">
        <v>45</v>
      </c>
      <c r="AQ85" s="1" t="s">
        <v>45</v>
      </c>
      <c r="AR85" s="1" t="s">
        <v>45</v>
      </c>
      <c r="AT85" s="1" t="s">
        <v>1601</v>
      </c>
      <c r="AW85" s="33" t="s">
        <v>1464</v>
      </c>
      <c r="AX85" s="3"/>
      <c r="AY85" s="3" t="s">
        <v>1601</v>
      </c>
      <c r="AZ85" s="1">
        <v>2</v>
      </c>
      <c r="BB85" s="1" t="s">
        <v>1567</v>
      </c>
      <c r="BC85" s="1" t="s">
        <v>1602</v>
      </c>
      <c r="BE85" s="1" t="s">
        <v>1525</v>
      </c>
      <c r="BG85" s="1" t="s">
        <v>1525</v>
      </c>
      <c r="BH85" s="1" t="s">
        <v>1525</v>
      </c>
      <c r="BI85" s="1" t="s">
        <v>1535</v>
      </c>
      <c r="BJ85" s="1" t="s">
        <v>45</v>
      </c>
      <c r="BK85" s="1" t="s">
        <v>1549</v>
      </c>
      <c r="BL85" s="32">
        <v>44914</v>
      </c>
      <c r="BM85" s="1" t="s">
        <v>568</v>
      </c>
      <c r="BO85" s="1" t="s">
        <v>1537</v>
      </c>
      <c r="BP85" s="1" t="s">
        <v>1551</v>
      </c>
      <c r="BQ85" s="1" t="s">
        <v>1605</v>
      </c>
      <c r="BR85" s="1" t="s">
        <v>1589</v>
      </c>
      <c r="BS85" s="1" t="s">
        <v>1592</v>
      </c>
      <c r="BU85" s="1" t="s">
        <v>51</v>
      </c>
      <c r="BW85" s="1" t="s">
        <v>1563</v>
      </c>
      <c r="BX85" s="32">
        <v>45044</v>
      </c>
      <c r="BY85" s="1">
        <v>11</v>
      </c>
      <c r="BZ85" s="1" t="s">
        <v>1834</v>
      </c>
      <c r="CA85" s="1" t="s">
        <v>51</v>
      </c>
      <c r="CB85" s="1" t="s">
        <v>51</v>
      </c>
      <c r="CC85" s="32">
        <v>44963</v>
      </c>
      <c r="CD85" s="1">
        <v>54</v>
      </c>
      <c r="CE85" s="1">
        <v>30</v>
      </c>
      <c r="CJ85" s="1" t="s">
        <v>45</v>
      </c>
      <c r="DH85" s="1" t="s">
        <v>45</v>
      </c>
      <c r="DM85" s="1" t="s">
        <v>45</v>
      </c>
      <c r="DO85" s="1" t="s">
        <v>45</v>
      </c>
      <c r="DQ85" s="1" t="s">
        <v>45</v>
      </c>
      <c r="DT85" s="32">
        <v>45743</v>
      </c>
      <c r="DU85" s="1" t="s">
        <v>1598</v>
      </c>
      <c r="DV85" s="1">
        <v>27.2325339465615</v>
      </c>
      <c r="DW85" s="1" t="s">
        <v>45</v>
      </c>
    </row>
    <row r="86" spans="1:130" ht="15.75" customHeight="1" x14ac:dyDescent="0.2">
      <c r="A86" s="8" t="s">
        <v>361</v>
      </c>
      <c r="B86" s="32">
        <v>36297</v>
      </c>
      <c r="C86" s="32">
        <v>44738</v>
      </c>
      <c r="D86" s="1">
        <v>23.110673045989898</v>
      </c>
      <c r="E86" s="1" t="s">
        <v>1523</v>
      </c>
      <c r="F86" s="1" t="s">
        <v>1524</v>
      </c>
      <c r="G86" s="1" t="s">
        <v>1574</v>
      </c>
      <c r="H86" s="1" t="s">
        <v>51</v>
      </c>
      <c r="I86" s="1">
        <v>1.7629999999999999</v>
      </c>
      <c r="J86" s="1" t="s">
        <v>51</v>
      </c>
      <c r="K86" s="1">
        <v>86.6</v>
      </c>
      <c r="L86" s="1">
        <v>27.862062841499199</v>
      </c>
      <c r="M86" s="1" t="s">
        <v>45</v>
      </c>
      <c r="N86" s="1" t="s">
        <v>45</v>
      </c>
      <c r="O86" s="1" t="s">
        <v>45</v>
      </c>
      <c r="P86" s="1" t="s">
        <v>45</v>
      </c>
      <c r="Q86" s="1" t="s">
        <v>45</v>
      </c>
      <c r="R86" s="1" t="s">
        <v>45</v>
      </c>
      <c r="S86" s="1" t="s">
        <v>45</v>
      </c>
      <c r="T86" s="1" t="s">
        <v>45</v>
      </c>
      <c r="U86" s="1" t="s">
        <v>45</v>
      </c>
      <c r="V86" s="1" t="s">
        <v>45</v>
      </c>
      <c r="W86" s="1" t="s">
        <v>45</v>
      </c>
      <c r="X86" s="1" t="s">
        <v>45</v>
      </c>
      <c r="Y86" s="1" t="s">
        <v>45</v>
      </c>
      <c r="Z86" s="1" t="s">
        <v>45</v>
      </c>
      <c r="AA86" s="1" t="s">
        <v>45</v>
      </c>
      <c r="AB86" s="1" t="s">
        <v>45</v>
      </c>
      <c r="AC86" s="1" t="s">
        <v>45</v>
      </c>
      <c r="AD86" s="1" t="s">
        <v>45</v>
      </c>
      <c r="AE86" s="1" t="s">
        <v>45</v>
      </c>
      <c r="AF86" s="32">
        <v>44915</v>
      </c>
      <c r="AG86" s="1">
        <v>23.595282586226901</v>
      </c>
      <c r="AH86" s="1" t="s">
        <v>1526</v>
      </c>
      <c r="AI86" s="1" t="s">
        <v>1527</v>
      </c>
      <c r="AJ86" s="1" t="s">
        <v>45</v>
      </c>
      <c r="AK86" s="1" t="s">
        <v>51</v>
      </c>
      <c r="AL86" s="1" t="s">
        <v>45</v>
      </c>
      <c r="AM86" s="1" t="s">
        <v>45</v>
      </c>
      <c r="AN86" s="1" t="s">
        <v>45</v>
      </c>
      <c r="AO86" s="1" t="s">
        <v>45</v>
      </c>
      <c r="AP86" s="1" t="s">
        <v>45</v>
      </c>
      <c r="AQ86" s="1" t="s">
        <v>45</v>
      </c>
      <c r="AR86" s="1" t="s">
        <v>45</v>
      </c>
      <c r="AT86" s="1" t="s">
        <v>1560</v>
      </c>
      <c r="AW86" s="33" t="s">
        <v>1464</v>
      </c>
      <c r="AX86" s="3"/>
      <c r="AY86" s="3" t="s">
        <v>1560</v>
      </c>
      <c r="AZ86" s="1">
        <v>2</v>
      </c>
      <c r="BA86" s="1" t="s">
        <v>1821</v>
      </c>
      <c r="BB86" s="1" t="s">
        <v>1567</v>
      </c>
      <c r="BC86" s="1" t="s">
        <v>1531</v>
      </c>
      <c r="BD86" s="1" t="s">
        <v>1822</v>
      </c>
      <c r="BE86" s="1" t="s">
        <v>1533</v>
      </c>
      <c r="BF86" s="1" t="s">
        <v>1534</v>
      </c>
      <c r="BG86" s="1" t="s">
        <v>45</v>
      </c>
      <c r="BH86" s="1" t="s">
        <v>46</v>
      </c>
      <c r="BI86" s="1" t="s">
        <v>1599</v>
      </c>
      <c r="BJ86" s="1" t="s">
        <v>45</v>
      </c>
      <c r="BK86" s="1" t="s">
        <v>1536</v>
      </c>
      <c r="BL86" s="32">
        <v>44915</v>
      </c>
      <c r="BM86" s="1" t="s">
        <v>362</v>
      </c>
      <c r="BO86" s="1" t="s">
        <v>1537</v>
      </c>
      <c r="BP86" s="1" t="s">
        <v>1538</v>
      </c>
      <c r="BQ86" s="1" t="s">
        <v>1539</v>
      </c>
      <c r="BR86" s="1" t="s">
        <v>1552</v>
      </c>
      <c r="BS86" s="1" t="s">
        <v>50</v>
      </c>
      <c r="BU86" s="1" t="s">
        <v>51</v>
      </c>
      <c r="BV86" s="1" t="s">
        <v>1541</v>
      </c>
      <c r="BW86" s="1" t="s">
        <v>1542</v>
      </c>
      <c r="CA86" s="1" t="s">
        <v>45</v>
      </c>
      <c r="CB86" s="1" t="s">
        <v>45</v>
      </c>
      <c r="CJ86" s="1" t="s">
        <v>51</v>
      </c>
      <c r="CK86" s="32">
        <v>45061</v>
      </c>
      <c r="CL86" s="1" t="s">
        <v>51</v>
      </c>
      <c r="CM86" s="32">
        <v>45237</v>
      </c>
      <c r="CN86" s="1">
        <v>0.88160605625029898</v>
      </c>
      <c r="CO86" s="1" t="s">
        <v>1537</v>
      </c>
      <c r="CP86" s="1" t="s">
        <v>1796</v>
      </c>
      <c r="CQ86" s="1" t="s">
        <v>1647</v>
      </c>
      <c r="CR86" s="1" t="s">
        <v>1552</v>
      </c>
      <c r="CS86" s="1" t="s">
        <v>50</v>
      </c>
      <c r="CT86" s="1" t="s">
        <v>1560</v>
      </c>
      <c r="CW86" s="1">
        <v>2</v>
      </c>
      <c r="CX86" s="1" t="s">
        <v>1821</v>
      </c>
      <c r="CY86" s="1" t="s">
        <v>1567</v>
      </c>
      <c r="CZ86" s="1" t="s">
        <v>1531</v>
      </c>
      <c r="DA86" s="1" t="s">
        <v>1822</v>
      </c>
      <c r="DB86" s="1" t="s">
        <v>1533</v>
      </c>
      <c r="DC86" s="1" t="s">
        <v>1534</v>
      </c>
      <c r="DD86" s="1" t="s">
        <v>45</v>
      </c>
      <c r="DE86" s="1" t="s">
        <v>46</v>
      </c>
      <c r="DF86" s="1" t="s">
        <v>46</v>
      </c>
      <c r="DG86" s="1" t="s">
        <v>45</v>
      </c>
      <c r="DH86" s="1" t="s">
        <v>51</v>
      </c>
      <c r="DI86" s="1" t="s">
        <v>1835</v>
      </c>
      <c r="DJ86" s="32">
        <v>45590</v>
      </c>
      <c r="DM86" s="1" t="s">
        <v>45</v>
      </c>
      <c r="DO86" s="1" t="s">
        <v>45</v>
      </c>
      <c r="DQ86" s="1" t="s">
        <v>45</v>
      </c>
      <c r="DT86" s="32">
        <v>45797</v>
      </c>
      <c r="DU86" s="1" t="s">
        <v>1598</v>
      </c>
      <c r="DV86" s="1">
        <v>28.975032851511099</v>
      </c>
      <c r="DW86" s="1" t="s">
        <v>45</v>
      </c>
      <c r="DY86" s="32">
        <v>45810</v>
      </c>
      <c r="DZ86" s="1" t="s">
        <v>1544</v>
      </c>
    </row>
    <row r="87" spans="1:130" ht="15.75" customHeight="1" x14ac:dyDescent="0.2">
      <c r="A87" s="8" t="s">
        <v>366</v>
      </c>
      <c r="B87" s="32">
        <v>20312</v>
      </c>
      <c r="C87" s="32">
        <v>44937</v>
      </c>
      <c r="D87" s="1">
        <v>67.421074126550593</v>
      </c>
      <c r="E87" s="1" t="s">
        <v>1523</v>
      </c>
      <c r="F87" s="1" t="s">
        <v>1524</v>
      </c>
      <c r="G87" s="1" t="s">
        <v>1574</v>
      </c>
      <c r="H87" s="1" t="s">
        <v>51</v>
      </c>
      <c r="I87" s="1">
        <v>1.655</v>
      </c>
      <c r="J87" s="1" t="s">
        <v>51</v>
      </c>
      <c r="K87" s="1">
        <v>85.6</v>
      </c>
      <c r="L87" s="1">
        <v>31.251996604631199</v>
      </c>
      <c r="M87" s="1" t="s">
        <v>45</v>
      </c>
      <c r="N87" s="1" t="s">
        <v>45</v>
      </c>
      <c r="O87" s="1" t="s">
        <v>45</v>
      </c>
      <c r="P87" s="1" t="s">
        <v>45</v>
      </c>
      <c r="Q87" s="1" t="s">
        <v>45</v>
      </c>
      <c r="R87" s="1" t="s">
        <v>45</v>
      </c>
      <c r="S87" s="1" t="s">
        <v>45</v>
      </c>
      <c r="T87" s="1" t="s">
        <v>45</v>
      </c>
      <c r="U87" s="1" t="s">
        <v>45</v>
      </c>
      <c r="V87" s="1" t="s">
        <v>45</v>
      </c>
      <c r="W87" s="1" t="s">
        <v>45</v>
      </c>
      <c r="X87" s="1" t="s">
        <v>45</v>
      </c>
      <c r="Y87" s="1" t="s">
        <v>45</v>
      </c>
      <c r="Z87" s="1" t="s">
        <v>45</v>
      </c>
      <c r="AA87" s="1" t="s">
        <v>45</v>
      </c>
      <c r="AB87" s="1" t="s">
        <v>45</v>
      </c>
      <c r="AC87" s="1" t="s">
        <v>45</v>
      </c>
      <c r="AD87" s="1" t="s">
        <v>45</v>
      </c>
      <c r="AE87" s="1" t="s">
        <v>45</v>
      </c>
      <c r="AF87" s="32">
        <v>44937</v>
      </c>
      <c r="AG87" s="1">
        <v>67.421074126550593</v>
      </c>
      <c r="AH87" s="1" t="s">
        <v>1526</v>
      </c>
      <c r="AI87" s="1" t="s">
        <v>1527</v>
      </c>
      <c r="AJ87" s="1" t="s">
        <v>45</v>
      </c>
      <c r="AK87" s="1" t="s">
        <v>51</v>
      </c>
      <c r="AL87" s="1" t="s">
        <v>45</v>
      </c>
      <c r="AM87" s="1" t="s">
        <v>45</v>
      </c>
      <c r="AN87" s="1" t="s">
        <v>45</v>
      </c>
      <c r="AO87" s="1" t="s">
        <v>45</v>
      </c>
      <c r="AP87" s="1" t="s">
        <v>45</v>
      </c>
      <c r="AQ87" s="1" t="s">
        <v>45</v>
      </c>
      <c r="AR87" s="1" t="s">
        <v>45</v>
      </c>
      <c r="AT87" s="1" t="s">
        <v>1528</v>
      </c>
      <c r="AW87" s="33" t="s">
        <v>1463</v>
      </c>
      <c r="AX87" s="3" t="s">
        <v>1528</v>
      </c>
      <c r="AY87" s="3"/>
      <c r="AZ87" s="1">
        <v>4</v>
      </c>
      <c r="BB87" s="1" t="s">
        <v>1530</v>
      </c>
      <c r="BC87" s="1" t="s">
        <v>1531</v>
      </c>
      <c r="BE87" s="1" t="s">
        <v>1533</v>
      </c>
      <c r="BF87" s="1" t="s">
        <v>1548</v>
      </c>
      <c r="BG87" s="1" t="s">
        <v>45</v>
      </c>
      <c r="BH87" s="1" t="s">
        <v>46</v>
      </c>
      <c r="BI87" s="1" t="s">
        <v>1535</v>
      </c>
      <c r="BJ87" s="1" t="s">
        <v>45</v>
      </c>
      <c r="BK87" s="1" t="s">
        <v>1549</v>
      </c>
      <c r="BL87" s="32">
        <v>44937</v>
      </c>
      <c r="BM87" s="1" t="s">
        <v>1836</v>
      </c>
      <c r="BO87" s="1" t="s">
        <v>1537</v>
      </c>
      <c r="BP87" s="1" t="s">
        <v>1551</v>
      </c>
      <c r="BQ87" s="1" t="s">
        <v>1647</v>
      </c>
      <c r="BR87" s="1" t="s">
        <v>1540</v>
      </c>
      <c r="BS87" s="1" t="s">
        <v>50</v>
      </c>
      <c r="BU87" s="1" t="s">
        <v>51</v>
      </c>
      <c r="BW87" s="1" t="s">
        <v>1563</v>
      </c>
      <c r="BX87" s="32">
        <v>45028</v>
      </c>
      <c r="BY87" s="1">
        <v>7</v>
      </c>
      <c r="CA87" s="1" t="s">
        <v>51</v>
      </c>
      <c r="CB87" s="1" t="s">
        <v>51</v>
      </c>
      <c r="CC87" s="32">
        <v>44949</v>
      </c>
      <c r="CD87" s="1">
        <v>60</v>
      </c>
      <c r="CE87" s="1">
        <v>30</v>
      </c>
      <c r="CJ87" s="1" t="s">
        <v>51</v>
      </c>
      <c r="CK87" s="32">
        <v>45231</v>
      </c>
      <c r="CL87" s="1" t="s">
        <v>45</v>
      </c>
      <c r="DH87" s="1" t="s">
        <v>45</v>
      </c>
      <c r="DM87" s="1" t="s">
        <v>45</v>
      </c>
      <c r="DO87" s="1" t="s">
        <v>45</v>
      </c>
      <c r="DQ87" s="1" t="s">
        <v>45</v>
      </c>
      <c r="DT87" s="32">
        <v>45268</v>
      </c>
      <c r="DU87" s="1" t="s">
        <v>1598</v>
      </c>
      <c r="DV87" s="1">
        <v>10.873850197109</v>
      </c>
      <c r="DW87" s="1" t="s">
        <v>51</v>
      </c>
      <c r="DX87" s="1" t="s">
        <v>1837</v>
      </c>
      <c r="DY87" s="32">
        <v>45446</v>
      </c>
      <c r="DZ87" s="1" t="s">
        <v>1557</v>
      </c>
    </row>
    <row r="88" spans="1:130" ht="15.75" customHeight="1" x14ac:dyDescent="0.2">
      <c r="A88" s="8" t="s">
        <v>371</v>
      </c>
      <c r="B88" s="32">
        <v>25688</v>
      </c>
      <c r="C88" s="32">
        <v>44923</v>
      </c>
      <c r="D88" s="1">
        <v>52.663641279423899</v>
      </c>
      <c r="E88" s="1" t="s">
        <v>1587</v>
      </c>
      <c r="F88" s="1" t="s">
        <v>1524</v>
      </c>
      <c r="G88" s="1" t="s">
        <v>1574</v>
      </c>
      <c r="H88" s="1" t="s">
        <v>51</v>
      </c>
      <c r="I88" s="1">
        <v>1.71</v>
      </c>
      <c r="J88" s="1" t="s">
        <v>51</v>
      </c>
      <c r="K88" s="1">
        <v>77</v>
      </c>
      <c r="L88" s="1">
        <v>26.3328887520946</v>
      </c>
      <c r="M88" s="1" t="s">
        <v>45</v>
      </c>
      <c r="N88" s="1" t="s">
        <v>45</v>
      </c>
      <c r="O88" s="1" t="s">
        <v>45</v>
      </c>
      <c r="P88" s="1" t="s">
        <v>45</v>
      </c>
      <c r="Q88" s="1" t="s">
        <v>45</v>
      </c>
      <c r="R88" s="1" t="s">
        <v>45</v>
      </c>
      <c r="S88" s="1" t="s">
        <v>45</v>
      </c>
      <c r="T88" s="1" t="s">
        <v>45</v>
      </c>
      <c r="U88" s="1" t="s">
        <v>45</v>
      </c>
      <c r="V88" s="1" t="s">
        <v>45</v>
      </c>
      <c r="W88" s="1" t="s">
        <v>45</v>
      </c>
      <c r="X88" s="1" t="s">
        <v>45</v>
      </c>
      <c r="Y88" s="1" t="s">
        <v>45</v>
      </c>
      <c r="Z88" s="1" t="s">
        <v>45</v>
      </c>
      <c r="AA88" s="1" t="s">
        <v>45</v>
      </c>
      <c r="AB88" s="1" t="s">
        <v>45</v>
      </c>
      <c r="AC88" s="1" t="s">
        <v>45</v>
      </c>
      <c r="AD88" s="1" t="s">
        <v>45</v>
      </c>
      <c r="AE88" s="1" t="s">
        <v>45</v>
      </c>
      <c r="AF88" s="32">
        <v>44925</v>
      </c>
      <c r="AG88" s="1">
        <v>52.669117093437897</v>
      </c>
      <c r="AH88" s="1" t="s">
        <v>1526</v>
      </c>
      <c r="AI88" s="1" t="s">
        <v>1527</v>
      </c>
      <c r="AJ88" s="1" t="s">
        <v>45</v>
      </c>
      <c r="AK88" s="1" t="s">
        <v>45</v>
      </c>
      <c r="AL88" s="1" t="s">
        <v>51</v>
      </c>
      <c r="AM88" s="1" t="s">
        <v>51</v>
      </c>
      <c r="AN88" s="1" t="s">
        <v>45</v>
      </c>
      <c r="AO88" s="1" t="s">
        <v>45</v>
      </c>
      <c r="AP88" s="1" t="s">
        <v>45</v>
      </c>
      <c r="AQ88" s="1" t="s">
        <v>45</v>
      </c>
      <c r="AR88" s="1" t="s">
        <v>45</v>
      </c>
      <c r="AT88" s="1" t="s">
        <v>1528</v>
      </c>
      <c r="AW88" s="33" t="s">
        <v>1463</v>
      </c>
      <c r="AX88" s="3" t="s">
        <v>1528</v>
      </c>
      <c r="AY88" s="3"/>
      <c r="AZ88" s="1">
        <v>4</v>
      </c>
      <c r="BA88" s="1" t="s">
        <v>1529</v>
      </c>
      <c r="BB88" s="1" t="s">
        <v>1530</v>
      </c>
      <c r="BC88" s="1" t="s">
        <v>1531</v>
      </c>
      <c r="BD88" s="1" t="s">
        <v>1532</v>
      </c>
      <c r="BE88" s="1" t="s">
        <v>1603</v>
      </c>
      <c r="BF88" s="1" t="s">
        <v>1534</v>
      </c>
      <c r="BG88" s="1" t="s">
        <v>1525</v>
      </c>
      <c r="BH88" s="1" t="s">
        <v>46</v>
      </c>
      <c r="BI88" s="1" t="s">
        <v>1535</v>
      </c>
      <c r="BJ88" s="1" t="s">
        <v>45</v>
      </c>
      <c r="BK88" s="1" t="s">
        <v>1536</v>
      </c>
      <c r="BL88" s="32">
        <v>44925</v>
      </c>
      <c r="BM88" s="1" t="s">
        <v>372</v>
      </c>
      <c r="BO88" s="1" t="s">
        <v>1537</v>
      </c>
      <c r="BP88" s="1" t="s">
        <v>1538</v>
      </c>
      <c r="BQ88" s="1" t="s">
        <v>1539</v>
      </c>
      <c r="BR88" s="1" t="s">
        <v>1540</v>
      </c>
      <c r="BS88" s="1" t="s">
        <v>50</v>
      </c>
      <c r="BU88" s="1" t="s">
        <v>51</v>
      </c>
      <c r="BV88" s="1" t="s">
        <v>1541</v>
      </c>
      <c r="BW88" s="1" t="s">
        <v>1542</v>
      </c>
      <c r="CA88" s="1" t="s">
        <v>51</v>
      </c>
      <c r="CB88" s="1" t="s">
        <v>51</v>
      </c>
      <c r="CC88" s="32">
        <v>44950</v>
      </c>
      <c r="CD88" s="1">
        <v>40.049999999999997</v>
      </c>
      <c r="CE88" s="1">
        <v>15</v>
      </c>
      <c r="CJ88" s="1" t="s">
        <v>51</v>
      </c>
      <c r="CK88" s="32">
        <v>44972</v>
      </c>
      <c r="CL88" s="1" t="s">
        <v>45</v>
      </c>
      <c r="DH88" s="1" t="s">
        <v>45</v>
      </c>
      <c r="DM88" s="1" t="s">
        <v>45</v>
      </c>
      <c r="DO88" s="1" t="s">
        <v>45</v>
      </c>
      <c r="DQ88" s="1" t="s">
        <v>45</v>
      </c>
      <c r="DT88" s="32">
        <v>45091</v>
      </c>
      <c r="DU88" s="1" t="s">
        <v>1543</v>
      </c>
      <c r="DV88" s="1">
        <v>5.4533508541392903</v>
      </c>
      <c r="DW88" s="1" t="s">
        <v>45</v>
      </c>
      <c r="DY88" s="32">
        <v>45810</v>
      </c>
      <c r="DZ88" s="1" t="s">
        <v>1544</v>
      </c>
    </row>
    <row r="89" spans="1:130" ht="15.75" customHeight="1" x14ac:dyDescent="0.2">
      <c r="A89" s="8" t="s">
        <v>689</v>
      </c>
      <c r="B89" s="32">
        <v>20027</v>
      </c>
      <c r="C89" s="32">
        <v>44937</v>
      </c>
      <c r="D89" s="1">
        <v>68.201263544083702</v>
      </c>
      <c r="E89" s="1" t="s">
        <v>1587</v>
      </c>
      <c r="F89" s="1" t="s">
        <v>1524</v>
      </c>
      <c r="G89" s="1" t="s">
        <v>1545</v>
      </c>
      <c r="H89" s="1" t="s">
        <v>51</v>
      </c>
      <c r="I89" s="1">
        <v>1.6</v>
      </c>
      <c r="J89" s="1" t="s">
        <v>51</v>
      </c>
      <c r="K89" s="1">
        <v>63.2</v>
      </c>
      <c r="L89" s="1">
        <v>24.687499999999901</v>
      </c>
      <c r="M89" s="1" t="s">
        <v>45</v>
      </c>
      <c r="N89" s="1" t="s">
        <v>45</v>
      </c>
      <c r="O89" s="1" t="s">
        <v>45</v>
      </c>
      <c r="P89" s="1" t="s">
        <v>45</v>
      </c>
      <c r="Q89" s="1" t="s">
        <v>45</v>
      </c>
      <c r="R89" s="1" t="s">
        <v>45</v>
      </c>
      <c r="S89" s="1" t="s">
        <v>45</v>
      </c>
      <c r="T89" s="1" t="s">
        <v>45</v>
      </c>
      <c r="U89" s="1" t="s">
        <v>45</v>
      </c>
      <c r="V89" s="1" t="s">
        <v>45</v>
      </c>
      <c r="W89" s="1" t="s">
        <v>45</v>
      </c>
      <c r="X89" s="1" t="s">
        <v>45</v>
      </c>
      <c r="Y89" s="1" t="s">
        <v>45</v>
      </c>
      <c r="Z89" s="1" t="s">
        <v>45</v>
      </c>
      <c r="AA89" s="1" t="s">
        <v>45</v>
      </c>
      <c r="AB89" s="1" t="s">
        <v>45</v>
      </c>
      <c r="AC89" s="1" t="s">
        <v>45</v>
      </c>
      <c r="AD89" s="1" t="s">
        <v>45</v>
      </c>
      <c r="AE89" s="1" t="s">
        <v>45</v>
      </c>
      <c r="AF89" s="32">
        <v>44942</v>
      </c>
      <c r="AG89" s="1">
        <v>68.214953079118601</v>
      </c>
      <c r="AH89" s="1" t="s">
        <v>1526</v>
      </c>
      <c r="AI89" s="1" t="s">
        <v>1527</v>
      </c>
      <c r="AJ89" s="1" t="s">
        <v>45</v>
      </c>
      <c r="AK89" s="1" t="s">
        <v>51</v>
      </c>
      <c r="AL89" s="1" t="s">
        <v>45</v>
      </c>
      <c r="AM89" s="1" t="s">
        <v>45</v>
      </c>
      <c r="AN89" s="1" t="s">
        <v>45</v>
      </c>
      <c r="AO89" s="1" t="s">
        <v>45</v>
      </c>
      <c r="AP89" s="1" t="s">
        <v>45</v>
      </c>
      <c r="AQ89" s="1" t="s">
        <v>45</v>
      </c>
      <c r="AR89" s="1" t="s">
        <v>45</v>
      </c>
      <c r="AT89" s="1" t="s">
        <v>1560</v>
      </c>
      <c r="AV89" s="1" t="s">
        <v>1838</v>
      </c>
      <c r="AW89" s="33" t="s">
        <v>1464</v>
      </c>
      <c r="AX89" s="3"/>
      <c r="AY89" s="33" t="s">
        <v>1668</v>
      </c>
      <c r="AZ89" s="1">
        <v>1</v>
      </c>
      <c r="BB89" s="1" t="s">
        <v>1561</v>
      </c>
      <c r="BC89" s="1" t="s">
        <v>1561</v>
      </c>
      <c r="BE89" s="1" t="s">
        <v>1525</v>
      </c>
      <c r="BG89" s="1" t="s">
        <v>45</v>
      </c>
      <c r="BH89" s="1" t="s">
        <v>46</v>
      </c>
      <c r="BI89" s="1" t="s">
        <v>1535</v>
      </c>
      <c r="BJ89" s="1" t="s">
        <v>51</v>
      </c>
      <c r="BK89" s="1" t="s">
        <v>1549</v>
      </c>
      <c r="BL89" s="32">
        <v>44942</v>
      </c>
      <c r="BM89" s="1" t="s">
        <v>690</v>
      </c>
      <c r="BO89" s="1" t="s">
        <v>1537</v>
      </c>
      <c r="BP89" s="1" t="s">
        <v>1551</v>
      </c>
      <c r="BQ89" s="1" t="s">
        <v>1539</v>
      </c>
      <c r="BR89" s="1" t="s">
        <v>1589</v>
      </c>
      <c r="BS89" s="1" t="s">
        <v>1581</v>
      </c>
      <c r="BU89" s="1" t="s">
        <v>45</v>
      </c>
      <c r="BW89" s="1" t="s">
        <v>1561</v>
      </c>
      <c r="CA89" s="1" t="s">
        <v>45</v>
      </c>
      <c r="CB89" s="1" t="s">
        <v>45</v>
      </c>
      <c r="CI89" s="1" t="s">
        <v>1839</v>
      </c>
      <c r="CJ89" s="1" t="s">
        <v>45</v>
      </c>
      <c r="DH89" s="1" t="s">
        <v>45</v>
      </c>
      <c r="DM89" s="1" t="s">
        <v>45</v>
      </c>
      <c r="DO89" s="1" t="s">
        <v>45</v>
      </c>
      <c r="DQ89" s="1" t="s">
        <v>45</v>
      </c>
      <c r="DT89" s="32">
        <v>45659</v>
      </c>
      <c r="DU89" s="1" t="s">
        <v>1598</v>
      </c>
      <c r="DV89" s="1">
        <v>23.554533508541301</v>
      </c>
    </row>
    <row r="90" spans="1:130" ht="15.75" customHeight="1" x14ac:dyDescent="0.2">
      <c r="A90" s="8" t="s">
        <v>832</v>
      </c>
      <c r="B90" s="32">
        <v>25538</v>
      </c>
      <c r="C90" s="32">
        <v>42802</v>
      </c>
      <c r="D90" s="1">
        <v>47.267226568649598</v>
      </c>
      <c r="E90" s="1" t="s">
        <v>1587</v>
      </c>
      <c r="F90" s="1" t="s">
        <v>1578</v>
      </c>
      <c r="G90" s="1" t="s">
        <v>1574</v>
      </c>
      <c r="H90" s="1" t="s">
        <v>51</v>
      </c>
      <c r="I90" s="1">
        <v>1.63</v>
      </c>
      <c r="J90" s="1" t="s">
        <v>51</v>
      </c>
      <c r="K90" s="1">
        <v>64</v>
      </c>
      <c r="L90" s="1">
        <v>24.088223117166599</v>
      </c>
      <c r="M90" s="1" t="s">
        <v>45</v>
      </c>
      <c r="N90" s="1" t="s">
        <v>45</v>
      </c>
      <c r="O90" s="1" t="s">
        <v>45</v>
      </c>
      <c r="P90" s="1" t="s">
        <v>45</v>
      </c>
      <c r="Q90" s="1" t="s">
        <v>45</v>
      </c>
      <c r="R90" s="1" t="s">
        <v>45</v>
      </c>
      <c r="S90" s="1" t="s">
        <v>45</v>
      </c>
      <c r="T90" s="1" t="s">
        <v>45</v>
      </c>
      <c r="U90" s="1" t="s">
        <v>51</v>
      </c>
      <c r="V90" s="1" t="s">
        <v>45</v>
      </c>
      <c r="W90" s="1" t="s">
        <v>45</v>
      </c>
      <c r="X90" s="1" t="s">
        <v>45</v>
      </c>
      <c r="Y90" s="1" t="s">
        <v>45</v>
      </c>
      <c r="Z90" s="1" t="s">
        <v>45</v>
      </c>
      <c r="AA90" s="1" t="s">
        <v>45</v>
      </c>
      <c r="AB90" s="1" t="s">
        <v>45</v>
      </c>
      <c r="AC90" s="1" t="s">
        <v>45</v>
      </c>
      <c r="AD90" s="1" t="s">
        <v>45</v>
      </c>
      <c r="AE90" s="1" t="s">
        <v>45</v>
      </c>
      <c r="AF90" s="32">
        <v>37805</v>
      </c>
      <c r="AG90" s="1">
        <v>33.585791175269399</v>
      </c>
      <c r="AH90" s="1" t="s">
        <v>1526</v>
      </c>
      <c r="AI90" s="1" t="s">
        <v>1527</v>
      </c>
      <c r="AJ90" s="1" t="s">
        <v>45</v>
      </c>
      <c r="AK90" s="1" t="s">
        <v>51</v>
      </c>
      <c r="AL90" s="1" t="s">
        <v>45</v>
      </c>
      <c r="AM90" s="1" t="s">
        <v>45</v>
      </c>
      <c r="AN90" s="1" t="s">
        <v>45</v>
      </c>
      <c r="AO90" s="1" t="s">
        <v>45</v>
      </c>
      <c r="AP90" s="1" t="s">
        <v>45</v>
      </c>
      <c r="AQ90" s="1" t="s">
        <v>45</v>
      </c>
      <c r="AR90" s="1" t="s">
        <v>45</v>
      </c>
      <c r="AT90" s="1" t="s">
        <v>1560</v>
      </c>
      <c r="AW90" s="33" t="s">
        <v>1463</v>
      </c>
      <c r="AX90" s="3" t="s">
        <v>1560</v>
      </c>
      <c r="AY90" s="3"/>
      <c r="AZ90" s="1">
        <v>4</v>
      </c>
      <c r="BA90" s="1" t="s">
        <v>1529</v>
      </c>
      <c r="BB90" s="1" t="s">
        <v>1567</v>
      </c>
      <c r="BC90" s="1" t="s">
        <v>1531</v>
      </c>
      <c r="BD90" s="1" t="s">
        <v>1822</v>
      </c>
      <c r="BE90" s="1" t="s">
        <v>1603</v>
      </c>
      <c r="BF90" s="1" t="s">
        <v>1534</v>
      </c>
      <c r="BG90" s="1" t="s">
        <v>51</v>
      </c>
      <c r="BH90" s="1" t="s">
        <v>46</v>
      </c>
      <c r="BI90" s="1" t="s">
        <v>1599</v>
      </c>
      <c r="BJ90" s="1" t="s">
        <v>51</v>
      </c>
      <c r="BK90" s="1" t="s">
        <v>1536</v>
      </c>
      <c r="BL90" s="32">
        <v>45110</v>
      </c>
      <c r="BM90" s="1" t="s">
        <v>833</v>
      </c>
      <c r="BO90" s="1" t="s">
        <v>1537</v>
      </c>
      <c r="BP90" s="1" t="s">
        <v>1538</v>
      </c>
      <c r="BQ90" s="1" t="s">
        <v>1539</v>
      </c>
      <c r="BR90" s="1" t="s">
        <v>1540</v>
      </c>
      <c r="BS90" s="1" t="s">
        <v>50</v>
      </c>
      <c r="BU90" s="1" t="s">
        <v>1525</v>
      </c>
      <c r="BW90" s="1" t="s">
        <v>1563</v>
      </c>
      <c r="BX90" s="32">
        <v>37909</v>
      </c>
      <c r="BY90" s="1">
        <v>15</v>
      </c>
      <c r="CA90" s="1" t="s">
        <v>51</v>
      </c>
      <c r="CB90" s="1" t="s">
        <v>51</v>
      </c>
      <c r="CC90" s="32">
        <v>37825</v>
      </c>
      <c r="CD90" s="1">
        <v>50</v>
      </c>
      <c r="CE90" s="1">
        <v>25</v>
      </c>
      <c r="CJ90" s="1" t="s">
        <v>51</v>
      </c>
      <c r="CK90" s="32">
        <v>44910</v>
      </c>
      <c r="CL90" s="1" t="s">
        <v>51</v>
      </c>
      <c r="CM90" s="32">
        <v>44942</v>
      </c>
      <c r="CN90" s="1">
        <v>-0.459854297715444</v>
      </c>
      <c r="CO90" s="1" t="s">
        <v>1537</v>
      </c>
      <c r="CP90" s="1" t="s">
        <v>1796</v>
      </c>
      <c r="CQ90" s="1" t="s">
        <v>1539</v>
      </c>
      <c r="CR90" s="1" t="s">
        <v>1540</v>
      </c>
      <c r="CS90" s="1" t="s">
        <v>50</v>
      </c>
      <c r="CT90" s="1" t="s">
        <v>1560</v>
      </c>
      <c r="CW90" s="1">
        <v>4</v>
      </c>
      <c r="CX90" s="1" t="s">
        <v>1529</v>
      </c>
      <c r="CY90" s="1" t="s">
        <v>1567</v>
      </c>
      <c r="CZ90" s="1" t="s">
        <v>1531</v>
      </c>
      <c r="DA90" s="1" t="s">
        <v>1822</v>
      </c>
      <c r="DB90" s="1" t="s">
        <v>1603</v>
      </c>
      <c r="DC90" s="1" t="s">
        <v>1534</v>
      </c>
      <c r="DD90" s="1" t="s">
        <v>51</v>
      </c>
      <c r="DE90" s="1" t="s">
        <v>46</v>
      </c>
      <c r="DF90" s="1" t="s">
        <v>46</v>
      </c>
      <c r="DG90" s="1" t="s">
        <v>51</v>
      </c>
      <c r="DH90" s="1" t="s">
        <v>51</v>
      </c>
      <c r="DI90" s="1" t="s">
        <v>1840</v>
      </c>
      <c r="DJ90" s="32">
        <v>45329</v>
      </c>
      <c r="DM90" s="1" t="s">
        <v>51</v>
      </c>
      <c r="DN90" s="1" t="s">
        <v>1841</v>
      </c>
      <c r="DO90" s="1" t="s">
        <v>51</v>
      </c>
      <c r="DP90" s="1" t="s">
        <v>1842</v>
      </c>
      <c r="DQ90" s="1" t="s">
        <v>45</v>
      </c>
      <c r="DT90" s="32">
        <v>45751</v>
      </c>
      <c r="DU90" s="1" t="s">
        <v>1543</v>
      </c>
      <c r="DV90" s="1">
        <v>261.03810775295602</v>
      </c>
      <c r="DW90" s="1" t="s">
        <v>45</v>
      </c>
      <c r="DY90" s="32">
        <v>45772</v>
      </c>
      <c r="DZ90" s="1" t="s">
        <v>1544</v>
      </c>
    </row>
    <row r="91" spans="1:130" ht="15.75" customHeight="1" x14ac:dyDescent="0.2">
      <c r="A91" s="8" t="s">
        <v>692</v>
      </c>
      <c r="B91" s="32">
        <v>17684</v>
      </c>
      <c r="C91" s="32">
        <v>44931</v>
      </c>
      <c r="D91" s="1">
        <v>74.599866298874403</v>
      </c>
      <c r="E91" s="1" t="s">
        <v>1523</v>
      </c>
      <c r="F91" s="1" t="s">
        <v>1524</v>
      </c>
      <c r="G91" s="1" t="s">
        <v>1574</v>
      </c>
      <c r="H91" s="1" t="s">
        <v>51</v>
      </c>
      <c r="I91" s="1">
        <v>1.6259999999999999</v>
      </c>
      <c r="J91" s="1" t="s">
        <v>51</v>
      </c>
      <c r="K91" s="1">
        <v>60</v>
      </c>
      <c r="L91" s="1">
        <v>22.693953876808099</v>
      </c>
      <c r="M91" s="1" t="s">
        <v>45</v>
      </c>
      <c r="N91" s="1" t="s">
        <v>45</v>
      </c>
      <c r="O91" s="1" t="s">
        <v>45</v>
      </c>
      <c r="P91" s="1" t="s">
        <v>45</v>
      </c>
      <c r="Q91" s="1" t="s">
        <v>45</v>
      </c>
      <c r="R91" s="1" t="s">
        <v>45</v>
      </c>
      <c r="S91" s="1" t="s">
        <v>45</v>
      </c>
      <c r="T91" s="1" t="s">
        <v>45</v>
      </c>
      <c r="U91" s="1" t="s">
        <v>45</v>
      </c>
      <c r="V91" s="1" t="s">
        <v>45</v>
      </c>
      <c r="W91" s="1" t="s">
        <v>45</v>
      </c>
      <c r="X91" s="1" t="s">
        <v>45</v>
      </c>
      <c r="Y91" s="1" t="s">
        <v>45</v>
      </c>
      <c r="Z91" s="1" t="s">
        <v>45</v>
      </c>
      <c r="AA91" s="1" t="s">
        <v>45</v>
      </c>
      <c r="AB91" s="1" t="s">
        <v>45</v>
      </c>
      <c r="AC91" s="1" t="s">
        <v>45</v>
      </c>
      <c r="AD91" s="1" t="s">
        <v>45</v>
      </c>
      <c r="AE91" s="1" t="s">
        <v>45</v>
      </c>
      <c r="AF91" s="32">
        <v>44943</v>
      </c>
      <c r="AG91" s="1">
        <v>74.632721182958306</v>
      </c>
      <c r="AH91" s="1" t="s">
        <v>1625</v>
      </c>
      <c r="AI91" s="1" t="s">
        <v>1527</v>
      </c>
      <c r="AJ91" s="1" t="s">
        <v>45</v>
      </c>
      <c r="AK91" s="1" t="s">
        <v>45</v>
      </c>
      <c r="AL91" s="1" t="s">
        <v>45</v>
      </c>
      <c r="AM91" s="1" t="s">
        <v>45</v>
      </c>
      <c r="AN91" s="1" t="s">
        <v>45</v>
      </c>
      <c r="AO91" s="1" t="s">
        <v>45</v>
      </c>
      <c r="AP91" s="1" t="s">
        <v>51</v>
      </c>
      <c r="AQ91" s="1" t="s">
        <v>45</v>
      </c>
      <c r="AR91" s="1" t="s">
        <v>45</v>
      </c>
      <c r="AT91" s="1" t="s">
        <v>1528</v>
      </c>
      <c r="AW91" s="33" t="s">
        <v>1463</v>
      </c>
      <c r="AX91" s="3" t="s">
        <v>1528</v>
      </c>
      <c r="AY91" s="3"/>
      <c r="AZ91" s="1">
        <v>4</v>
      </c>
      <c r="BB91" s="1" t="s">
        <v>1530</v>
      </c>
      <c r="BC91" s="1" t="s">
        <v>1561</v>
      </c>
      <c r="BE91" s="1" t="s">
        <v>1533</v>
      </c>
      <c r="BG91" s="1" t="s">
        <v>45</v>
      </c>
      <c r="BH91" s="1" t="s">
        <v>46</v>
      </c>
      <c r="BI91" s="1" t="s">
        <v>1535</v>
      </c>
      <c r="BJ91" s="1" t="s">
        <v>51</v>
      </c>
      <c r="BK91" s="1" t="s">
        <v>1549</v>
      </c>
      <c r="BL91" s="32">
        <v>44943</v>
      </c>
      <c r="BM91" s="1" t="s">
        <v>693</v>
      </c>
      <c r="BO91" s="1" t="s">
        <v>1537</v>
      </c>
      <c r="BP91" s="1" t="s">
        <v>1551</v>
      </c>
      <c r="BQ91" s="1" t="s">
        <v>1539</v>
      </c>
      <c r="BR91" s="1" t="s">
        <v>1843</v>
      </c>
      <c r="BS91" s="1" t="s">
        <v>1581</v>
      </c>
      <c r="BU91" s="1" t="s">
        <v>51</v>
      </c>
      <c r="BW91" s="1" t="s">
        <v>1563</v>
      </c>
      <c r="BX91" s="32">
        <v>45114</v>
      </c>
      <c r="BY91" s="1">
        <v>1</v>
      </c>
      <c r="BZ91" s="1" t="s">
        <v>1844</v>
      </c>
      <c r="CA91" s="1" t="s">
        <v>51</v>
      </c>
      <c r="CB91" s="1" t="s">
        <v>51</v>
      </c>
      <c r="CC91" s="32">
        <v>44972</v>
      </c>
      <c r="CD91" s="1">
        <v>40</v>
      </c>
      <c r="CE91" s="1">
        <v>15</v>
      </c>
      <c r="CJ91" s="1" t="s">
        <v>45</v>
      </c>
      <c r="DH91" s="1" t="s">
        <v>45</v>
      </c>
      <c r="DM91" s="1" t="s">
        <v>45</v>
      </c>
      <c r="DO91" s="1" t="s">
        <v>45</v>
      </c>
      <c r="DQ91" s="1" t="s">
        <v>45</v>
      </c>
      <c r="DS91" s="1" t="s">
        <v>1845</v>
      </c>
      <c r="DT91" s="32">
        <v>45140</v>
      </c>
      <c r="DU91" s="1" t="s">
        <v>1556</v>
      </c>
      <c r="DV91" s="1">
        <v>6.4703788874288204</v>
      </c>
    </row>
    <row r="92" spans="1:130" ht="15.75" customHeight="1" x14ac:dyDescent="0.2">
      <c r="A92" s="8" t="s">
        <v>700</v>
      </c>
      <c r="B92" s="32">
        <v>37737</v>
      </c>
      <c r="C92" s="32">
        <v>44739</v>
      </c>
      <c r="D92" s="1">
        <v>19.1708248629335</v>
      </c>
      <c r="E92" s="1" t="s">
        <v>1523</v>
      </c>
      <c r="F92" s="1" t="s">
        <v>1524</v>
      </c>
      <c r="G92" s="1" t="s">
        <v>1545</v>
      </c>
      <c r="H92" s="1" t="s">
        <v>51</v>
      </c>
      <c r="I92" s="1">
        <v>1.82</v>
      </c>
      <c r="J92" s="1" t="s">
        <v>51</v>
      </c>
      <c r="K92" s="1">
        <v>62.4</v>
      </c>
      <c r="L92" s="1">
        <v>18.838304552590198</v>
      </c>
      <c r="M92" s="1" t="s">
        <v>45</v>
      </c>
      <c r="N92" s="1" t="s">
        <v>45</v>
      </c>
      <c r="O92" s="1" t="s">
        <v>45</v>
      </c>
      <c r="P92" s="1" t="s">
        <v>45</v>
      </c>
      <c r="Q92" s="1" t="s">
        <v>45</v>
      </c>
      <c r="R92" s="1" t="s">
        <v>45</v>
      </c>
      <c r="S92" s="1" t="s">
        <v>45</v>
      </c>
      <c r="T92" s="1" t="s">
        <v>45</v>
      </c>
      <c r="U92" s="1" t="s">
        <v>45</v>
      </c>
      <c r="V92" s="1" t="s">
        <v>45</v>
      </c>
      <c r="W92" s="1" t="s">
        <v>45</v>
      </c>
      <c r="X92" s="1" t="s">
        <v>45</v>
      </c>
      <c r="Y92" s="1" t="s">
        <v>45</v>
      </c>
      <c r="Z92" s="1" t="s">
        <v>45</v>
      </c>
      <c r="AA92" s="1" t="s">
        <v>45</v>
      </c>
      <c r="AB92" s="1" t="s">
        <v>45</v>
      </c>
      <c r="AC92" s="1" t="s">
        <v>45</v>
      </c>
      <c r="AD92" s="1" t="s">
        <v>45</v>
      </c>
      <c r="AE92" s="1" t="s">
        <v>45</v>
      </c>
      <c r="AF92" s="32">
        <v>40123</v>
      </c>
      <c r="AG92" s="1">
        <v>6.5327601981332002</v>
      </c>
      <c r="AH92" s="1" t="s">
        <v>1526</v>
      </c>
      <c r="AI92" s="1" t="s">
        <v>1527</v>
      </c>
      <c r="AJ92" s="1" t="s">
        <v>45</v>
      </c>
      <c r="AK92" s="1" t="s">
        <v>45</v>
      </c>
      <c r="AL92" s="1" t="s">
        <v>45</v>
      </c>
      <c r="AM92" s="1" t="s">
        <v>45</v>
      </c>
      <c r="AN92" s="1" t="s">
        <v>45</v>
      </c>
      <c r="AO92" s="1" t="s">
        <v>45</v>
      </c>
      <c r="AP92" s="1" t="s">
        <v>51</v>
      </c>
      <c r="AQ92" s="1" t="s">
        <v>45</v>
      </c>
      <c r="AR92" s="1" t="s">
        <v>45</v>
      </c>
      <c r="AT92" s="1" t="s">
        <v>1560</v>
      </c>
      <c r="AV92" s="1" t="s">
        <v>1838</v>
      </c>
      <c r="AW92" s="33" t="s">
        <v>1464</v>
      </c>
      <c r="AX92" s="3"/>
      <c r="AY92" s="33" t="s">
        <v>1668</v>
      </c>
      <c r="AZ92" s="1">
        <v>1</v>
      </c>
      <c r="BB92" s="1" t="s">
        <v>1561</v>
      </c>
      <c r="BC92" s="1" t="s">
        <v>1561</v>
      </c>
      <c r="BE92" s="1" t="s">
        <v>1525</v>
      </c>
      <c r="BG92" s="1" t="s">
        <v>1525</v>
      </c>
      <c r="BH92" s="1" t="s">
        <v>68</v>
      </c>
      <c r="BI92" s="1" t="s">
        <v>1535</v>
      </c>
      <c r="BJ92" s="1" t="s">
        <v>1525</v>
      </c>
      <c r="BK92" s="1" t="s">
        <v>1549</v>
      </c>
      <c r="BL92" s="32">
        <v>40123</v>
      </c>
      <c r="BM92" s="1" t="s">
        <v>701</v>
      </c>
      <c r="BO92" s="1" t="s">
        <v>1537</v>
      </c>
      <c r="BP92" s="1" t="s">
        <v>1551</v>
      </c>
      <c r="BQ92" s="1" t="s">
        <v>1539</v>
      </c>
      <c r="BR92" s="1" t="s">
        <v>1580</v>
      </c>
      <c r="BS92" s="1" t="s">
        <v>1846</v>
      </c>
      <c r="BU92" s="1" t="s">
        <v>1525</v>
      </c>
      <c r="BW92" s="1" t="s">
        <v>1561</v>
      </c>
      <c r="CA92" s="1" t="s">
        <v>45</v>
      </c>
      <c r="CB92" s="1" t="s">
        <v>45</v>
      </c>
      <c r="CG92" s="1" t="s">
        <v>1847</v>
      </c>
      <c r="CJ92" s="1" t="s">
        <v>51</v>
      </c>
      <c r="CK92" s="32">
        <v>44166</v>
      </c>
      <c r="CL92" s="1" t="s">
        <v>51</v>
      </c>
      <c r="CM92" s="32">
        <v>44937</v>
      </c>
      <c r="CN92" s="1">
        <v>13.1802843316426</v>
      </c>
      <c r="CO92" s="1" t="s">
        <v>1537</v>
      </c>
      <c r="CP92" s="1" t="s">
        <v>1566</v>
      </c>
      <c r="CQ92" s="1" t="s">
        <v>1539</v>
      </c>
      <c r="CR92" s="1" t="s">
        <v>1580</v>
      </c>
      <c r="CS92" s="1" t="s">
        <v>1846</v>
      </c>
      <c r="CT92" s="1" t="s">
        <v>1560</v>
      </c>
      <c r="CV92" s="1" t="s">
        <v>1838</v>
      </c>
      <c r="CW92" s="1">
        <v>1</v>
      </c>
      <c r="CY92" s="1" t="s">
        <v>1561</v>
      </c>
      <c r="CZ92" s="1" t="s">
        <v>1561</v>
      </c>
      <c r="DB92" s="1" t="s">
        <v>1525</v>
      </c>
      <c r="DD92" s="1" t="s">
        <v>1525</v>
      </c>
      <c r="DE92" s="1" t="s">
        <v>68</v>
      </c>
      <c r="DF92" s="1" t="s">
        <v>68</v>
      </c>
      <c r="DG92" s="1" t="s">
        <v>1525</v>
      </c>
      <c r="DH92" s="1" t="s">
        <v>51</v>
      </c>
      <c r="DI92" s="1" t="s">
        <v>1848</v>
      </c>
      <c r="DJ92" s="32">
        <v>45992</v>
      </c>
      <c r="DK92" s="1" t="s">
        <v>1631</v>
      </c>
      <c r="DM92" s="1" t="s">
        <v>45</v>
      </c>
      <c r="DO92" s="1" t="s">
        <v>45</v>
      </c>
      <c r="DQ92" s="1" t="s">
        <v>45</v>
      </c>
      <c r="DS92" s="1" t="s">
        <v>1849</v>
      </c>
      <c r="DT92" s="32">
        <v>45720</v>
      </c>
      <c r="DU92" s="1" t="s">
        <v>1598</v>
      </c>
      <c r="DV92" s="1">
        <v>183.869908015768</v>
      </c>
    </row>
    <row r="93" spans="1:130" ht="15.75" customHeight="1" x14ac:dyDescent="0.2">
      <c r="A93" s="8" t="s">
        <v>703</v>
      </c>
      <c r="B93" s="32">
        <v>20904</v>
      </c>
      <c r="C93" s="32">
        <v>44937</v>
      </c>
      <c r="D93" s="1">
        <v>65.800119098954795</v>
      </c>
      <c r="E93" s="1" t="s">
        <v>1523</v>
      </c>
      <c r="F93" s="1" t="s">
        <v>1524</v>
      </c>
      <c r="G93" s="1" t="s">
        <v>1574</v>
      </c>
      <c r="H93" s="1" t="s">
        <v>51</v>
      </c>
      <c r="I93" s="1">
        <v>1.75</v>
      </c>
      <c r="J93" s="1" t="s">
        <v>51</v>
      </c>
      <c r="K93" s="1">
        <v>64.900000000000006</v>
      </c>
      <c r="L93" s="1">
        <v>21.191836734693801</v>
      </c>
      <c r="M93" s="1" t="s">
        <v>45</v>
      </c>
      <c r="N93" s="1" t="s">
        <v>45</v>
      </c>
      <c r="O93" s="1" t="s">
        <v>45</v>
      </c>
      <c r="P93" s="1" t="s">
        <v>45</v>
      </c>
      <c r="Q93" s="1" t="s">
        <v>45</v>
      </c>
      <c r="R93" s="1" t="s">
        <v>45</v>
      </c>
      <c r="S93" s="1" t="s">
        <v>45</v>
      </c>
      <c r="T93" s="1" t="s">
        <v>45</v>
      </c>
      <c r="U93" s="1" t="s">
        <v>45</v>
      </c>
      <c r="V93" s="1" t="s">
        <v>45</v>
      </c>
      <c r="W93" s="1" t="s">
        <v>45</v>
      </c>
      <c r="X93" s="1" t="s">
        <v>45</v>
      </c>
      <c r="Y93" s="1" t="s">
        <v>45</v>
      </c>
      <c r="Z93" s="1" t="s">
        <v>45</v>
      </c>
      <c r="AA93" s="1" t="s">
        <v>45</v>
      </c>
      <c r="AB93" s="1" t="s">
        <v>45</v>
      </c>
      <c r="AC93" s="1" t="s">
        <v>45</v>
      </c>
      <c r="AD93" s="1" t="s">
        <v>45</v>
      </c>
      <c r="AE93" s="1" t="s">
        <v>45</v>
      </c>
      <c r="AF93" s="32">
        <v>44946</v>
      </c>
      <c r="AG93" s="1">
        <v>65.824760262017705</v>
      </c>
      <c r="AH93" s="1" t="s">
        <v>1526</v>
      </c>
      <c r="AI93" s="1" t="s">
        <v>1527</v>
      </c>
      <c r="AJ93" s="1" t="s">
        <v>45</v>
      </c>
      <c r="AK93" s="1" t="s">
        <v>45</v>
      </c>
      <c r="AL93" s="1" t="s">
        <v>45</v>
      </c>
      <c r="AM93" s="1" t="s">
        <v>45</v>
      </c>
      <c r="AN93" s="1" t="s">
        <v>51</v>
      </c>
      <c r="AO93" s="1" t="s">
        <v>45</v>
      </c>
      <c r="AP93" s="1" t="s">
        <v>45</v>
      </c>
      <c r="AQ93" s="1" t="s">
        <v>45</v>
      </c>
      <c r="AR93" s="1" t="s">
        <v>45</v>
      </c>
      <c r="AT93" s="1" t="s">
        <v>1528</v>
      </c>
      <c r="AW93" s="33" t="s">
        <v>1463</v>
      </c>
      <c r="AX93" s="3" t="s">
        <v>1528</v>
      </c>
      <c r="AY93" s="3"/>
      <c r="AZ93" s="1">
        <v>4</v>
      </c>
      <c r="BB93" s="1" t="s">
        <v>1530</v>
      </c>
      <c r="BE93" s="1" t="s">
        <v>1525</v>
      </c>
      <c r="BG93" s="1" t="s">
        <v>45</v>
      </c>
      <c r="BH93" s="1" t="s">
        <v>46</v>
      </c>
      <c r="BI93" s="1" t="s">
        <v>1535</v>
      </c>
      <c r="BJ93" s="1" t="s">
        <v>45</v>
      </c>
      <c r="BK93" s="1" t="s">
        <v>1549</v>
      </c>
      <c r="BL93" s="32">
        <v>44946</v>
      </c>
      <c r="BM93" s="1" t="s">
        <v>704</v>
      </c>
      <c r="BO93" s="1" t="s">
        <v>1537</v>
      </c>
      <c r="BP93" s="1" t="s">
        <v>1551</v>
      </c>
      <c r="BQ93" s="1" t="s">
        <v>1605</v>
      </c>
      <c r="BR93" s="1" t="s">
        <v>1580</v>
      </c>
      <c r="BS93" s="1" t="s">
        <v>1581</v>
      </c>
      <c r="BU93" s="1" t="s">
        <v>51</v>
      </c>
      <c r="BW93" s="1" t="s">
        <v>1542</v>
      </c>
      <c r="CA93" s="1" t="s">
        <v>45</v>
      </c>
      <c r="CB93" s="1" t="s">
        <v>45</v>
      </c>
      <c r="CI93" s="1" t="s">
        <v>1850</v>
      </c>
      <c r="DS93" s="1" t="s">
        <v>1851</v>
      </c>
    </row>
    <row r="94" spans="1:130" ht="15.75" customHeight="1" x14ac:dyDescent="0.2">
      <c r="A94" s="8" t="s">
        <v>708</v>
      </c>
      <c r="B94" s="32">
        <v>18769</v>
      </c>
      <c r="C94" s="32">
        <v>44894</v>
      </c>
      <c r="D94" s="1">
        <v>71.527934637033297</v>
      </c>
      <c r="E94" s="1" t="s">
        <v>1523</v>
      </c>
      <c r="F94" s="1" t="s">
        <v>1524</v>
      </c>
      <c r="G94" s="1" t="s">
        <v>1545</v>
      </c>
      <c r="H94" s="1" t="s">
        <v>51</v>
      </c>
      <c r="I94" s="1">
        <v>1.88</v>
      </c>
      <c r="J94" s="1" t="s">
        <v>51</v>
      </c>
      <c r="K94" s="1">
        <v>92.5</v>
      </c>
      <c r="L94" s="1">
        <v>26.1713444997736</v>
      </c>
      <c r="M94" s="1" t="s">
        <v>45</v>
      </c>
      <c r="N94" s="1" t="s">
        <v>45</v>
      </c>
      <c r="O94" s="1" t="s">
        <v>45</v>
      </c>
      <c r="P94" s="1" t="s">
        <v>45</v>
      </c>
      <c r="Q94" s="1" t="s">
        <v>45</v>
      </c>
      <c r="R94" s="1" t="s">
        <v>45</v>
      </c>
      <c r="S94" s="1" t="s">
        <v>45</v>
      </c>
      <c r="T94" s="1" t="s">
        <v>45</v>
      </c>
      <c r="U94" s="1" t="s">
        <v>45</v>
      </c>
      <c r="V94" s="1" t="s">
        <v>45</v>
      </c>
      <c r="W94" s="1" t="s">
        <v>45</v>
      </c>
      <c r="X94" s="1" t="s">
        <v>45</v>
      </c>
      <c r="Y94" s="1" t="s">
        <v>45</v>
      </c>
      <c r="Z94" s="1" t="s">
        <v>45</v>
      </c>
      <c r="AA94" s="1" t="s">
        <v>45</v>
      </c>
      <c r="AB94" s="1" t="s">
        <v>45</v>
      </c>
      <c r="AC94" s="1" t="s">
        <v>45</v>
      </c>
      <c r="AD94" s="1" t="s">
        <v>45</v>
      </c>
      <c r="AE94" s="1" t="s">
        <v>45</v>
      </c>
      <c r="AF94" s="32">
        <v>44959</v>
      </c>
      <c r="AG94" s="1">
        <v>71.7058985924876</v>
      </c>
      <c r="AH94" s="1" t="s">
        <v>1625</v>
      </c>
      <c r="AI94" s="1" t="s">
        <v>1527</v>
      </c>
      <c r="AJ94" s="1" t="s">
        <v>45</v>
      </c>
      <c r="AK94" s="1" t="s">
        <v>45</v>
      </c>
      <c r="AL94" s="1" t="s">
        <v>45</v>
      </c>
      <c r="AM94" s="1" t="s">
        <v>45</v>
      </c>
      <c r="AN94" s="1" t="s">
        <v>45</v>
      </c>
      <c r="AO94" s="1" t="s">
        <v>45</v>
      </c>
      <c r="AP94" s="1" t="s">
        <v>45</v>
      </c>
      <c r="AQ94" s="1" t="s">
        <v>45</v>
      </c>
      <c r="AR94" s="1" t="s">
        <v>51</v>
      </c>
      <c r="AS94" s="1" t="s">
        <v>1852</v>
      </c>
      <c r="AT94" s="1" t="s">
        <v>1528</v>
      </c>
      <c r="AW94" s="33" t="s">
        <v>1463</v>
      </c>
      <c r="AX94" s="3" t="s">
        <v>1528</v>
      </c>
      <c r="AY94" s="3"/>
      <c r="AZ94" s="1">
        <v>4</v>
      </c>
      <c r="BB94" s="1" t="s">
        <v>1530</v>
      </c>
      <c r="BC94" s="1" t="s">
        <v>1561</v>
      </c>
      <c r="BE94" s="1" t="s">
        <v>1533</v>
      </c>
      <c r="BG94" s="1" t="s">
        <v>1525</v>
      </c>
      <c r="BH94" s="1" t="s">
        <v>46</v>
      </c>
      <c r="BI94" s="1" t="s">
        <v>1535</v>
      </c>
      <c r="BJ94" s="1" t="s">
        <v>45</v>
      </c>
      <c r="BK94" s="1" t="s">
        <v>1549</v>
      </c>
      <c r="BL94" s="32">
        <v>44959</v>
      </c>
      <c r="BM94" s="1" t="s">
        <v>709</v>
      </c>
      <c r="BO94" s="1" t="s">
        <v>1853</v>
      </c>
      <c r="BP94" s="1" t="s">
        <v>1551</v>
      </c>
      <c r="BQ94" s="1" t="s">
        <v>1605</v>
      </c>
      <c r="BR94" s="1" t="s">
        <v>1580</v>
      </c>
      <c r="BS94" s="1" t="s">
        <v>1854</v>
      </c>
      <c r="BU94" s="1" t="s">
        <v>51</v>
      </c>
      <c r="BW94" s="1" t="s">
        <v>1542</v>
      </c>
      <c r="CA94" s="1" t="s">
        <v>45</v>
      </c>
      <c r="CB94" s="1" t="s">
        <v>51</v>
      </c>
      <c r="CC94" s="32">
        <v>44981</v>
      </c>
      <c r="CD94" s="1">
        <v>20</v>
      </c>
      <c r="CE94" s="1">
        <v>5</v>
      </c>
      <c r="CI94" s="1" t="s">
        <v>1855</v>
      </c>
      <c r="DH94" s="1" t="s">
        <v>45</v>
      </c>
      <c r="DM94" s="1" t="s">
        <v>45</v>
      </c>
      <c r="DO94" s="1" t="s">
        <v>45</v>
      </c>
      <c r="DQ94" s="1" t="s">
        <v>45</v>
      </c>
      <c r="DS94" s="1" t="s">
        <v>1856</v>
      </c>
      <c r="DT94" s="32">
        <v>44974</v>
      </c>
      <c r="DU94" s="1" t="s">
        <v>1543</v>
      </c>
      <c r="DV94" s="1">
        <v>0.49277266754270699</v>
      </c>
      <c r="DW94" s="1" t="s">
        <v>45</v>
      </c>
    </row>
    <row r="95" spans="1:130" ht="15.75" customHeight="1" x14ac:dyDescent="0.2">
      <c r="A95" s="8" t="s">
        <v>570</v>
      </c>
      <c r="B95" s="32">
        <v>29383</v>
      </c>
      <c r="C95" s="32">
        <v>44741</v>
      </c>
      <c r="D95" s="1">
        <v>42.048775813329499</v>
      </c>
      <c r="E95" s="1" t="s">
        <v>1587</v>
      </c>
      <c r="F95" s="1" t="s">
        <v>1578</v>
      </c>
      <c r="G95" s="1" t="s">
        <v>1574</v>
      </c>
      <c r="H95" s="1" t="s">
        <v>45</v>
      </c>
      <c r="J95" s="1" t="s">
        <v>45</v>
      </c>
      <c r="M95" s="1" t="s">
        <v>45</v>
      </c>
      <c r="N95" s="1" t="s">
        <v>45</v>
      </c>
      <c r="O95" s="1" t="s">
        <v>45</v>
      </c>
      <c r="P95" s="1" t="s">
        <v>45</v>
      </c>
      <c r="Q95" s="1" t="s">
        <v>45</v>
      </c>
      <c r="R95" s="1" t="s">
        <v>45</v>
      </c>
      <c r="S95" s="1" t="s">
        <v>45</v>
      </c>
      <c r="T95" s="1" t="s">
        <v>45</v>
      </c>
      <c r="U95" s="1" t="s">
        <v>45</v>
      </c>
      <c r="V95" s="1" t="s">
        <v>45</v>
      </c>
      <c r="W95" s="1" t="s">
        <v>45</v>
      </c>
      <c r="X95" s="1" t="s">
        <v>45</v>
      </c>
      <c r="Y95" s="1" t="s">
        <v>45</v>
      </c>
      <c r="Z95" s="1" t="s">
        <v>45</v>
      </c>
      <c r="AA95" s="1" t="s">
        <v>51</v>
      </c>
      <c r="AB95" s="1" t="s">
        <v>45</v>
      </c>
      <c r="AC95" s="1" t="s">
        <v>45</v>
      </c>
      <c r="AD95" s="1" t="s">
        <v>45</v>
      </c>
      <c r="AE95" s="1" t="s">
        <v>45</v>
      </c>
      <c r="AF95" s="32">
        <v>44963</v>
      </c>
      <c r="AG95" s="1">
        <v>42.656705248339499</v>
      </c>
      <c r="AH95" s="1" t="s">
        <v>1558</v>
      </c>
      <c r="AI95" s="1" t="s">
        <v>1527</v>
      </c>
      <c r="AJ95" s="1" t="s">
        <v>45</v>
      </c>
      <c r="AK95" s="1" t="s">
        <v>45</v>
      </c>
      <c r="AL95" s="1" t="s">
        <v>45</v>
      </c>
      <c r="AM95" s="1" t="s">
        <v>45</v>
      </c>
      <c r="AN95" s="1" t="s">
        <v>45</v>
      </c>
      <c r="AO95" s="1" t="s">
        <v>45</v>
      </c>
      <c r="AP95" s="1" t="s">
        <v>45</v>
      </c>
      <c r="AQ95" s="1" t="s">
        <v>45</v>
      </c>
      <c r="AR95" s="1" t="s">
        <v>51</v>
      </c>
      <c r="AS95" s="1" t="s">
        <v>1857</v>
      </c>
      <c r="AT95" s="1" t="s">
        <v>1601</v>
      </c>
      <c r="AW95" s="33" t="s">
        <v>1464</v>
      </c>
      <c r="AX95" s="3"/>
      <c r="AY95" s="3" t="s">
        <v>1601</v>
      </c>
      <c r="AZ95" s="1">
        <v>2</v>
      </c>
      <c r="BB95" s="1" t="s">
        <v>1567</v>
      </c>
      <c r="BE95" s="1" t="s">
        <v>1525</v>
      </c>
      <c r="BG95" s="1" t="s">
        <v>1525</v>
      </c>
      <c r="BH95" s="1" t="s">
        <v>1525</v>
      </c>
      <c r="BI95" s="1" t="s">
        <v>1535</v>
      </c>
      <c r="BJ95" s="1" t="s">
        <v>45</v>
      </c>
      <c r="BK95" s="1" t="s">
        <v>1549</v>
      </c>
      <c r="BL95" s="32">
        <v>44963</v>
      </c>
      <c r="BM95" s="1" t="s">
        <v>571</v>
      </c>
      <c r="BO95" s="1" t="s">
        <v>1537</v>
      </c>
      <c r="BP95" s="1" t="s">
        <v>1551</v>
      </c>
      <c r="BQ95" s="1" t="s">
        <v>1647</v>
      </c>
      <c r="BR95" s="1" t="s">
        <v>1589</v>
      </c>
      <c r="BS95" s="1" t="s">
        <v>1581</v>
      </c>
      <c r="BU95" s="1" t="s">
        <v>45</v>
      </c>
      <c r="BW95" s="1" t="s">
        <v>1542</v>
      </c>
      <c r="CA95" s="1" t="s">
        <v>45</v>
      </c>
      <c r="CB95" s="1" t="s">
        <v>45</v>
      </c>
      <c r="CG95" s="1" t="s">
        <v>1816</v>
      </c>
      <c r="CJ95" s="1" t="s">
        <v>45</v>
      </c>
      <c r="DH95" s="1" t="s">
        <v>45</v>
      </c>
      <c r="DM95" s="1" t="s">
        <v>45</v>
      </c>
      <c r="DO95" s="1" t="s">
        <v>45</v>
      </c>
      <c r="DQ95" s="1" t="s">
        <v>45</v>
      </c>
      <c r="DT95" s="32">
        <v>45763</v>
      </c>
      <c r="DU95" s="1" t="s">
        <v>1598</v>
      </c>
      <c r="DV95" s="1">
        <v>26.279840122645599</v>
      </c>
      <c r="DW95" s="1" t="s">
        <v>45</v>
      </c>
    </row>
    <row r="96" spans="1:130" ht="15.75" customHeight="1" x14ac:dyDescent="0.2">
      <c r="A96" s="8" t="s">
        <v>574</v>
      </c>
      <c r="B96" s="32">
        <v>28786</v>
      </c>
      <c r="C96" s="32">
        <v>42826</v>
      </c>
      <c r="D96" s="1">
        <v>38.440214378118597</v>
      </c>
      <c r="E96" s="1" t="s">
        <v>1523</v>
      </c>
      <c r="F96" s="1" t="s">
        <v>1524</v>
      </c>
      <c r="G96" s="1" t="s">
        <v>1574</v>
      </c>
      <c r="H96" s="1" t="s">
        <v>51</v>
      </c>
      <c r="I96" s="1">
        <v>1.82</v>
      </c>
      <c r="J96" s="1" t="s">
        <v>51</v>
      </c>
      <c r="K96" s="1">
        <v>86.2</v>
      </c>
      <c r="L96" s="1">
        <v>26.023427122328201</v>
      </c>
      <c r="M96" s="1" t="s">
        <v>45</v>
      </c>
      <c r="N96" s="1" t="s">
        <v>45</v>
      </c>
      <c r="O96" s="1" t="s">
        <v>45</v>
      </c>
      <c r="P96" s="1" t="s">
        <v>51</v>
      </c>
      <c r="Q96" s="1" t="s">
        <v>45</v>
      </c>
      <c r="R96" s="1" t="s">
        <v>45</v>
      </c>
      <c r="S96" s="1" t="s">
        <v>45</v>
      </c>
      <c r="T96" s="1" t="s">
        <v>45</v>
      </c>
      <c r="U96" s="1" t="s">
        <v>45</v>
      </c>
      <c r="V96" s="1" t="s">
        <v>45</v>
      </c>
      <c r="W96" s="1" t="s">
        <v>45</v>
      </c>
      <c r="X96" s="1" t="s">
        <v>51</v>
      </c>
      <c r="Y96" s="1" t="s">
        <v>45</v>
      </c>
      <c r="Z96" s="1" t="s">
        <v>45</v>
      </c>
      <c r="AA96" s="1" t="s">
        <v>45</v>
      </c>
      <c r="AB96" s="1" t="s">
        <v>45</v>
      </c>
      <c r="AC96" s="1" t="s">
        <v>51</v>
      </c>
      <c r="AD96" s="1" t="s">
        <v>45</v>
      </c>
      <c r="AE96" s="1" t="s">
        <v>45</v>
      </c>
      <c r="AF96" s="32">
        <v>44963</v>
      </c>
      <c r="AG96" s="1">
        <v>44.291235731511698</v>
      </c>
      <c r="AH96" s="1" t="s">
        <v>1526</v>
      </c>
      <c r="AI96" s="1" t="s">
        <v>1527</v>
      </c>
      <c r="AJ96" s="1" t="s">
        <v>45</v>
      </c>
      <c r="AK96" s="1" t="s">
        <v>51</v>
      </c>
      <c r="AL96" s="1" t="s">
        <v>45</v>
      </c>
      <c r="AM96" s="1" t="s">
        <v>45</v>
      </c>
      <c r="AN96" s="1" t="s">
        <v>45</v>
      </c>
      <c r="AO96" s="1" t="s">
        <v>45</v>
      </c>
      <c r="AP96" s="1" t="s">
        <v>45</v>
      </c>
      <c r="AQ96" s="1" t="s">
        <v>45</v>
      </c>
      <c r="AR96" s="1" t="s">
        <v>45</v>
      </c>
      <c r="AT96" s="1" t="s">
        <v>1601</v>
      </c>
      <c r="AW96" s="33" t="s">
        <v>1464</v>
      </c>
      <c r="AX96" s="3"/>
      <c r="AY96" s="3" t="s">
        <v>1601</v>
      </c>
      <c r="AZ96" s="1">
        <v>2</v>
      </c>
      <c r="BB96" s="1" t="s">
        <v>1567</v>
      </c>
      <c r="BC96" s="1" t="s">
        <v>1602</v>
      </c>
      <c r="BE96" s="1" t="s">
        <v>1603</v>
      </c>
      <c r="BG96" s="1" t="s">
        <v>1525</v>
      </c>
      <c r="BH96" s="1" t="s">
        <v>46</v>
      </c>
      <c r="BI96" s="1" t="s">
        <v>1535</v>
      </c>
      <c r="BJ96" s="1" t="s">
        <v>45</v>
      </c>
      <c r="BK96" s="1" t="s">
        <v>1549</v>
      </c>
      <c r="BL96" s="32">
        <v>44963</v>
      </c>
      <c r="BM96" s="1" t="s">
        <v>1858</v>
      </c>
      <c r="BO96" s="1" t="s">
        <v>1537</v>
      </c>
      <c r="BP96" s="1" t="s">
        <v>1551</v>
      </c>
      <c r="BQ96" s="1" t="s">
        <v>1539</v>
      </c>
      <c r="BR96" s="1" t="s">
        <v>1589</v>
      </c>
      <c r="BS96" s="1" t="s">
        <v>1592</v>
      </c>
      <c r="BU96" s="1" t="s">
        <v>51</v>
      </c>
      <c r="BW96" s="1" t="s">
        <v>1563</v>
      </c>
      <c r="BX96" s="32">
        <v>45100</v>
      </c>
      <c r="BY96" s="1">
        <v>5</v>
      </c>
      <c r="BZ96" s="1" t="s">
        <v>1859</v>
      </c>
      <c r="CA96" s="1" t="s">
        <v>51</v>
      </c>
      <c r="CB96" s="1" t="s">
        <v>51</v>
      </c>
      <c r="CC96" s="32">
        <v>45019</v>
      </c>
      <c r="CD96" s="1">
        <v>54</v>
      </c>
      <c r="CE96" s="1">
        <v>30</v>
      </c>
      <c r="CJ96" s="1" t="s">
        <v>45</v>
      </c>
      <c r="DH96" s="1" t="s">
        <v>45</v>
      </c>
      <c r="DM96" s="1" t="s">
        <v>45</v>
      </c>
      <c r="DO96" s="1" t="s">
        <v>45</v>
      </c>
      <c r="DQ96" s="1" t="s">
        <v>45</v>
      </c>
      <c r="DT96" s="32">
        <v>45090</v>
      </c>
      <c r="DU96" s="1" t="s">
        <v>1543</v>
      </c>
      <c r="DV96" s="1">
        <v>4.1707731055628496</v>
      </c>
    </row>
    <row r="97" spans="1:130" ht="15.75" customHeight="1" x14ac:dyDescent="0.2">
      <c r="A97" s="8" t="s">
        <v>715</v>
      </c>
      <c r="B97" s="32">
        <v>27907</v>
      </c>
      <c r="C97" s="32">
        <v>44962</v>
      </c>
      <c r="D97" s="1">
        <v>46.6951180836476</v>
      </c>
      <c r="E97" s="1" t="s">
        <v>1523</v>
      </c>
      <c r="F97" s="1" t="s">
        <v>1524</v>
      </c>
      <c r="G97" s="1" t="s">
        <v>1574</v>
      </c>
      <c r="H97" s="1" t="s">
        <v>51</v>
      </c>
      <c r="I97" s="1">
        <v>1.89</v>
      </c>
      <c r="J97" s="1" t="s">
        <v>51</v>
      </c>
      <c r="K97" s="1">
        <v>106.9</v>
      </c>
      <c r="L97" s="1">
        <v>29.926373841717702</v>
      </c>
      <c r="M97" s="1" t="s">
        <v>45</v>
      </c>
      <c r="N97" s="1" t="s">
        <v>45</v>
      </c>
      <c r="O97" s="1" t="s">
        <v>45</v>
      </c>
      <c r="P97" s="1" t="s">
        <v>45</v>
      </c>
      <c r="Q97" s="1" t="s">
        <v>45</v>
      </c>
      <c r="R97" s="1" t="s">
        <v>45</v>
      </c>
      <c r="S97" s="1" t="s">
        <v>45</v>
      </c>
      <c r="T97" s="1" t="s">
        <v>45</v>
      </c>
      <c r="U97" s="1" t="s">
        <v>45</v>
      </c>
      <c r="V97" s="1" t="s">
        <v>45</v>
      </c>
      <c r="W97" s="1" t="s">
        <v>45</v>
      </c>
      <c r="X97" s="1" t="s">
        <v>45</v>
      </c>
      <c r="Y97" s="1" t="s">
        <v>45</v>
      </c>
      <c r="Z97" s="1" t="s">
        <v>45</v>
      </c>
      <c r="AA97" s="1" t="s">
        <v>45</v>
      </c>
      <c r="AB97" s="1" t="s">
        <v>45</v>
      </c>
      <c r="AC97" s="1" t="s">
        <v>45</v>
      </c>
      <c r="AD97" s="1" t="s">
        <v>45</v>
      </c>
      <c r="AE97" s="1" t="s">
        <v>45</v>
      </c>
      <c r="AF97" s="32">
        <v>44966</v>
      </c>
      <c r="AG97" s="1">
        <v>46.706069711675497</v>
      </c>
      <c r="AH97" s="1" t="s">
        <v>1526</v>
      </c>
      <c r="AI97" s="1" t="s">
        <v>1527</v>
      </c>
      <c r="AJ97" s="1" t="s">
        <v>45</v>
      </c>
      <c r="AK97" s="1" t="s">
        <v>45</v>
      </c>
      <c r="AL97" s="1" t="s">
        <v>45</v>
      </c>
      <c r="AM97" s="1" t="s">
        <v>51</v>
      </c>
      <c r="AN97" s="1" t="s">
        <v>45</v>
      </c>
      <c r="AO97" s="1" t="s">
        <v>45</v>
      </c>
      <c r="AP97" s="1" t="s">
        <v>45</v>
      </c>
      <c r="AQ97" s="1" t="s">
        <v>45</v>
      </c>
      <c r="AR97" s="1" t="s">
        <v>45</v>
      </c>
      <c r="AT97" s="1" t="s">
        <v>1528</v>
      </c>
      <c r="AW97" s="33" t="s">
        <v>1463</v>
      </c>
      <c r="AX97" s="3" t="s">
        <v>1528</v>
      </c>
      <c r="AY97" s="3"/>
      <c r="AZ97" s="1">
        <v>4</v>
      </c>
      <c r="BB97" s="1" t="s">
        <v>1530</v>
      </c>
      <c r="BC97" s="1" t="s">
        <v>1561</v>
      </c>
      <c r="BE97" s="1" t="s">
        <v>1533</v>
      </c>
      <c r="BG97" s="1" t="s">
        <v>45</v>
      </c>
      <c r="BH97" s="1" t="s">
        <v>46</v>
      </c>
      <c r="BI97" s="1" t="s">
        <v>1535</v>
      </c>
      <c r="BJ97" s="1" t="s">
        <v>45</v>
      </c>
      <c r="BK97" s="1" t="s">
        <v>1549</v>
      </c>
      <c r="BL97" s="32">
        <v>44966</v>
      </c>
      <c r="BM97" s="1" t="s">
        <v>716</v>
      </c>
      <c r="BO97" s="1" t="s">
        <v>1537</v>
      </c>
      <c r="BP97" s="1" t="s">
        <v>1551</v>
      </c>
      <c r="BQ97" s="1" t="s">
        <v>1539</v>
      </c>
      <c r="BR97" s="1" t="s">
        <v>1580</v>
      </c>
      <c r="BS97" s="1" t="s">
        <v>1581</v>
      </c>
      <c r="BU97" s="1" t="s">
        <v>51</v>
      </c>
      <c r="BW97" s="1" t="s">
        <v>1542</v>
      </c>
      <c r="CA97" s="1" t="s">
        <v>51</v>
      </c>
      <c r="CB97" s="1" t="s">
        <v>51</v>
      </c>
      <c r="CC97" s="32">
        <v>44991</v>
      </c>
      <c r="CD97" s="1">
        <v>60</v>
      </c>
      <c r="CE97" s="1">
        <v>30</v>
      </c>
      <c r="CI97" s="1" t="s">
        <v>1860</v>
      </c>
      <c r="DH97" s="1" t="s">
        <v>45</v>
      </c>
      <c r="DM97" s="1" t="s">
        <v>45</v>
      </c>
      <c r="DO97" s="1" t="s">
        <v>45</v>
      </c>
      <c r="DQ97" s="1" t="s">
        <v>45</v>
      </c>
      <c r="DT97" s="32">
        <v>45077</v>
      </c>
      <c r="DU97" s="1" t="s">
        <v>1543</v>
      </c>
      <c r="DV97" s="1">
        <v>3.6451489268506299</v>
      </c>
    </row>
    <row r="98" spans="1:130" ht="15.75" customHeight="1" x14ac:dyDescent="0.2">
      <c r="A98" s="8" t="s">
        <v>577</v>
      </c>
      <c r="B98" s="32">
        <v>29377</v>
      </c>
      <c r="C98" s="32">
        <v>42239</v>
      </c>
      <c r="D98" s="1">
        <v>35.214959923886099</v>
      </c>
      <c r="E98" s="1" t="s">
        <v>1587</v>
      </c>
      <c r="F98" s="1" t="s">
        <v>1524</v>
      </c>
      <c r="G98" s="1" t="s">
        <v>1574</v>
      </c>
      <c r="H98" s="1" t="s">
        <v>51</v>
      </c>
      <c r="I98" s="1">
        <v>1.61</v>
      </c>
      <c r="J98" s="1" t="s">
        <v>51</v>
      </c>
      <c r="K98" s="1">
        <v>67.900000000000006</v>
      </c>
      <c r="L98" s="1">
        <v>26.194977045638598</v>
      </c>
      <c r="M98" s="1" t="s">
        <v>45</v>
      </c>
      <c r="N98" s="1" t="s">
        <v>45</v>
      </c>
      <c r="O98" s="1" t="s">
        <v>45</v>
      </c>
      <c r="P98" s="1" t="s">
        <v>45</v>
      </c>
      <c r="Q98" s="1" t="s">
        <v>45</v>
      </c>
      <c r="R98" s="1" t="s">
        <v>45</v>
      </c>
      <c r="S98" s="1" t="s">
        <v>45</v>
      </c>
      <c r="T98" s="1" t="s">
        <v>45</v>
      </c>
      <c r="U98" s="1" t="s">
        <v>45</v>
      </c>
      <c r="V98" s="1" t="s">
        <v>45</v>
      </c>
      <c r="W98" s="1" t="s">
        <v>45</v>
      </c>
      <c r="X98" s="1" t="s">
        <v>45</v>
      </c>
      <c r="Y98" s="1" t="s">
        <v>45</v>
      </c>
      <c r="Z98" s="1" t="s">
        <v>45</v>
      </c>
      <c r="AA98" s="1" t="s">
        <v>45</v>
      </c>
      <c r="AB98" s="1" t="s">
        <v>45</v>
      </c>
      <c r="AC98" s="1" t="s">
        <v>45</v>
      </c>
      <c r="AD98" s="1" t="s">
        <v>45</v>
      </c>
      <c r="AE98" s="1" t="s">
        <v>45</v>
      </c>
      <c r="AF98" s="32">
        <v>42546</v>
      </c>
      <c r="AG98" s="1">
        <v>36.055497375031599</v>
      </c>
      <c r="AH98" s="1" t="s">
        <v>1558</v>
      </c>
      <c r="AI98" s="1" t="s">
        <v>1527</v>
      </c>
      <c r="AJ98" s="1" t="s">
        <v>45</v>
      </c>
      <c r="AK98" s="1" t="s">
        <v>51</v>
      </c>
      <c r="AL98" s="1" t="s">
        <v>45</v>
      </c>
      <c r="AM98" s="1" t="s">
        <v>45</v>
      </c>
      <c r="AN98" s="1" t="s">
        <v>45</v>
      </c>
      <c r="AO98" s="1" t="s">
        <v>45</v>
      </c>
      <c r="AP98" s="1" t="s">
        <v>45</v>
      </c>
      <c r="AQ98" s="1" t="s">
        <v>45</v>
      </c>
      <c r="AR98" s="1" t="s">
        <v>45</v>
      </c>
      <c r="AT98" s="1" t="s">
        <v>1601</v>
      </c>
      <c r="AW98" s="33" t="s">
        <v>1464</v>
      </c>
      <c r="AX98" s="3"/>
      <c r="AY98" s="3" t="s">
        <v>1601</v>
      </c>
      <c r="AZ98" s="1">
        <v>2</v>
      </c>
      <c r="BB98" s="1" t="s">
        <v>1567</v>
      </c>
      <c r="BC98" s="1" t="s">
        <v>1602</v>
      </c>
      <c r="BE98" s="1" t="s">
        <v>1525</v>
      </c>
      <c r="BG98" s="1" t="s">
        <v>1525</v>
      </c>
      <c r="BH98" s="1" t="s">
        <v>1525</v>
      </c>
      <c r="BI98" s="1" t="s">
        <v>1535</v>
      </c>
      <c r="BJ98" s="1" t="s">
        <v>45</v>
      </c>
      <c r="BK98" s="1" t="s">
        <v>1549</v>
      </c>
      <c r="BL98" s="32">
        <v>42546</v>
      </c>
      <c r="BM98" s="1" t="s">
        <v>578</v>
      </c>
      <c r="BO98" s="1" t="s">
        <v>1537</v>
      </c>
      <c r="BP98" s="1" t="s">
        <v>1551</v>
      </c>
      <c r="BQ98" s="1" t="s">
        <v>1539</v>
      </c>
      <c r="BR98" s="1" t="s">
        <v>1580</v>
      </c>
      <c r="BS98" s="1" t="s">
        <v>1581</v>
      </c>
      <c r="BU98" s="1" t="s">
        <v>45</v>
      </c>
      <c r="BW98" s="1" t="s">
        <v>1542</v>
      </c>
      <c r="CA98" s="1" t="s">
        <v>45</v>
      </c>
      <c r="CB98" s="1" t="s">
        <v>45</v>
      </c>
      <c r="CJ98" s="1" t="s">
        <v>51</v>
      </c>
      <c r="CK98" s="32">
        <v>45703</v>
      </c>
      <c r="CL98" s="1" t="s">
        <v>51</v>
      </c>
      <c r="CM98" s="32">
        <v>44972</v>
      </c>
      <c r="CN98" s="1">
        <v>6.6422764784127404</v>
      </c>
      <c r="CO98" s="1" t="s">
        <v>1537</v>
      </c>
      <c r="CP98" s="1" t="s">
        <v>1796</v>
      </c>
      <c r="CQ98" s="1" t="s">
        <v>1647</v>
      </c>
      <c r="CR98" s="1" t="s">
        <v>1580</v>
      </c>
      <c r="CS98" s="1" t="s">
        <v>1581</v>
      </c>
      <c r="CT98" s="1" t="s">
        <v>1601</v>
      </c>
      <c r="CW98" s="1">
        <v>2</v>
      </c>
      <c r="CY98" s="1" t="s">
        <v>1567</v>
      </c>
      <c r="CZ98" s="1" t="s">
        <v>1602</v>
      </c>
      <c r="DB98" s="1" t="s">
        <v>1525</v>
      </c>
      <c r="DD98" s="1" t="s">
        <v>1525</v>
      </c>
      <c r="DE98" s="1" t="s">
        <v>1525</v>
      </c>
      <c r="DF98" s="1" t="s">
        <v>68</v>
      </c>
      <c r="DG98" s="1" t="s">
        <v>45</v>
      </c>
      <c r="DH98" s="1" t="s">
        <v>45</v>
      </c>
      <c r="DM98" s="1" t="s">
        <v>45</v>
      </c>
      <c r="DO98" s="1" t="s">
        <v>51</v>
      </c>
      <c r="DP98" s="1" t="s">
        <v>1861</v>
      </c>
      <c r="DQ98" s="1" t="s">
        <v>45</v>
      </c>
      <c r="DT98" s="32">
        <v>45772</v>
      </c>
      <c r="DU98" s="1" t="s">
        <v>1598</v>
      </c>
      <c r="DV98" s="1">
        <v>105.978975032851</v>
      </c>
      <c r="DW98" s="1" t="s">
        <v>45</v>
      </c>
    </row>
    <row r="99" spans="1:130" ht="15.75" customHeight="1" x14ac:dyDescent="0.2">
      <c r="A99" s="8" t="s">
        <v>720</v>
      </c>
      <c r="B99" s="32">
        <v>35727</v>
      </c>
      <c r="C99" s="32">
        <v>44816</v>
      </c>
      <c r="D99" s="1">
        <v>24.884836786518498</v>
      </c>
      <c r="E99" s="1" t="s">
        <v>1523</v>
      </c>
      <c r="F99" s="1" t="s">
        <v>1524</v>
      </c>
      <c r="G99" s="1" t="s">
        <v>1574</v>
      </c>
      <c r="H99" s="1" t="s">
        <v>51</v>
      </c>
      <c r="I99" s="1">
        <v>1.79</v>
      </c>
      <c r="J99" s="1" t="s">
        <v>51</v>
      </c>
      <c r="K99" s="1">
        <v>77</v>
      </c>
      <c r="L99" s="1">
        <v>24.031709372366599</v>
      </c>
      <c r="M99" s="1" t="s">
        <v>45</v>
      </c>
      <c r="N99" s="1" t="s">
        <v>45</v>
      </c>
      <c r="O99" s="1" t="s">
        <v>45</v>
      </c>
      <c r="P99" s="1" t="s">
        <v>45</v>
      </c>
      <c r="Q99" s="1" t="s">
        <v>45</v>
      </c>
      <c r="R99" s="1" t="s">
        <v>45</v>
      </c>
      <c r="S99" s="1" t="s">
        <v>45</v>
      </c>
      <c r="T99" s="1" t="s">
        <v>45</v>
      </c>
      <c r="U99" s="1" t="s">
        <v>45</v>
      </c>
      <c r="V99" s="1" t="s">
        <v>45</v>
      </c>
      <c r="W99" s="1" t="s">
        <v>45</v>
      </c>
      <c r="X99" s="1" t="s">
        <v>45</v>
      </c>
      <c r="Y99" s="1" t="s">
        <v>45</v>
      </c>
      <c r="Z99" s="1" t="s">
        <v>45</v>
      </c>
      <c r="AA99" s="1" t="s">
        <v>45</v>
      </c>
      <c r="AB99" s="1" t="s">
        <v>45</v>
      </c>
      <c r="AC99" s="1" t="s">
        <v>45</v>
      </c>
      <c r="AD99" s="1" t="s">
        <v>45</v>
      </c>
      <c r="AE99" s="1" t="s">
        <v>45</v>
      </c>
      <c r="AF99" s="32">
        <v>44973</v>
      </c>
      <c r="AG99" s="1">
        <v>25.314802266074299</v>
      </c>
      <c r="AH99" s="1" t="s">
        <v>1558</v>
      </c>
      <c r="AI99" s="1" t="s">
        <v>1527</v>
      </c>
      <c r="AJ99" s="1" t="s">
        <v>45</v>
      </c>
      <c r="AK99" s="1" t="s">
        <v>45</v>
      </c>
      <c r="AL99" s="1" t="s">
        <v>45</v>
      </c>
      <c r="AM99" s="1" t="s">
        <v>51</v>
      </c>
      <c r="AN99" s="1" t="s">
        <v>45</v>
      </c>
      <c r="AO99" s="1" t="s">
        <v>45</v>
      </c>
      <c r="AP99" s="1" t="s">
        <v>45</v>
      </c>
      <c r="AQ99" s="1" t="s">
        <v>45</v>
      </c>
      <c r="AR99" s="1" t="s">
        <v>45</v>
      </c>
      <c r="AT99" s="1" t="s">
        <v>1560</v>
      </c>
      <c r="AW99" s="33" t="s">
        <v>1464</v>
      </c>
      <c r="AX99" s="3"/>
      <c r="AY99" s="3" t="s">
        <v>1560</v>
      </c>
      <c r="AZ99" s="1">
        <v>2</v>
      </c>
      <c r="BB99" s="1" t="s">
        <v>1567</v>
      </c>
      <c r="BC99" s="1" t="s">
        <v>1531</v>
      </c>
      <c r="BE99" s="1" t="s">
        <v>1533</v>
      </c>
      <c r="BG99" s="1" t="s">
        <v>45</v>
      </c>
      <c r="BH99" s="1" t="s">
        <v>46</v>
      </c>
      <c r="BI99" s="1" t="s">
        <v>1599</v>
      </c>
      <c r="BJ99" s="1" t="s">
        <v>45</v>
      </c>
      <c r="BK99" s="1" t="s">
        <v>1549</v>
      </c>
      <c r="BL99" s="32">
        <v>44973</v>
      </c>
      <c r="BM99" s="1" t="s">
        <v>721</v>
      </c>
      <c r="BO99" s="1" t="s">
        <v>1537</v>
      </c>
      <c r="BP99" s="1" t="s">
        <v>1551</v>
      </c>
      <c r="BQ99" s="1" t="s">
        <v>1647</v>
      </c>
      <c r="BR99" s="1" t="s">
        <v>1580</v>
      </c>
      <c r="BS99" s="1" t="s">
        <v>1581</v>
      </c>
      <c r="BU99" s="1" t="s">
        <v>45</v>
      </c>
      <c r="BW99" s="1" t="s">
        <v>1542</v>
      </c>
      <c r="CA99" s="1" t="s">
        <v>45</v>
      </c>
      <c r="CB99" s="1" t="s">
        <v>45</v>
      </c>
      <c r="CI99" s="1" t="s">
        <v>1862</v>
      </c>
      <c r="DH99" s="1" t="s">
        <v>45</v>
      </c>
      <c r="DM99" s="1" t="s">
        <v>45</v>
      </c>
      <c r="DO99" s="1" t="s">
        <v>45</v>
      </c>
      <c r="DQ99" s="1" t="s">
        <v>45</v>
      </c>
      <c r="DS99" s="1" t="s">
        <v>1863</v>
      </c>
      <c r="DT99" s="32">
        <v>44993</v>
      </c>
      <c r="DU99" s="1" t="s">
        <v>1556</v>
      </c>
      <c r="DV99" s="1">
        <v>0.65703022339027595</v>
      </c>
      <c r="DW99" s="1" t="s">
        <v>45</v>
      </c>
    </row>
    <row r="100" spans="1:130" ht="15.75" customHeight="1" x14ac:dyDescent="0.2">
      <c r="A100" s="8" t="s">
        <v>725</v>
      </c>
      <c r="B100" s="32">
        <v>33255</v>
      </c>
      <c r="C100" s="32">
        <v>44887</v>
      </c>
      <c r="D100" s="1">
        <v>31.8473343052903</v>
      </c>
      <c r="E100" s="1" t="s">
        <v>1523</v>
      </c>
      <c r="F100" s="1" t="s">
        <v>1578</v>
      </c>
      <c r="G100" s="1" t="s">
        <v>1574</v>
      </c>
      <c r="H100" s="1" t="s">
        <v>51</v>
      </c>
      <c r="I100" s="1">
        <v>1.72</v>
      </c>
      <c r="J100" s="1" t="s">
        <v>51</v>
      </c>
      <c r="K100" s="1">
        <v>71.8</v>
      </c>
      <c r="L100" s="1">
        <v>24.269875608436902</v>
      </c>
      <c r="M100" s="1" t="s">
        <v>45</v>
      </c>
      <c r="N100" s="1" t="s">
        <v>45</v>
      </c>
      <c r="O100" s="1" t="s">
        <v>45</v>
      </c>
      <c r="P100" s="1" t="s">
        <v>45</v>
      </c>
      <c r="Q100" s="1" t="s">
        <v>45</v>
      </c>
      <c r="R100" s="1" t="s">
        <v>45</v>
      </c>
      <c r="S100" s="1" t="s">
        <v>45</v>
      </c>
      <c r="T100" s="1" t="s">
        <v>45</v>
      </c>
      <c r="U100" s="1" t="s">
        <v>45</v>
      </c>
      <c r="V100" s="1" t="s">
        <v>45</v>
      </c>
      <c r="W100" s="1" t="s">
        <v>45</v>
      </c>
      <c r="X100" s="1" t="s">
        <v>45</v>
      </c>
      <c r="Y100" s="1" t="s">
        <v>45</v>
      </c>
      <c r="Z100" s="1" t="s">
        <v>45</v>
      </c>
      <c r="AA100" s="1" t="s">
        <v>45</v>
      </c>
      <c r="AB100" s="1" t="s">
        <v>45</v>
      </c>
      <c r="AC100" s="1" t="s">
        <v>45</v>
      </c>
      <c r="AD100" s="1" t="s">
        <v>45</v>
      </c>
      <c r="AE100" s="1" t="s">
        <v>45</v>
      </c>
      <c r="AF100" s="32">
        <v>44963</v>
      </c>
      <c r="AG100" s="1">
        <v>32.0554152378214</v>
      </c>
      <c r="AH100" s="1" t="s">
        <v>1526</v>
      </c>
      <c r="AI100" s="1" t="s">
        <v>1527</v>
      </c>
      <c r="AJ100" s="1" t="s">
        <v>45</v>
      </c>
      <c r="AK100" s="1" t="s">
        <v>51</v>
      </c>
      <c r="AL100" s="1" t="s">
        <v>45</v>
      </c>
      <c r="AM100" s="1" t="s">
        <v>45</v>
      </c>
      <c r="AN100" s="1" t="s">
        <v>45</v>
      </c>
      <c r="AO100" s="1" t="s">
        <v>45</v>
      </c>
      <c r="AP100" s="1" t="s">
        <v>45</v>
      </c>
      <c r="AQ100" s="1" t="s">
        <v>45</v>
      </c>
      <c r="AR100" s="1" t="s">
        <v>45</v>
      </c>
      <c r="AT100" s="1" t="s">
        <v>1560</v>
      </c>
      <c r="AW100" s="33" t="s">
        <v>1463</v>
      </c>
      <c r="AX100" s="3" t="s">
        <v>1560</v>
      </c>
      <c r="AY100" s="3"/>
      <c r="AZ100" s="1">
        <v>4</v>
      </c>
      <c r="BB100" s="1" t="s">
        <v>1567</v>
      </c>
      <c r="BC100" s="1" t="s">
        <v>1531</v>
      </c>
      <c r="BE100" s="1" t="s">
        <v>1603</v>
      </c>
      <c r="BG100" s="1" t="s">
        <v>45</v>
      </c>
      <c r="BH100" s="1" t="s">
        <v>46</v>
      </c>
      <c r="BI100" s="1" t="s">
        <v>1599</v>
      </c>
      <c r="BJ100" s="1" t="s">
        <v>51</v>
      </c>
      <c r="BK100" s="1" t="s">
        <v>1549</v>
      </c>
      <c r="BL100" s="32">
        <v>44963</v>
      </c>
      <c r="BM100" s="1" t="s">
        <v>726</v>
      </c>
      <c r="BO100" s="1" t="s">
        <v>1537</v>
      </c>
      <c r="BP100" s="1" t="s">
        <v>1551</v>
      </c>
      <c r="BQ100" s="1" t="s">
        <v>1539</v>
      </c>
      <c r="BR100" s="1" t="s">
        <v>1589</v>
      </c>
      <c r="BS100" s="1" t="s">
        <v>1640</v>
      </c>
      <c r="BU100" s="1" t="s">
        <v>51</v>
      </c>
      <c r="BW100" s="1" t="s">
        <v>1563</v>
      </c>
      <c r="BX100" s="32">
        <v>45100</v>
      </c>
      <c r="BY100" s="1">
        <v>12</v>
      </c>
      <c r="BZ100" s="1" t="s">
        <v>1591</v>
      </c>
      <c r="CA100" s="1" t="s">
        <v>51</v>
      </c>
      <c r="CB100" s="1" t="s">
        <v>51</v>
      </c>
      <c r="CC100" s="32">
        <v>45020</v>
      </c>
      <c r="CD100" s="1">
        <v>60</v>
      </c>
      <c r="CE100" s="1">
        <v>30</v>
      </c>
      <c r="CJ100" s="1" t="s">
        <v>45</v>
      </c>
      <c r="DH100" s="1" t="s">
        <v>45</v>
      </c>
      <c r="DM100" s="1" t="s">
        <v>45</v>
      </c>
      <c r="DO100" s="1" t="s">
        <v>45</v>
      </c>
      <c r="DQ100" s="1" t="s">
        <v>45</v>
      </c>
      <c r="DT100" s="32">
        <v>45750</v>
      </c>
      <c r="DU100" s="1" t="s">
        <v>1598</v>
      </c>
      <c r="DV100" s="1">
        <v>25.852770477441901</v>
      </c>
      <c r="DW100" s="1" t="s">
        <v>45</v>
      </c>
    </row>
    <row r="101" spans="1:130" ht="15.75" customHeight="1" x14ac:dyDescent="0.2">
      <c r="A101" s="8" t="s">
        <v>732</v>
      </c>
      <c r="B101" s="32">
        <v>27400</v>
      </c>
      <c r="C101" s="32">
        <v>44888</v>
      </c>
      <c r="D101" s="1">
        <v>47.880517738214998</v>
      </c>
      <c r="E101" s="1" t="s">
        <v>1587</v>
      </c>
      <c r="F101" s="1" t="s">
        <v>1578</v>
      </c>
      <c r="G101" s="1" t="s">
        <v>1574</v>
      </c>
      <c r="H101" s="1" t="s">
        <v>51</v>
      </c>
      <c r="I101" s="1">
        <v>1.61</v>
      </c>
      <c r="J101" s="1" t="s">
        <v>51</v>
      </c>
      <c r="K101" s="1">
        <v>68</v>
      </c>
      <c r="L101" s="1">
        <v>26.233555804174198</v>
      </c>
      <c r="M101" s="1" t="s">
        <v>45</v>
      </c>
      <c r="N101" s="1" t="s">
        <v>45</v>
      </c>
      <c r="O101" s="1" t="s">
        <v>45</v>
      </c>
      <c r="P101" s="1" t="s">
        <v>45</v>
      </c>
      <c r="Q101" s="1" t="s">
        <v>45</v>
      </c>
      <c r="R101" s="1" t="s">
        <v>45</v>
      </c>
      <c r="S101" s="1" t="s">
        <v>45</v>
      </c>
      <c r="T101" s="1" t="s">
        <v>45</v>
      </c>
      <c r="U101" s="1" t="s">
        <v>45</v>
      </c>
      <c r="V101" s="1" t="s">
        <v>45</v>
      </c>
      <c r="W101" s="1" t="s">
        <v>45</v>
      </c>
      <c r="X101" s="1" t="s">
        <v>45</v>
      </c>
      <c r="Y101" s="1" t="s">
        <v>45</v>
      </c>
      <c r="Z101" s="1" t="s">
        <v>45</v>
      </c>
      <c r="AA101" s="1" t="s">
        <v>45</v>
      </c>
      <c r="AB101" s="1" t="s">
        <v>45</v>
      </c>
      <c r="AC101" s="1" t="s">
        <v>45</v>
      </c>
      <c r="AD101" s="1" t="s">
        <v>45</v>
      </c>
      <c r="AE101" s="1" t="s">
        <v>45</v>
      </c>
      <c r="AF101" s="32">
        <v>44978</v>
      </c>
      <c r="AG101" s="1">
        <v>48.126929368843903</v>
      </c>
      <c r="AH101" s="1" t="s">
        <v>1526</v>
      </c>
      <c r="AI101" s="1" t="s">
        <v>1527</v>
      </c>
      <c r="AJ101" s="1" t="s">
        <v>45</v>
      </c>
      <c r="AK101" s="1" t="s">
        <v>45</v>
      </c>
      <c r="AL101" s="1" t="s">
        <v>45</v>
      </c>
      <c r="AM101" s="1" t="s">
        <v>51</v>
      </c>
      <c r="AN101" s="1" t="s">
        <v>45</v>
      </c>
      <c r="AO101" s="1" t="s">
        <v>45</v>
      </c>
      <c r="AP101" s="1" t="s">
        <v>45</v>
      </c>
      <c r="AQ101" s="1" t="s">
        <v>45</v>
      </c>
      <c r="AR101" s="1" t="s">
        <v>45</v>
      </c>
      <c r="AT101" s="1" t="s">
        <v>1528</v>
      </c>
      <c r="AW101" s="33" t="s">
        <v>1463</v>
      </c>
      <c r="AX101" s="3" t="s">
        <v>1528</v>
      </c>
      <c r="AY101" s="3"/>
      <c r="AZ101" s="1">
        <v>4</v>
      </c>
      <c r="BB101" s="1" t="s">
        <v>1530</v>
      </c>
      <c r="BE101" s="1" t="s">
        <v>1533</v>
      </c>
      <c r="BG101" s="1" t="s">
        <v>1525</v>
      </c>
      <c r="BH101" s="1" t="s">
        <v>46</v>
      </c>
      <c r="BI101" s="1" t="s">
        <v>1535</v>
      </c>
      <c r="BJ101" s="1" t="s">
        <v>45</v>
      </c>
      <c r="BK101" s="1" t="s">
        <v>1549</v>
      </c>
      <c r="BL101" s="32">
        <v>44978</v>
      </c>
      <c r="BM101" s="1" t="s">
        <v>733</v>
      </c>
      <c r="BO101" s="1" t="s">
        <v>1853</v>
      </c>
      <c r="BP101" s="1" t="s">
        <v>1551</v>
      </c>
      <c r="BQ101" s="1" t="s">
        <v>1605</v>
      </c>
      <c r="BR101" s="1" t="s">
        <v>1580</v>
      </c>
      <c r="BS101" s="1" t="s">
        <v>1581</v>
      </c>
      <c r="BU101" s="1" t="s">
        <v>51</v>
      </c>
      <c r="BW101" s="1" t="s">
        <v>1542</v>
      </c>
      <c r="CA101" s="1" t="s">
        <v>51</v>
      </c>
      <c r="CB101" s="1" t="s">
        <v>51</v>
      </c>
      <c r="CC101" s="32">
        <v>45013</v>
      </c>
      <c r="CD101" s="1">
        <v>40</v>
      </c>
      <c r="CE101" s="1">
        <v>15</v>
      </c>
      <c r="CI101" s="1" t="s">
        <v>1864</v>
      </c>
      <c r="CJ101" s="1" t="s">
        <v>45</v>
      </c>
      <c r="DH101" s="1" t="s">
        <v>45</v>
      </c>
      <c r="DM101" s="1" t="s">
        <v>45</v>
      </c>
      <c r="DO101" s="1" t="s">
        <v>45</v>
      </c>
      <c r="DQ101" s="1" t="s">
        <v>45</v>
      </c>
      <c r="DT101" s="32">
        <v>45119</v>
      </c>
      <c r="DU101" s="1" t="s">
        <v>1543</v>
      </c>
      <c r="DV101" s="1">
        <v>4.6306942619360401</v>
      </c>
      <c r="DW101" s="1" t="s">
        <v>45</v>
      </c>
    </row>
    <row r="102" spans="1:130" ht="15.75" customHeight="1" x14ac:dyDescent="0.2">
      <c r="A102" s="8" t="s">
        <v>734</v>
      </c>
      <c r="B102" s="32">
        <v>19521</v>
      </c>
      <c r="C102" s="32">
        <v>44327</v>
      </c>
      <c r="D102" s="1">
        <v>67.916521215356894</v>
      </c>
      <c r="E102" s="1" t="s">
        <v>1587</v>
      </c>
      <c r="F102" s="1" t="s">
        <v>1524</v>
      </c>
      <c r="G102" s="1" t="s">
        <v>1686</v>
      </c>
      <c r="H102" s="1" t="s">
        <v>51</v>
      </c>
      <c r="I102" s="1">
        <v>1.59</v>
      </c>
      <c r="J102" s="1" t="s">
        <v>51</v>
      </c>
      <c r="K102" s="1">
        <v>76.5</v>
      </c>
      <c r="L102" s="1">
        <v>30.259878960484102</v>
      </c>
      <c r="M102" s="1" t="s">
        <v>45</v>
      </c>
      <c r="N102" s="1" t="s">
        <v>45</v>
      </c>
      <c r="O102" s="1" t="s">
        <v>51</v>
      </c>
      <c r="P102" s="1" t="s">
        <v>45</v>
      </c>
      <c r="Q102" s="1" t="s">
        <v>45</v>
      </c>
      <c r="R102" s="1" t="s">
        <v>51</v>
      </c>
      <c r="S102" s="1" t="s">
        <v>45</v>
      </c>
      <c r="T102" s="1" t="s">
        <v>45</v>
      </c>
      <c r="U102" s="1" t="s">
        <v>45</v>
      </c>
      <c r="V102" s="1" t="s">
        <v>45</v>
      </c>
      <c r="W102" s="1" t="s">
        <v>45</v>
      </c>
      <c r="X102" s="1" t="s">
        <v>45</v>
      </c>
      <c r="Y102" s="1" t="s">
        <v>45</v>
      </c>
      <c r="Z102" s="1" t="s">
        <v>45</v>
      </c>
      <c r="AA102" s="1" t="s">
        <v>45</v>
      </c>
      <c r="AB102" s="1" t="s">
        <v>45</v>
      </c>
      <c r="AC102" s="1" t="s">
        <v>45</v>
      </c>
      <c r="AD102" s="1" t="s">
        <v>45</v>
      </c>
      <c r="AE102" s="1" t="s">
        <v>45</v>
      </c>
      <c r="AF102" s="32">
        <v>44981</v>
      </c>
      <c r="AG102" s="1">
        <v>69.707226477386001</v>
      </c>
      <c r="AH102" s="1" t="s">
        <v>1526</v>
      </c>
      <c r="AI102" s="1" t="s">
        <v>1527</v>
      </c>
      <c r="AJ102" s="1" t="s">
        <v>45</v>
      </c>
      <c r="AK102" s="1" t="s">
        <v>45</v>
      </c>
      <c r="AL102" s="1" t="s">
        <v>45</v>
      </c>
      <c r="AM102" s="1" t="s">
        <v>51</v>
      </c>
      <c r="AN102" s="1" t="s">
        <v>45</v>
      </c>
      <c r="AO102" s="1" t="s">
        <v>45</v>
      </c>
      <c r="AP102" s="1" t="s">
        <v>45</v>
      </c>
      <c r="AQ102" s="1" t="s">
        <v>45</v>
      </c>
      <c r="AR102" s="1" t="s">
        <v>45</v>
      </c>
      <c r="AT102" s="1" t="s">
        <v>1528</v>
      </c>
      <c r="AW102" s="33" t="s">
        <v>1463</v>
      </c>
      <c r="AX102" s="3" t="s">
        <v>1528</v>
      </c>
      <c r="AY102" s="3"/>
      <c r="AZ102" s="1">
        <v>4</v>
      </c>
      <c r="BB102" s="1" t="s">
        <v>1530</v>
      </c>
      <c r="BE102" s="1" t="s">
        <v>1533</v>
      </c>
      <c r="BG102" s="1" t="s">
        <v>1525</v>
      </c>
      <c r="BH102" s="1" t="s">
        <v>46</v>
      </c>
      <c r="BI102" s="1" t="s">
        <v>1535</v>
      </c>
      <c r="BJ102" s="1" t="s">
        <v>45</v>
      </c>
      <c r="BK102" s="1" t="s">
        <v>1549</v>
      </c>
      <c r="BL102" s="32">
        <v>44981</v>
      </c>
      <c r="BM102" s="1" t="s">
        <v>735</v>
      </c>
      <c r="BO102" s="1" t="s">
        <v>1853</v>
      </c>
      <c r="BP102" s="1" t="s">
        <v>1551</v>
      </c>
      <c r="BQ102" s="1" t="s">
        <v>1605</v>
      </c>
      <c r="BR102" s="1" t="s">
        <v>1589</v>
      </c>
      <c r="BS102" s="1" t="s">
        <v>1865</v>
      </c>
      <c r="BU102" s="1" t="s">
        <v>51</v>
      </c>
      <c r="BW102" s="1" t="s">
        <v>1563</v>
      </c>
      <c r="BX102" s="32">
        <v>45098</v>
      </c>
      <c r="BY102" s="1">
        <v>11</v>
      </c>
      <c r="BZ102" s="1" t="s">
        <v>1866</v>
      </c>
      <c r="CA102" s="1" t="s">
        <v>51</v>
      </c>
      <c r="CB102" s="1" t="s">
        <v>51</v>
      </c>
      <c r="CC102" s="32">
        <v>45021</v>
      </c>
      <c r="CD102" s="1">
        <v>60</v>
      </c>
      <c r="CE102" s="1">
        <v>30</v>
      </c>
      <c r="CI102" s="1" t="s">
        <v>1867</v>
      </c>
      <c r="CJ102" s="1" t="s">
        <v>51</v>
      </c>
      <c r="CK102" s="32">
        <v>45567</v>
      </c>
      <c r="CL102" s="1" t="s">
        <v>45</v>
      </c>
      <c r="DH102" s="1" t="s">
        <v>51</v>
      </c>
      <c r="DI102" s="1" t="s">
        <v>1868</v>
      </c>
      <c r="DJ102" s="32">
        <v>45567</v>
      </c>
      <c r="DK102" s="1" t="s">
        <v>1569</v>
      </c>
      <c r="DM102" s="1" t="s">
        <v>45</v>
      </c>
      <c r="DO102" s="1" t="s">
        <v>45</v>
      </c>
      <c r="DQ102" s="1" t="s">
        <v>45</v>
      </c>
      <c r="DS102" s="1" t="s">
        <v>1869</v>
      </c>
      <c r="DT102" s="32">
        <v>45777</v>
      </c>
      <c r="DU102" s="1" t="s">
        <v>1598</v>
      </c>
      <c r="DV102" s="1">
        <v>26.148434077967501</v>
      </c>
      <c r="DW102" s="1" t="s">
        <v>45</v>
      </c>
    </row>
    <row r="103" spans="1:130" ht="15.75" customHeight="1" x14ac:dyDescent="0.2">
      <c r="A103" s="8" t="s">
        <v>737</v>
      </c>
      <c r="B103" s="32">
        <v>22583</v>
      </c>
      <c r="C103" s="32">
        <v>39203</v>
      </c>
      <c r="D103" s="1">
        <v>45.504014456148902</v>
      </c>
      <c r="E103" s="1" t="s">
        <v>1523</v>
      </c>
      <c r="F103" s="1" t="s">
        <v>1524</v>
      </c>
      <c r="G103" s="1" t="s">
        <v>1574</v>
      </c>
      <c r="H103" s="1" t="s">
        <v>51</v>
      </c>
      <c r="I103" s="1">
        <v>1.78</v>
      </c>
      <c r="J103" s="1" t="s">
        <v>51</v>
      </c>
      <c r="K103" s="1">
        <v>85.1</v>
      </c>
      <c r="L103" s="1">
        <v>26.858982451710599</v>
      </c>
      <c r="M103" s="1" t="s">
        <v>45</v>
      </c>
      <c r="N103" s="1" t="s">
        <v>45</v>
      </c>
      <c r="O103" s="1" t="s">
        <v>45</v>
      </c>
      <c r="P103" s="1" t="s">
        <v>45</v>
      </c>
      <c r="Q103" s="1" t="s">
        <v>45</v>
      </c>
      <c r="R103" s="1" t="s">
        <v>45</v>
      </c>
      <c r="S103" s="1" t="s">
        <v>45</v>
      </c>
      <c r="T103" s="1" t="s">
        <v>45</v>
      </c>
      <c r="U103" s="1" t="s">
        <v>45</v>
      </c>
      <c r="V103" s="1" t="s">
        <v>45</v>
      </c>
      <c r="W103" s="1" t="s">
        <v>45</v>
      </c>
      <c r="X103" s="1" t="s">
        <v>45</v>
      </c>
      <c r="Y103" s="1" t="s">
        <v>45</v>
      </c>
      <c r="Z103" s="1" t="s">
        <v>45</v>
      </c>
      <c r="AA103" s="1" t="s">
        <v>45</v>
      </c>
      <c r="AB103" s="1" t="s">
        <v>45</v>
      </c>
      <c r="AC103" s="1" t="s">
        <v>45</v>
      </c>
      <c r="AD103" s="1" t="s">
        <v>45</v>
      </c>
      <c r="AE103" s="1" t="s">
        <v>45</v>
      </c>
      <c r="AF103" s="32">
        <v>39203</v>
      </c>
      <c r="AG103" s="1">
        <v>45.504014456148902</v>
      </c>
      <c r="AH103" s="1" t="s">
        <v>1558</v>
      </c>
      <c r="AI103" s="1" t="s">
        <v>1527</v>
      </c>
      <c r="AJ103" s="1" t="s">
        <v>45</v>
      </c>
      <c r="AK103" s="1" t="s">
        <v>51</v>
      </c>
      <c r="AL103" s="1" t="s">
        <v>45</v>
      </c>
      <c r="AM103" s="1" t="s">
        <v>45</v>
      </c>
      <c r="AN103" s="1" t="s">
        <v>45</v>
      </c>
      <c r="AO103" s="1" t="s">
        <v>45</v>
      </c>
      <c r="AP103" s="1" t="s">
        <v>45</v>
      </c>
      <c r="AQ103" s="1" t="s">
        <v>45</v>
      </c>
      <c r="AR103" s="1" t="s">
        <v>45</v>
      </c>
      <c r="AT103" s="1" t="s">
        <v>1601</v>
      </c>
      <c r="AW103" s="33" t="s">
        <v>1463</v>
      </c>
      <c r="AX103" s="3" t="s">
        <v>1601</v>
      </c>
      <c r="AY103" s="3"/>
      <c r="AZ103" s="1">
        <v>3</v>
      </c>
      <c r="BB103" s="1" t="s">
        <v>1567</v>
      </c>
      <c r="BC103" s="1" t="s">
        <v>1602</v>
      </c>
      <c r="BE103" s="1" t="s">
        <v>1603</v>
      </c>
      <c r="BG103" s="1" t="s">
        <v>51</v>
      </c>
      <c r="BH103" s="1" t="s">
        <v>46</v>
      </c>
      <c r="BI103" s="1" t="s">
        <v>1535</v>
      </c>
      <c r="BJ103" s="1" t="s">
        <v>1525</v>
      </c>
      <c r="BK103" s="1" t="s">
        <v>1549</v>
      </c>
      <c r="BL103" s="32">
        <v>39203</v>
      </c>
      <c r="BM103" s="1" t="s">
        <v>738</v>
      </c>
      <c r="BO103" s="1" t="s">
        <v>1537</v>
      </c>
      <c r="BP103" s="1" t="s">
        <v>1551</v>
      </c>
      <c r="BQ103" s="1" t="s">
        <v>1539</v>
      </c>
      <c r="BR103" s="1" t="s">
        <v>1580</v>
      </c>
      <c r="BS103" s="1" t="s">
        <v>1581</v>
      </c>
      <c r="BU103" s="1" t="s">
        <v>1525</v>
      </c>
      <c r="BW103" s="1" t="s">
        <v>1542</v>
      </c>
      <c r="CA103" s="1" t="s">
        <v>45</v>
      </c>
      <c r="CB103" s="1" t="s">
        <v>45</v>
      </c>
      <c r="CI103" s="1" t="s">
        <v>1870</v>
      </c>
      <c r="CJ103" s="1" t="s">
        <v>51</v>
      </c>
      <c r="CK103" s="32">
        <v>43264</v>
      </c>
      <c r="CL103" s="1" t="s">
        <v>45</v>
      </c>
      <c r="DH103" s="1" t="s">
        <v>51</v>
      </c>
      <c r="DI103" s="1" t="s">
        <v>1871</v>
      </c>
      <c r="DJ103" s="32">
        <v>43264</v>
      </c>
      <c r="DK103" s="1" t="s">
        <v>1583</v>
      </c>
      <c r="DL103" s="1" t="s">
        <v>1872</v>
      </c>
      <c r="DM103" s="1" t="s">
        <v>45</v>
      </c>
      <c r="DO103" s="1" t="s">
        <v>51</v>
      </c>
      <c r="DP103" s="1" t="s">
        <v>1873</v>
      </c>
      <c r="DQ103" s="1" t="s">
        <v>51</v>
      </c>
      <c r="DR103" s="1" t="s">
        <v>1874</v>
      </c>
      <c r="DT103" s="32">
        <v>45631</v>
      </c>
      <c r="DU103" s="1" t="s">
        <v>1543</v>
      </c>
      <c r="DV103" s="1">
        <v>211.17088261059999</v>
      </c>
      <c r="DW103" s="1" t="s">
        <v>45</v>
      </c>
    </row>
    <row r="104" spans="1:130" ht="15.75" customHeight="1" x14ac:dyDescent="0.2">
      <c r="A104" s="8" t="s">
        <v>747</v>
      </c>
      <c r="B104" s="32">
        <v>23487</v>
      </c>
      <c r="C104" s="32">
        <v>44990</v>
      </c>
      <c r="D104" s="1">
        <v>58.873214371273797</v>
      </c>
      <c r="E104" s="1" t="s">
        <v>1523</v>
      </c>
      <c r="F104" s="1" t="s">
        <v>1524</v>
      </c>
      <c r="G104" s="1" t="s">
        <v>1574</v>
      </c>
      <c r="H104" s="1" t="s">
        <v>51</v>
      </c>
      <c r="I104" s="1">
        <v>1.72</v>
      </c>
      <c r="J104" s="1" t="s">
        <v>51</v>
      </c>
      <c r="K104" s="1">
        <v>74.8</v>
      </c>
      <c r="L104" s="1">
        <v>25.283937263385599</v>
      </c>
      <c r="M104" s="1" t="s">
        <v>45</v>
      </c>
      <c r="N104" s="1" t="s">
        <v>45</v>
      </c>
      <c r="O104" s="1" t="s">
        <v>45</v>
      </c>
      <c r="P104" s="1" t="s">
        <v>45</v>
      </c>
      <c r="Q104" s="1" t="s">
        <v>45</v>
      </c>
      <c r="R104" s="1" t="s">
        <v>45</v>
      </c>
      <c r="S104" s="1" t="s">
        <v>45</v>
      </c>
      <c r="T104" s="1" t="s">
        <v>45</v>
      </c>
      <c r="U104" s="1" t="s">
        <v>45</v>
      </c>
      <c r="V104" s="1" t="s">
        <v>45</v>
      </c>
      <c r="W104" s="1" t="s">
        <v>45</v>
      </c>
      <c r="X104" s="1" t="s">
        <v>45</v>
      </c>
      <c r="Y104" s="1" t="s">
        <v>45</v>
      </c>
      <c r="Z104" s="1" t="s">
        <v>45</v>
      </c>
      <c r="AA104" s="1" t="s">
        <v>45</v>
      </c>
      <c r="AB104" s="1" t="s">
        <v>45</v>
      </c>
      <c r="AC104" s="1" t="s">
        <v>45</v>
      </c>
      <c r="AD104" s="1" t="s">
        <v>45</v>
      </c>
      <c r="AE104" s="1" t="s">
        <v>45</v>
      </c>
      <c r="AF104" s="32">
        <v>44991</v>
      </c>
      <c r="AG104" s="1">
        <v>58.875952278280799</v>
      </c>
      <c r="AH104" s="1" t="s">
        <v>1526</v>
      </c>
      <c r="AI104" s="1" t="s">
        <v>1527</v>
      </c>
      <c r="AJ104" s="1" t="s">
        <v>45</v>
      </c>
      <c r="AK104" s="1" t="s">
        <v>51</v>
      </c>
      <c r="AL104" s="1" t="s">
        <v>45</v>
      </c>
      <c r="AM104" s="1" t="s">
        <v>45</v>
      </c>
      <c r="AN104" s="1" t="s">
        <v>45</v>
      </c>
      <c r="AO104" s="1" t="s">
        <v>45</v>
      </c>
      <c r="AP104" s="1" t="s">
        <v>45</v>
      </c>
      <c r="AQ104" s="1" t="s">
        <v>45</v>
      </c>
      <c r="AR104" s="1" t="s">
        <v>45</v>
      </c>
      <c r="AT104" s="1" t="s">
        <v>1528</v>
      </c>
      <c r="AW104" s="33" t="s">
        <v>1463</v>
      </c>
      <c r="AX104" s="3" t="s">
        <v>1528</v>
      </c>
      <c r="AY104" s="3"/>
      <c r="AZ104" s="1">
        <v>4</v>
      </c>
      <c r="BB104" s="1" t="s">
        <v>1530</v>
      </c>
      <c r="BE104" s="1" t="s">
        <v>1525</v>
      </c>
      <c r="BG104" s="1" t="s">
        <v>1525</v>
      </c>
      <c r="BH104" s="1" t="s">
        <v>46</v>
      </c>
      <c r="BI104" s="1" t="s">
        <v>1535</v>
      </c>
      <c r="BJ104" s="1" t="s">
        <v>45</v>
      </c>
      <c r="BK104" s="1" t="s">
        <v>1549</v>
      </c>
      <c r="BL104" s="32">
        <v>44991</v>
      </c>
      <c r="BM104" s="1" t="s">
        <v>748</v>
      </c>
      <c r="BO104" s="1" t="s">
        <v>1537</v>
      </c>
      <c r="BP104" s="1" t="s">
        <v>1551</v>
      </c>
      <c r="BQ104" s="1" t="s">
        <v>1605</v>
      </c>
      <c r="BR104" s="1" t="s">
        <v>1589</v>
      </c>
      <c r="BS104" s="1" t="s">
        <v>1581</v>
      </c>
      <c r="BU104" s="1" t="s">
        <v>51</v>
      </c>
      <c r="BW104" s="1" t="s">
        <v>1563</v>
      </c>
      <c r="BX104" s="32">
        <v>45091</v>
      </c>
      <c r="BY104" s="1">
        <v>4</v>
      </c>
      <c r="BZ104" s="1" t="s">
        <v>1875</v>
      </c>
      <c r="CA104" s="1" t="s">
        <v>51</v>
      </c>
      <c r="CB104" s="1" t="s">
        <v>51</v>
      </c>
      <c r="CC104" s="32">
        <v>45014</v>
      </c>
      <c r="CD104" s="1">
        <v>60</v>
      </c>
      <c r="CE104" s="1">
        <v>30</v>
      </c>
      <c r="DH104" s="1" t="s">
        <v>45</v>
      </c>
      <c r="DM104" s="1" t="s">
        <v>45</v>
      </c>
      <c r="DO104" s="1" t="s">
        <v>45</v>
      </c>
      <c r="DQ104" s="1" t="s">
        <v>45</v>
      </c>
      <c r="DS104" s="1" t="s">
        <v>1876</v>
      </c>
      <c r="DT104" s="32">
        <v>45203</v>
      </c>
      <c r="DU104" s="1" t="s">
        <v>1556</v>
      </c>
      <c r="DV104" s="1">
        <v>6.9631515549715202</v>
      </c>
      <c r="DW104" s="1" t="s">
        <v>45</v>
      </c>
    </row>
    <row r="105" spans="1:130" ht="15.75" customHeight="1" x14ac:dyDescent="0.2">
      <c r="A105" s="8" t="s">
        <v>580</v>
      </c>
      <c r="B105" s="32">
        <v>30543</v>
      </c>
      <c r="C105" s="32">
        <v>44985</v>
      </c>
      <c r="D105" s="1">
        <v>39.5409670743866</v>
      </c>
      <c r="E105" s="1" t="s">
        <v>1587</v>
      </c>
      <c r="F105" s="1" t="s">
        <v>1524</v>
      </c>
      <c r="G105" s="1" t="s">
        <v>1545</v>
      </c>
      <c r="H105" s="1" t="s">
        <v>51</v>
      </c>
      <c r="I105" s="1">
        <v>1.68</v>
      </c>
      <c r="J105" s="1" t="s">
        <v>51</v>
      </c>
      <c r="K105" s="1">
        <v>70</v>
      </c>
      <c r="L105" s="1">
        <v>24.801587301587301</v>
      </c>
      <c r="M105" s="1" t="s">
        <v>45</v>
      </c>
      <c r="N105" s="1" t="s">
        <v>45</v>
      </c>
      <c r="O105" s="1" t="s">
        <v>45</v>
      </c>
      <c r="P105" s="1" t="s">
        <v>45</v>
      </c>
      <c r="Q105" s="1" t="s">
        <v>45</v>
      </c>
      <c r="R105" s="1" t="s">
        <v>45</v>
      </c>
      <c r="S105" s="1" t="s">
        <v>45</v>
      </c>
      <c r="T105" s="1" t="s">
        <v>45</v>
      </c>
      <c r="U105" s="1" t="s">
        <v>45</v>
      </c>
      <c r="V105" s="1" t="s">
        <v>45</v>
      </c>
      <c r="W105" s="1" t="s">
        <v>45</v>
      </c>
      <c r="X105" s="1" t="s">
        <v>45</v>
      </c>
      <c r="Y105" s="1" t="s">
        <v>45</v>
      </c>
      <c r="Z105" s="1" t="s">
        <v>45</v>
      </c>
      <c r="AA105" s="1" t="s">
        <v>45</v>
      </c>
      <c r="AB105" s="1" t="s">
        <v>45</v>
      </c>
      <c r="AC105" s="1" t="s">
        <v>45</v>
      </c>
      <c r="AD105" s="1" t="s">
        <v>45</v>
      </c>
      <c r="AE105" s="1" t="s">
        <v>45</v>
      </c>
      <c r="AF105" s="32">
        <v>45731</v>
      </c>
      <c r="AG105" s="1">
        <v>41.583331622141401</v>
      </c>
      <c r="AH105" s="1" t="s">
        <v>1526</v>
      </c>
      <c r="AI105" s="1" t="s">
        <v>1527</v>
      </c>
      <c r="AJ105" s="1" t="s">
        <v>45</v>
      </c>
      <c r="AK105" s="1" t="s">
        <v>51</v>
      </c>
      <c r="AL105" s="1" t="s">
        <v>45</v>
      </c>
      <c r="AM105" s="1" t="s">
        <v>45</v>
      </c>
      <c r="AN105" s="1" t="s">
        <v>45</v>
      </c>
      <c r="AO105" s="1" t="s">
        <v>45</v>
      </c>
      <c r="AP105" s="1" t="s">
        <v>45</v>
      </c>
      <c r="AQ105" s="1" t="s">
        <v>45</v>
      </c>
      <c r="AR105" s="1" t="s">
        <v>45</v>
      </c>
      <c r="AT105" s="1" t="s">
        <v>1601</v>
      </c>
      <c r="AW105" s="33" t="s">
        <v>1463</v>
      </c>
      <c r="AX105" s="3" t="s">
        <v>1601</v>
      </c>
      <c r="AY105" s="3"/>
      <c r="AZ105" s="1">
        <v>3</v>
      </c>
      <c r="BB105" s="1" t="s">
        <v>1567</v>
      </c>
      <c r="BC105" s="1" t="s">
        <v>1602</v>
      </c>
      <c r="BE105" s="1" t="s">
        <v>1603</v>
      </c>
      <c r="BG105" s="1" t="s">
        <v>1525</v>
      </c>
      <c r="BH105" s="1" t="s">
        <v>46</v>
      </c>
      <c r="BI105" s="1" t="s">
        <v>1535</v>
      </c>
      <c r="BJ105" s="1" t="s">
        <v>51</v>
      </c>
      <c r="BK105" s="1" t="s">
        <v>1549</v>
      </c>
      <c r="BL105" s="32">
        <v>45000</v>
      </c>
      <c r="BM105" s="1" t="s">
        <v>581</v>
      </c>
      <c r="BO105" s="1" t="s">
        <v>1537</v>
      </c>
      <c r="BP105" s="1" t="s">
        <v>1551</v>
      </c>
      <c r="BQ105" s="1" t="s">
        <v>1539</v>
      </c>
      <c r="BR105" s="1" t="s">
        <v>1580</v>
      </c>
      <c r="BS105" s="1" t="s">
        <v>1581</v>
      </c>
      <c r="BU105" s="1" t="s">
        <v>51</v>
      </c>
      <c r="BW105" s="1" t="s">
        <v>1563</v>
      </c>
      <c r="BX105" s="32">
        <v>45021</v>
      </c>
      <c r="BY105" s="1">
        <v>12</v>
      </c>
      <c r="BZ105" s="1" t="s">
        <v>1877</v>
      </c>
      <c r="CA105" s="1" t="s">
        <v>45</v>
      </c>
      <c r="CB105" s="1" t="s">
        <v>45</v>
      </c>
      <c r="CJ105" s="1" t="s">
        <v>45</v>
      </c>
      <c r="DH105" s="1" t="s">
        <v>45</v>
      </c>
      <c r="DM105" s="1" t="s">
        <v>45</v>
      </c>
      <c r="DO105" s="1" t="s">
        <v>45</v>
      </c>
      <c r="DQ105" s="1" t="s">
        <v>45</v>
      </c>
      <c r="DT105" s="32">
        <v>45736</v>
      </c>
      <c r="DU105" s="1" t="s">
        <v>1598</v>
      </c>
      <c r="DV105" s="1">
        <v>0.16425755584756899</v>
      </c>
      <c r="DW105" s="1" t="s">
        <v>45</v>
      </c>
    </row>
    <row r="106" spans="1:130" ht="15.75" customHeight="1" x14ac:dyDescent="0.2">
      <c r="A106" s="8" t="s">
        <v>584</v>
      </c>
      <c r="B106" s="32">
        <v>26323</v>
      </c>
      <c r="C106" s="32">
        <v>44687</v>
      </c>
      <c r="D106" s="1">
        <v>50.278810196878297</v>
      </c>
      <c r="E106" s="1" t="s">
        <v>1523</v>
      </c>
      <c r="F106" s="1" t="s">
        <v>1524</v>
      </c>
      <c r="G106" s="1" t="s">
        <v>1574</v>
      </c>
      <c r="H106" s="1" t="s">
        <v>51</v>
      </c>
      <c r="I106" s="1">
        <v>1.71</v>
      </c>
      <c r="J106" s="1" t="s">
        <v>51</v>
      </c>
      <c r="K106" s="1">
        <v>80.3</v>
      </c>
      <c r="L106" s="1">
        <v>27.461441127184401</v>
      </c>
      <c r="M106" s="1" t="s">
        <v>45</v>
      </c>
      <c r="N106" s="1" t="s">
        <v>45</v>
      </c>
      <c r="O106" s="1" t="s">
        <v>45</v>
      </c>
      <c r="P106" s="1" t="s">
        <v>45</v>
      </c>
      <c r="Q106" s="1" t="s">
        <v>45</v>
      </c>
      <c r="R106" s="1" t="s">
        <v>45</v>
      </c>
      <c r="S106" s="1" t="s">
        <v>45</v>
      </c>
      <c r="T106" s="1" t="s">
        <v>45</v>
      </c>
      <c r="U106" s="1" t="s">
        <v>45</v>
      </c>
      <c r="V106" s="1" t="s">
        <v>45</v>
      </c>
      <c r="W106" s="1" t="s">
        <v>45</v>
      </c>
      <c r="X106" s="1" t="s">
        <v>45</v>
      </c>
      <c r="Y106" s="1" t="s">
        <v>45</v>
      </c>
      <c r="Z106" s="1" t="s">
        <v>45</v>
      </c>
      <c r="AA106" s="1" t="s">
        <v>45</v>
      </c>
      <c r="AB106" s="1" t="s">
        <v>45</v>
      </c>
      <c r="AC106" s="1" t="s">
        <v>45</v>
      </c>
      <c r="AD106" s="1" t="s">
        <v>45</v>
      </c>
      <c r="AE106" s="1" t="s">
        <v>45</v>
      </c>
      <c r="AF106" s="32">
        <v>45012</v>
      </c>
      <c r="AG106" s="1">
        <v>51.168629974149503</v>
      </c>
      <c r="AH106" s="1" t="s">
        <v>1526</v>
      </c>
      <c r="AI106" s="1" t="s">
        <v>1527</v>
      </c>
      <c r="AJ106" s="1" t="s">
        <v>45</v>
      </c>
      <c r="AK106" s="1" t="s">
        <v>51</v>
      </c>
      <c r="AL106" s="1" t="s">
        <v>45</v>
      </c>
      <c r="AM106" s="1" t="s">
        <v>45</v>
      </c>
      <c r="AN106" s="1" t="s">
        <v>45</v>
      </c>
      <c r="AO106" s="1" t="s">
        <v>45</v>
      </c>
      <c r="AP106" s="1" t="s">
        <v>45</v>
      </c>
      <c r="AQ106" s="1" t="s">
        <v>45</v>
      </c>
      <c r="AR106" s="1" t="s">
        <v>45</v>
      </c>
      <c r="AT106" s="1" t="s">
        <v>1601</v>
      </c>
      <c r="AW106" s="33" t="s">
        <v>1463</v>
      </c>
      <c r="AX106" s="3" t="s">
        <v>1601</v>
      </c>
      <c r="AY106" s="3"/>
      <c r="AZ106" s="1">
        <v>3</v>
      </c>
      <c r="BB106" s="1" t="s">
        <v>1567</v>
      </c>
      <c r="BC106" s="1" t="s">
        <v>1602</v>
      </c>
      <c r="BE106" s="1" t="s">
        <v>1603</v>
      </c>
      <c r="BG106" s="1" t="s">
        <v>1525</v>
      </c>
      <c r="BH106" s="1" t="s">
        <v>46</v>
      </c>
      <c r="BI106" s="1" t="s">
        <v>1535</v>
      </c>
      <c r="BJ106" s="1" t="s">
        <v>45</v>
      </c>
      <c r="BK106" s="1" t="s">
        <v>1549</v>
      </c>
      <c r="BL106" s="32">
        <v>45012</v>
      </c>
      <c r="BM106" s="1" t="s">
        <v>585</v>
      </c>
      <c r="BO106" s="1" t="s">
        <v>1537</v>
      </c>
      <c r="BP106" s="1" t="s">
        <v>1551</v>
      </c>
      <c r="BQ106" s="1" t="s">
        <v>1539</v>
      </c>
      <c r="BR106" s="1" t="s">
        <v>1580</v>
      </c>
      <c r="BS106" s="1" t="s">
        <v>1581</v>
      </c>
      <c r="BU106" s="1" t="s">
        <v>51</v>
      </c>
      <c r="BW106" s="1" t="s">
        <v>1563</v>
      </c>
      <c r="BX106" s="32">
        <v>45156</v>
      </c>
      <c r="BY106" s="1">
        <v>12</v>
      </c>
      <c r="BZ106" s="1" t="s">
        <v>1878</v>
      </c>
      <c r="CA106" s="1" t="s">
        <v>51</v>
      </c>
      <c r="CB106" s="1" t="s">
        <v>51</v>
      </c>
      <c r="CC106" s="32">
        <v>45069</v>
      </c>
      <c r="CD106" s="1">
        <v>59.4</v>
      </c>
      <c r="CE106" s="1">
        <v>30</v>
      </c>
      <c r="CJ106" s="1" t="s">
        <v>45</v>
      </c>
      <c r="DH106" s="1" t="s">
        <v>45</v>
      </c>
      <c r="DM106" s="1" t="s">
        <v>45</v>
      </c>
      <c r="DO106" s="1" t="s">
        <v>45</v>
      </c>
      <c r="DQ106" s="1" t="s">
        <v>45</v>
      </c>
      <c r="DT106" s="32">
        <v>45702</v>
      </c>
      <c r="DU106" s="1" t="s">
        <v>1598</v>
      </c>
      <c r="DV106" s="1">
        <v>22.6689115199299</v>
      </c>
      <c r="DW106" s="1" t="s">
        <v>45</v>
      </c>
    </row>
    <row r="107" spans="1:130" ht="15.75" customHeight="1" x14ac:dyDescent="0.2">
      <c r="A107" s="8" t="s">
        <v>752</v>
      </c>
      <c r="B107" s="32">
        <v>23051</v>
      </c>
      <c r="C107" s="32">
        <v>45009</v>
      </c>
      <c r="D107" s="1">
        <v>60.118847979995003</v>
      </c>
      <c r="E107" s="1" t="s">
        <v>1587</v>
      </c>
      <c r="F107" s="1" t="s">
        <v>1524</v>
      </c>
      <c r="G107" s="1" t="s">
        <v>1545</v>
      </c>
      <c r="H107" s="1" t="s">
        <v>51</v>
      </c>
      <c r="I107" s="1">
        <v>1.74</v>
      </c>
      <c r="J107" s="1" t="s">
        <v>51</v>
      </c>
      <c r="K107" s="1">
        <v>95.1</v>
      </c>
      <c r="L107" s="1">
        <v>31.411018628616699</v>
      </c>
      <c r="M107" s="1" t="s">
        <v>45</v>
      </c>
      <c r="N107" s="1" t="s">
        <v>45</v>
      </c>
      <c r="O107" s="1" t="s">
        <v>45</v>
      </c>
      <c r="P107" s="1" t="s">
        <v>45</v>
      </c>
      <c r="Q107" s="1" t="s">
        <v>45</v>
      </c>
      <c r="R107" s="1" t="s">
        <v>45</v>
      </c>
      <c r="S107" s="1" t="s">
        <v>45</v>
      </c>
      <c r="T107" s="1" t="s">
        <v>45</v>
      </c>
      <c r="U107" s="1" t="s">
        <v>45</v>
      </c>
      <c r="V107" s="1" t="s">
        <v>45</v>
      </c>
      <c r="W107" s="1" t="s">
        <v>45</v>
      </c>
      <c r="X107" s="1" t="s">
        <v>45</v>
      </c>
      <c r="Y107" s="1" t="s">
        <v>45</v>
      </c>
      <c r="Z107" s="1" t="s">
        <v>45</v>
      </c>
      <c r="AA107" s="1" t="s">
        <v>51</v>
      </c>
      <c r="AB107" s="1" t="s">
        <v>45</v>
      </c>
      <c r="AC107" s="1" t="s">
        <v>45</v>
      </c>
      <c r="AD107" s="1" t="s">
        <v>45</v>
      </c>
      <c r="AE107" s="1" t="s">
        <v>45</v>
      </c>
      <c r="AF107" s="32">
        <v>45014</v>
      </c>
      <c r="AG107" s="1">
        <v>60.132537515029902</v>
      </c>
      <c r="AH107" s="1" t="s">
        <v>1526</v>
      </c>
      <c r="AI107" s="1" t="s">
        <v>1527</v>
      </c>
      <c r="AJ107" s="1" t="s">
        <v>45</v>
      </c>
      <c r="AK107" s="1" t="s">
        <v>45</v>
      </c>
      <c r="AL107" s="1" t="s">
        <v>45</v>
      </c>
      <c r="AM107" s="1" t="s">
        <v>45</v>
      </c>
      <c r="AN107" s="1" t="s">
        <v>51</v>
      </c>
      <c r="AO107" s="1" t="s">
        <v>45</v>
      </c>
      <c r="AP107" s="1" t="s">
        <v>45</v>
      </c>
      <c r="AQ107" s="1" t="s">
        <v>45</v>
      </c>
      <c r="AR107" s="1" t="s">
        <v>45</v>
      </c>
      <c r="AT107" s="1" t="s">
        <v>1528</v>
      </c>
      <c r="AW107" s="33" t="s">
        <v>1463</v>
      </c>
      <c r="AX107" s="3" t="s">
        <v>1528</v>
      </c>
      <c r="AY107" s="3"/>
      <c r="AZ107" s="1">
        <v>4</v>
      </c>
      <c r="BB107" s="1" t="s">
        <v>1530</v>
      </c>
      <c r="BE107" s="1" t="s">
        <v>1533</v>
      </c>
      <c r="BG107" s="1" t="s">
        <v>45</v>
      </c>
      <c r="BH107" s="1" t="s">
        <v>46</v>
      </c>
      <c r="BI107" s="1" t="s">
        <v>1535</v>
      </c>
      <c r="BJ107" s="1" t="s">
        <v>45</v>
      </c>
      <c r="BK107" s="1" t="s">
        <v>1549</v>
      </c>
      <c r="BL107" s="32">
        <v>45009</v>
      </c>
      <c r="BM107" s="1" t="s">
        <v>753</v>
      </c>
      <c r="BO107" s="1" t="s">
        <v>1537</v>
      </c>
      <c r="BP107" s="1" t="s">
        <v>1551</v>
      </c>
      <c r="BQ107" s="1" t="s">
        <v>1539</v>
      </c>
      <c r="BR107" s="1" t="s">
        <v>1580</v>
      </c>
      <c r="BS107" s="1" t="s">
        <v>1592</v>
      </c>
      <c r="BU107" s="1" t="s">
        <v>51</v>
      </c>
      <c r="BW107" s="1" t="s">
        <v>1563</v>
      </c>
      <c r="BX107" s="32">
        <v>45133</v>
      </c>
      <c r="BY107" s="1">
        <v>12</v>
      </c>
      <c r="BZ107" s="1" t="s">
        <v>1591</v>
      </c>
      <c r="CA107" s="1" t="s">
        <v>51</v>
      </c>
      <c r="CB107" s="1" t="s">
        <v>51</v>
      </c>
      <c r="CC107" s="32">
        <v>45078</v>
      </c>
      <c r="CD107" s="1">
        <v>60</v>
      </c>
      <c r="CE107" s="1">
        <v>30</v>
      </c>
      <c r="CJ107" s="1" t="s">
        <v>51</v>
      </c>
      <c r="CK107" s="32">
        <v>45457</v>
      </c>
      <c r="CL107" s="1" t="s">
        <v>51</v>
      </c>
      <c r="CM107" s="32">
        <v>45463</v>
      </c>
      <c r="CN107" s="1">
        <v>1.24300978117278</v>
      </c>
      <c r="CO107" s="1" t="s">
        <v>1537</v>
      </c>
      <c r="CP107" s="1" t="s">
        <v>1566</v>
      </c>
      <c r="CQ107" s="1" t="s">
        <v>1539</v>
      </c>
      <c r="CR107" s="1" t="s">
        <v>1580</v>
      </c>
      <c r="CS107" s="1" t="s">
        <v>1592</v>
      </c>
      <c r="CT107" s="1" t="s">
        <v>1528</v>
      </c>
      <c r="CW107" s="1">
        <v>4</v>
      </c>
      <c r="CY107" s="1" t="s">
        <v>1530</v>
      </c>
      <c r="DB107" s="1" t="s">
        <v>1533</v>
      </c>
      <c r="DD107" s="1" t="s">
        <v>45</v>
      </c>
      <c r="DE107" s="1" t="s">
        <v>46</v>
      </c>
      <c r="DF107" s="1" t="s">
        <v>68</v>
      </c>
      <c r="DG107" s="1" t="s">
        <v>45</v>
      </c>
      <c r="DH107" s="1" t="s">
        <v>45</v>
      </c>
      <c r="DM107" s="1" t="s">
        <v>45</v>
      </c>
      <c r="DO107" s="1" t="s">
        <v>45</v>
      </c>
      <c r="DQ107" s="1" t="s">
        <v>45</v>
      </c>
      <c r="DS107" s="1" t="s">
        <v>1879</v>
      </c>
      <c r="DT107" s="32">
        <v>45490</v>
      </c>
      <c r="DU107" s="1" t="s">
        <v>1543</v>
      </c>
      <c r="DV107" s="1">
        <v>15.637319316688499</v>
      </c>
    </row>
    <row r="108" spans="1:130" ht="15.75" customHeight="1" x14ac:dyDescent="0.2">
      <c r="A108" s="8" t="s">
        <v>840</v>
      </c>
      <c r="B108" s="32">
        <v>21217</v>
      </c>
      <c r="C108" s="32">
        <v>44816</v>
      </c>
      <c r="D108" s="1">
        <v>64.611753378463106</v>
      </c>
      <c r="E108" s="1" t="s">
        <v>1587</v>
      </c>
      <c r="F108" s="1" t="s">
        <v>1524</v>
      </c>
      <c r="G108" s="1" t="s">
        <v>1545</v>
      </c>
      <c r="H108" s="1" t="s">
        <v>51</v>
      </c>
      <c r="I108" s="1">
        <v>1.66</v>
      </c>
      <c r="J108" s="1" t="s">
        <v>51</v>
      </c>
      <c r="K108" s="1">
        <v>59</v>
      </c>
      <c r="L108" s="1">
        <v>21.410944984758299</v>
      </c>
      <c r="M108" s="1" t="s">
        <v>45</v>
      </c>
      <c r="N108" s="1" t="s">
        <v>45</v>
      </c>
      <c r="O108" s="1" t="s">
        <v>45</v>
      </c>
      <c r="P108" s="1" t="s">
        <v>45</v>
      </c>
      <c r="Q108" s="1" t="s">
        <v>45</v>
      </c>
      <c r="R108" s="1" t="s">
        <v>45</v>
      </c>
      <c r="S108" s="1" t="s">
        <v>45</v>
      </c>
      <c r="T108" s="1" t="s">
        <v>45</v>
      </c>
      <c r="U108" s="1" t="s">
        <v>45</v>
      </c>
      <c r="V108" s="1" t="s">
        <v>45</v>
      </c>
      <c r="W108" s="1" t="s">
        <v>45</v>
      </c>
      <c r="X108" s="1" t="s">
        <v>45</v>
      </c>
      <c r="Y108" s="1" t="s">
        <v>45</v>
      </c>
      <c r="Z108" s="1" t="s">
        <v>45</v>
      </c>
      <c r="AA108" s="1" t="s">
        <v>51</v>
      </c>
      <c r="AB108" s="1" t="s">
        <v>45</v>
      </c>
      <c r="AC108" s="1" t="s">
        <v>45</v>
      </c>
      <c r="AD108" s="1" t="s">
        <v>45</v>
      </c>
      <c r="AE108" s="1" t="s">
        <v>45</v>
      </c>
      <c r="AF108" s="32">
        <v>45020</v>
      </c>
      <c r="AG108" s="1">
        <v>65.170286407888796</v>
      </c>
      <c r="AH108" s="1" t="s">
        <v>1526</v>
      </c>
      <c r="AI108" s="1" t="s">
        <v>1527</v>
      </c>
      <c r="AJ108" s="1" t="s">
        <v>45</v>
      </c>
      <c r="AK108" s="1" t="s">
        <v>45</v>
      </c>
      <c r="AL108" s="1" t="s">
        <v>51</v>
      </c>
      <c r="AM108" s="1" t="s">
        <v>45</v>
      </c>
      <c r="AN108" s="1" t="s">
        <v>45</v>
      </c>
      <c r="AO108" s="1" t="s">
        <v>45</v>
      </c>
      <c r="AP108" s="1" t="s">
        <v>45</v>
      </c>
      <c r="AQ108" s="1" t="s">
        <v>45</v>
      </c>
      <c r="AR108" s="1" t="s">
        <v>51</v>
      </c>
      <c r="AS108" s="1" t="s">
        <v>1880</v>
      </c>
      <c r="AT108" s="1" t="s">
        <v>1560</v>
      </c>
      <c r="AW108" s="33" t="s">
        <v>1463</v>
      </c>
      <c r="AX108" s="3" t="s">
        <v>1560</v>
      </c>
      <c r="AY108" s="3"/>
      <c r="AZ108" s="1">
        <v>4</v>
      </c>
      <c r="BA108" s="1" t="s">
        <v>1529</v>
      </c>
      <c r="BB108" s="1" t="s">
        <v>1567</v>
      </c>
      <c r="BC108" s="1" t="s">
        <v>1531</v>
      </c>
      <c r="BD108" s="1" t="s">
        <v>1822</v>
      </c>
      <c r="BE108" s="1" t="s">
        <v>1603</v>
      </c>
      <c r="BF108" s="1" t="s">
        <v>1534</v>
      </c>
      <c r="BG108" s="1" t="s">
        <v>45</v>
      </c>
      <c r="BH108" s="1" t="s">
        <v>46</v>
      </c>
      <c r="BI108" s="1" t="s">
        <v>1599</v>
      </c>
      <c r="BJ108" s="1" t="s">
        <v>51</v>
      </c>
      <c r="BK108" s="1" t="s">
        <v>1536</v>
      </c>
      <c r="BL108" s="32">
        <v>45020</v>
      </c>
      <c r="BM108" s="1" t="s">
        <v>841</v>
      </c>
      <c r="BO108" s="1" t="s">
        <v>1537</v>
      </c>
      <c r="BP108" s="1" t="s">
        <v>1566</v>
      </c>
      <c r="BQ108" s="1" t="s">
        <v>1539</v>
      </c>
      <c r="BR108" s="1" t="s">
        <v>1540</v>
      </c>
      <c r="BS108" s="1" t="s">
        <v>50</v>
      </c>
      <c r="BU108" s="1" t="s">
        <v>51</v>
      </c>
      <c r="BV108" s="1" t="s">
        <v>1541</v>
      </c>
      <c r="BW108" s="1" t="s">
        <v>1542</v>
      </c>
      <c r="CA108" s="1" t="s">
        <v>45</v>
      </c>
      <c r="CB108" s="1" t="s">
        <v>45</v>
      </c>
      <c r="CJ108" s="1" t="s">
        <v>45</v>
      </c>
      <c r="DH108" s="1" t="s">
        <v>45</v>
      </c>
      <c r="DM108" s="1" t="s">
        <v>45</v>
      </c>
      <c r="DO108" s="1" t="s">
        <v>45</v>
      </c>
      <c r="DQ108" s="1" t="s">
        <v>45</v>
      </c>
      <c r="DS108" s="1" t="s">
        <v>1881</v>
      </c>
      <c r="DT108" s="32">
        <v>45064</v>
      </c>
      <c r="DU108" s="1" t="s">
        <v>1543</v>
      </c>
      <c r="DV108" s="1">
        <v>1.4454664914586</v>
      </c>
      <c r="DW108" s="1" t="s">
        <v>45</v>
      </c>
      <c r="DY108" s="32">
        <v>45772</v>
      </c>
      <c r="DZ108" s="1" t="s">
        <v>1544</v>
      </c>
    </row>
    <row r="109" spans="1:130" ht="15.75" customHeight="1" x14ac:dyDescent="0.2">
      <c r="A109" s="8" t="s">
        <v>759</v>
      </c>
      <c r="B109" s="32">
        <v>22196</v>
      </c>
      <c r="C109" s="32">
        <v>45015</v>
      </c>
      <c r="D109" s="1">
        <v>62.4762999924707</v>
      </c>
      <c r="E109" s="1" t="s">
        <v>1587</v>
      </c>
      <c r="F109" s="1" t="s">
        <v>1578</v>
      </c>
      <c r="G109" s="1" t="s">
        <v>1574</v>
      </c>
      <c r="H109" s="1" t="s">
        <v>51</v>
      </c>
      <c r="I109" s="1">
        <v>1.486</v>
      </c>
      <c r="J109" s="1" t="s">
        <v>51</v>
      </c>
      <c r="K109" s="1">
        <v>51.3</v>
      </c>
      <c r="L109" s="1">
        <v>23.231633423844599</v>
      </c>
      <c r="M109" s="1" t="s">
        <v>45</v>
      </c>
      <c r="N109" s="1" t="s">
        <v>45</v>
      </c>
      <c r="O109" s="1" t="s">
        <v>45</v>
      </c>
      <c r="P109" s="1" t="s">
        <v>45</v>
      </c>
      <c r="Q109" s="1" t="s">
        <v>45</v>
      </c>
      <c r="R109" s="1" t="s">
        <v>45</v>
      </c>
      <c r="S109" s="1" t="s">
        <v>45</v>
      </c>
      <c r="T109" s="1" t="s">
        <v>45</v>
      </c>
      <c r="U109" s="1" t="s">
        <v>45</v>
      </c>
      <c r="V109" s="1" t="s">
        <v>45</v>
      </c>
      <c r="W109" s="1" t="s">
        <v>45</v>
      </c>
      <c r="X109" s="1" t="s">
        <v>45</v>
      </c>
      <c r="Y109" s="1" t="s">
        <v>45</v>
      </c>
      <c r="Z109" s="1" t="s">
        <v>45</v>
      </c>
      <c r="AA109" s="1" t="s">
        <v>45</v>
      </c>
      <c r="AB109" s="1" t="s">
        <v>45</v>
      </c>
      <c r="AC109" s="1" t="s">
        <v>45</v>
      </c>
      <c r="AD109" s="1" t="s">
        <v>45</v>
      </c>
      <c r="AE109" s="1" t="s">
        <v>45</v>
      </c>
      <c r="AF109" s="32">
        <v>45021</v>
      </c>
      <c r="AG109" s="1">
        <v>62.492727434512602</v>
      </c>
      <c r="AH109" s="1" t="s">
        <v>1526</v>
      </c>
      <c r="AI109" s="1" t="s">
        <v>1527</v>
      </c>
      <c r="AJ109" s="1" t="s">
        <v>45</v>
      </c>
      <c r="AK109" s="1" t="s">
        <v>45</v>
      </c>
      <c r="AL109" s="1" t="s">
        <v>51</v>
      </c>
      <c r="AM109" s="1" t="s">
        <v>45</v>
      </c>
      <c r="AN109" s="1" t="s">
        <v>45</v>
      </c>
      <c r="AO109" s="1" t="s">
        <v>45</v>
      </c>
      <c r="AP109" s="1" t="s">
        <v>45</v>
      </c>
      <c r="AQ109" s="1" t="s">
        <v>45</v>
      </c>
      <c r="AR109" s="1" t="s">
        <v>45</v>
      </c>
      <c r="AT109" s="1" t="s">
        <v>1528</v>
      </c>
      <c r="AW109" s="33" t="s">
        <v>1463</v>
      </c>
      <c r="AX109" s="3" t="s">
        <v>1528</v>
      </c>
      <c r="AY109" s="3"/>
      <c r="AZ109" s="1">
        <v>4</v>
      </c>
      <c r="BB109" s="1" t="s">
        <v>1530</v>
      </c>
      <c r="BE109" s="1" t="s">
        <v>1603</v>
      </c>
      <c r="BG109" s="1" t="s">
        <v>45</v>
      </c>
      <c r="BH109" s="1" t="s">
        <v>46</v>
      </c>
      <c r="BI109" s="1" t="s">
        <v>1525</v>
      </c>
      <c r="BJ109" s="1" t="s">
        <v>51</v>
      </c>
      <c r="BK109" s="1" t="s">
        <v>1549</v>
      </c>
      <c r="BL109" s="32">
        <v>45021</v>
      </c>
      <c r="BM109" s="1" t="s">
        <v>760</v>
      </c>
      <c r="BO109" s="1" t="s">
        <v>1853</v>
      </c>
      <c r="BP109" s="1" t="s">
        <v>1551</v>
      </c>
      <c r="BQ109" s="1" t="s">
        <v>1605</v>
      </c>
      <c r="BR109" s="1" t="s">
        <v>1589</v>
      </c>
      <c r="BS109" s="1" t="s">
        <v>1581</v>
      </c>
      <c r="BU109" s="1" t="s">
        <v>51</v>
      </c>
      <c r="BW109" s="1" t="s">
        <v>1563</v>
      </c>
      <c r="BX109" s="32">
        <v>45105</v>
      </c>
      <c r="BY109" s="1">
        <v>3</v>
      </c>
      <c r="BZ109" s="1" t="s">
        <v>1882</v>
      </c>
      <c r="CA109" s="1" t="s">
        <v>51</v>
      </c>
      <c r="CB109" s="1" t="s">
        <v>51</v>
      </c>
      <c r="CC109" s="32">
        <v>45050</v>
      </c>
      <c r="CD109" s="1">
        <v>60</v>
      </c>
      <c r="CE109" s="1">
        <v>30</v>
      </c>
      <c r="DH109" s="1" t="s">
        <v>45</v>
      </c>
      <c r="DM109" s="1" t="s">
        <v>45</v>
      </c>
      <c r="DO109" s="1" t="s">
        <v>45</v>
      </c>
      <c r="DQ109" s="1" t="s">
        <v>45</v>
      </c>
      <c r="DS109" s="1" t="s">
        <v>1883</v>
      </c>
      <c r="DT109" s="32">
        <v>45175</v>
      </c>
      <c r="DU109" s="1" t="s">
        <v>1556</v>
      </c>
      <c r="DV109" s="1">
        <v>5.0591327201051204</v>
      </c>
      <c r="DW109" s="1" t="s">
        <v>45</v>
      </c>
    </row>
    <row r="110" spans="1:130" ht="15.75" customHeight="1" x14ac:dyDescent="0.2">
      <c r="A110" s="8" t="s">
        <v>848</v>
      </c>
      <c r="B110" s="32">
        <v>28432</v>
      </c>
      <c r="C110" s="32">
        <v>45026</v>
      </c>
      <c r="D110" s="1">
        <v>45.432714794508598</v>
      </c>
      <c r="E110" s="1" t="s">
        <v>1523</v>
      </c>
      <c r="F110" s="1" t="s">
        <v>1524</v>
      </c>
      <c r="G110" s="1" t="s">
        <v>1574</v>
      </c>
      <c r="H110" s="1" t="s">
        <v>51</v>
      </c>
      <c r="I110" s="1">
        <v>1.8540000000000001</v>
      </c>
      <c r="J110" s="1" t="s">
        <v>51</v>
      </c>
      <c r="K110" s="1">
        <v>80</v>
      </c>
      <c r="L110" s="1">
        <v>23.273973065030901</v>
      </c>
      <c r="M110" s="1" t="s">
        <v>45</v>
      </c>
      <c r="N110" s="1" t="s">
        <v>45</v>
      </c>
      <c r="O110" s="1" t="s">
        <v>45</v>
      </c>
      <c r="P110" s="1" t="s">
        <v>45</v>
      </c>
      <c r="Q110" s="1" t="s">
        <v>45</v>
      </c>
      <c r="R110" s="1" t="s">
        <v>45</v>
      </c>
      <c r="S110" s="1" t="s">
        <v>45</v>
      </c>
      <c r="T110" s="1" t="s">
        <v>45</v>
      </c>
      <c r="U110" s="1" t="s">
        <v>45</v>
      </c>
      <c r="V110" s="1" t="s">
        <v>45</v>
      </c>
      <c r="W110" s="1" t="s">
        <v>45</v>
      </c>
      <c r="X110" s="1" t="s">
        <v>45</v>
      </c>
      <c r="Y110" s="1" t="s">
        <v>45</v>
      </c>
      <c r="Z110" s="1" t="s">
        <v>45</v>
      </c>
      <c r="AA110" s="1" t="s">
        <v>45</v>
      </c>
      <c r="AB110" s="1" t="s">
        <v>45</v>
      </c>
      <c r="AC110" s="1" t="s">
        <v>45</v>
      </c>
      <c r="AD110" s="1" t="s">
        <v>45</v>
      </c>
      <c r="AE110" s="1" t="s">
        <v>45</v>
      </c>
      <c r="AF110" s="32">
        <v>45029</v>
      </c>
      <c r="AG110" s="1">
        <v>45.440928515529599</v>
      </c>
      <c r="AH110" s="1" t="s">
        <v>1526</v>
      </c>
      <c r="AI110" s="1" t="s">
        <v>1527</v>
      </c>
      <c r="AJ110" s="1" t="s">
        <v>45</v>
      </c>
      <c r="AK110" s="1" t="s">
        <v>51</v>
      </c>
      <c r="AL110" s="1" t="s">
        <v>51</v>
      </c>
      <c r="AM110" s="1" t="s">
        <v>45</v>
      </c>
      <c r="AN110" s="1" t="s">
        <v>45</v>
      </c>
      <c r="AO110" s="1" t="s">
        <v>45</v>
      </c>
      <c r="AP110" s="1" t="s">
        <v>45</v>
      </c>
      <c r="AQ110" s="1" t="s">
        <v>45</v>
      </c>
      <c r="AR110" s="1" t="s">
        <v>51</v>
      </c>
      <c r="AS110" s="1" t="s">
        <v>1884</v>
      </c>
      <c r="AT110" s="1" t="s">
        <v>1528</v>
      </c>
      <c r="AW110" s="33" t="s">
        <v>1463</v>
      </c>
      <c r="AX110" s="3" t="s">
        <v>1528</v>
      </c>
      <c r="AY110" s="3"/>
      <c r="AZ110" s="1">
        <v>4</v>
      </c>
      <c r="BA110" s="1" t="s">
        <v>1529</v>
      </c>
      <c r="BB110" s="1" t="s">
        <v>1530</v>
      </c>
      <c r="BC110" s="1" t="s">
        <v>1531</v>
      </c>
      <c r="BD110" s="1" t="s">
        <v>1532</v>
      </c>
      <c r="BE110" s="1" t="s">
        <v>1533</v>
      </c>
      <c r="BF110" s="1" t="s">
        <v>1534</v>
      </c>
      <c r="BG110" s="1" t="s">
        <v>45</v>
      </c>
      <c r="BH110" s="1" t="s">
        <v>46</v>
      </c>
      <c r="BI110" s="1" t="s">
        <v>1535</v>
      </c>
      <c r="BJ110" s="1" t="s">
        <v>51</v>
      </c>
      <c r="BK110" s="1" t="s">
        <v>1536</v>
      </c>
      <c r="BL110" s="32">
        <v>45029</v>
      </c>
      <c r="BM110" s="1" t="s">
        <v>849</v>
      </c>
      <c r="BO110" s="1" t="s">
        <v>1537</v>
      </c>
      <c r="BP110" s="1" t="s">
        <v>1538</v>
      </c>
      <c r="BQ110" s="1" t="s">
        <v>1539</v>
      </c>
      <c r="BR110" s="1" t="s">
        <v>1552</v>
      </c>
      <c r="BS110" s="1" t="s">
        <v>106</v>
      </c>
      <c r="BW110" s="1" t="s">
        <v>1563</v>
      </c>
      <c r="BX110" s="32">
        <v>45154</v>
      </c>
      <c r="BY110" s="1">
        <v>4</v>
      </c>
      <c r="BZ110" s="1" t="s">
        <v>1885</v>
      </c>
      <c r="CA110" s="1" t="s">
        <v>51</v>
      </c>
      <c r="CB110" s="1" t="s">
        <v>51</v>
      </c>
      <c r="CC110" s="32">
        <v>45075</v>
      </c>
      <c r="CD110" s="1">
        <v>60</v>
      </c>
      <c r="CE110" s="1">
        <v>30</v>
      </c>
      <c r="CF110" s="1" t="s">
        <v>1886</v>
      </c>
      <c r="CJ110" s="1" t="s">
        <v>51</v>
      </c>
      <c r="CK110" s="32">
        <v>45219</v>
      </c>
      <c r="CL110" s="1" t="s">
        <v>51</v>
      </c>
      <c r="CM110" s="32">
        <v>45279</v>
      </c>
      <c r="CN110" s="1">
        <v>0.68459083120575104</v>
      </c>
      <c r="CO110" s="1" t="s">
        <v>1537</v>
      </c>
      <c r="CP110" s="1" t="s">
        <v>1566</v>
      </c>
      <c r="CQ110" s="1" t="s">
        <v>1539</v>
      </c>
      <c r="CR110" s="1" t="s">
        <v>1552</v>
      </c>
      <c r="CS110" s="1" t="s">
        <v>106</v>
      </c>
      <c r="CT110" s="1" t="s">
        <v>1528</v>
      </c>
      <c r="CW110" s="1">
        <v>4</v>
      </c>
      <c r="CX110" s="1" t="s">
        <v>1529</v>
      </c>
      <c r="CY110" s="1" t="s">
        <v>1530</v>
      </c>
      <c r="CZ110" s="1" t="s">
        <v>1531</v>
      </c>
      <c r="DA110" s="1" t="s">
        <v>1532</v>
      </c>
      <c r="DB110" s="1" t="s">
        <v>1533</v>
      </c>
      <c r="DC110" s="1" t="s">
        <v>1534</v>
      </c>
      <c r="DD110" s="1" t="s">
        <v>45</v>
      </c>
      <c r="DE110" s="1" t="s">
        <v>46</v>
      </c>
      <c r="DF110" s="1" t="s">
        <v>68</v>
      </c>
      <c r="DG110" s="1" t="s">
        <v>45</v>
      </c>
      <c r="DH110" s="1" t="s">
        <v>51</v>
      </c>
      <c r="DI110" s="1" t="s">
        <v>1887</v>
      </c>
      <c r="DJ110" s="32">
        <v>45317</v>
      </c>
      <c r="DM110" s="1" t="s">
        <v>45</v>
      </c>
      <c r="DO110" s="1" t="s">
        <v>45</v>
      </c>
      <c r="DQ110" s="1" t="s">
        <v>45</v>
      </c>
      <c r="DT110" s="32">
        <v>45532</v>
      </c>
      <c r="DU110" s="1" t="s">
        <v>1543</v>
      </c>
      <c r="DV110" s="1">
        <v>16.524310118265401</v>
      </c>
      <c r="DW110" s="1" t="s">
        <v>45</v>
      </c>
      <c r="DY110" s="32">
        <v>45772</v>
      </c>
      <c r="DZ110" s="1" t="s">
        <v>1544</v>
      </c>
    </row>
    <row r="111" spans="1:130" ht="15.75" customHeight="1" x14ac:dyDescent="0.2">
      <c r="A111" s="8" t="s">
        <v>764</v>
      </c>
      <c r="B111" s="32">
        <v>35503</v>
      </c>
      <c r="C111" s="32">
        <v>45020</v>
      </c>
      <c r="D111" s="1">
        <v>26.056546906051</v>
      </c>
      <c r="E111" s="1" t="s">
        <v>1587</v>
      </c>
      <c r="F111" s="1" t="s">
        <v>1524</v>
      </c>
      <c r="G111" s="1" t="s">
        <v>1574</v>
      </c>
      <c r="H111" s="1" t="s">
        <v>51</v>
      </c>
      <c r="I111" s="1">
        <v>1.615</v>
      </c>
      <c r="J111" s="1" t="s">
        <v>51</v>
      </c>
      <c r="K111" s="1">
        <v>58</v>
      </c>
      <c r="L111" s="1">
        <v>22.237345321051599</v>
      </c>
      <c r="M111" s="1" t="s">
        <v>45</v>
      </c>
      <c r="N111" s="1" t="s">
        <v>45</v>
      </c>
      <c r="O111" s="1" t="s">
        <v>45</v>
      </c>
      <c r="P111" s="1" t="s">
        <v>45</v>
      </c>
      <c r="Q111" s="1" t="s">
        <v>45</v>
      </c>
      <c r="R111" s="1" t="s">
        <v>45</v>
      </c>
      <c r="S111" s="1" t="s">
        <v>45</v>
      </c>
      <c r="T111" s="1" t="s">
        <v>45</v>
      </c>
      <c r="U111" s="1" t="s">
        <v>45</v>
      </c>
      <c r="V111" s="1" t="s">
        <v>45</v>
      </c>
      <c r="W111" s="1" t="s">
        <v>45</v>
      </c>
      <c r="X111" s="1" t="s">
        <v>45</v>
      </c>
      <c r="Y111" s="1" t="s">
        <v>45</v>
      </c>
      <c r="Z111" s="1" t="s">
        <v>45</v>
      </c>
      <c r="AA111" s="1" t="s">
        <v>45</v>
      </c>
      <c r="AB111" s="1" t="s">
        <v>45</v>
      </c>
      <c r="AC111" s="1" t="s">
        <v>45</v>
      </c>
      <c r="AD111" s="1" t="s">
        <v>45</v>
      </c>
      <c r="AE111" s="1" t="s">
        <v>45</v>
      </c>
      <c r="AF111" s="32">
        <v>45032</v>
      </c>
      <c r="AG111" s="1">
        <v>26.089401790134801</v>
      </c>
      <c r="AH111" s="1" t="s">
        <v>1526</v>
      </c>
      <c r="AI111" s="1" t="s">
        <v>1527</v>
      </c>
      <c r="AJ111" s="1" t="s">
        <v>45</v>
      </c>
      <c r="AK111" s="1" t="s">
        <v>45</v>
      </c>
      <c r="AL111" s="1" t="s">
        <v>45</v>
      </c>
      <c r="AM111" s="1" t="s">
        <v>51</v>
      </c>
      <c r="AN111" s="1" t="s">
        <v>45</v>
      </c>
      <c r="AO111" s="1" t="s">
        <v>45</v>
      </c>
      <c r="AP111" s="1" t="s">
        <v>45</v>
      </c>
      <c r="AQ111" s="1" t="s">
        <v>45</v>
      </c>
      <c r="AR111" s="1" t="s">
        <v>45</v>
      </c>
      <c r="AT111" s="1" t="s">
        <v>1560</v>
      </c>
      <c r="AV111" s="1" t="s">
        <v>1838</v>
      </c>
      <c r="AW111" s="33" t="s">
        <v>1464</v>
      </c>
      <c r="AX111" s="3"/>
      <c r="AY111" s="33" t="s">
        <v>1668</v>
      </c>
      <c r="AZ111" s="1">
        <v>1</v>
      </c>
      <c r="BB111" s="1" t="s">
        <v>1561</v>
      </c>
      <c r="BC111" s="1" t="s">
        <v>1561</v>
      </c>
      <c r="BE111" s="1" t="s">
        <v>1525</v>
      </c>
      <c r="BG111" s="1" t="s">
        <v>1525</v>
      </c>
      <c r="BH111" s="1" t="s">
        <v>46</v>
      </c>
      <c r="BI111" s="1" t="s">
        <v>1525</v>
      </c>
      <c r="BJ111" s="1" t="s">
        <v>1525</v>
      </c>
      <c r="BK111" s="1" t="s">
        <v>1549</v>
      </c>
      <c r="BL111" s="32">
        <v>45032</v>
      </c>
      <c r="BM111" s="1" t="s">
        <v>765</v>
      </c>
      <c r="BO111" s="1" t="s">
        <v>1537</v>
      </c>
      <c r="BP111" s="1" t="s">
        <v>1551</v>
      </c>
      <c r="BQ111" s="1" t="s">
        <v>1647</v>
      </c>
      <c r="BR111" s="1" t="s">
        <v>1589</v>
      </c>
      <c r="BS111" s="1" t="s">
        <v>1846</v>
      </c>
      <c r="BU111" s="1" t="s">
        <v>51</v>
      </c>
      <c r="BW111" s="1" t="s">
        <v>1561</v>
      </c>
      <c r="CA111" s="1" t="s">
        <v>45</v>
      </c>
      <c r="CB111" s="1" t="s">
        <v>45</v>
      </c>
      <c r="CI111" s="1" t="s">
        <v>1888</v>
      </c>
      <c r="CJ111" s="1" t="s">
        <v>45</v>
      </c>
      <c r="DH111" s="1" t="s">
        <v>45</v>
      </c>
      <c r="DM111" s="1" t="s">
        <v>45</v>
      </c>
      <c r="DO111" s="1" t="s">
        <v>45</v>
      </c>
      <c r="DQ111" s="1" t="s">
        <v>45</v>
      </c>
      <c r="DT111" s="32">
        <v>45713</v>
      </c>
      <c r="DU111" s="1" t="s">
        <v>1598</v>
      </c>
      <c r="DV111" s="1">
        <v>22.3732479194042</v>
      </c>
      <c r="DW111" s="1" t="s">
        <v>45</v>
      </c>
    </row>
    <row r="112" spans="1:130" ht="15.75" customHeight="1" x14ac:dyDescent="0.2">
      <c r="A112" s="8" t="s">
        <v>855</v>
      </c>
      <c r="B112" s="32">
        <v>29768</v>
      </c>
      <c r="C112" s="32">
        <v>45035</v>
      </c>
      <c r="D112" s="1">
        <v>41.799626275693498</v>
      </c>
      <c r="E112" s="1" t="s">
        <v>1587</v>
      </c>
      <c r="F112" s="1" t="s">
        <v>1524</v>
      </c>
      <c r="G112" s="1" t="s">
        <v>1574</v>
      </c>
      <c r="H112" s="1" t="s">
        <v>51</v>
      </c>
      <c r="I112" s="1">
        <v>1.615</v>
      </c>
      <c r="J112" s="1" t="s">
        <v>51</v>
      </c>
      <c r="K112" s="1">
        <v>54</v>
      </c>
      <c r="L112" s="1">
        <v>20.7037352989101</v>
      </c>
      <c r="M112" s="1" t="s">
        <v>45</v>
      </c>
      <c r="N112" s="1" t="s">
        <v>45</v>
      </c>
      <c r="O112" s="1" t="s">
        <v>45</v>
      </c>
      <c r="P112" s="1" t="s">
        <v>45</v>
      </c>
      <c r="Q112" s="1" t="s">
        <v>45</v>
      </c>
      <c r="R112" s="1" t="s">
        <v>45</v>
      </c>
      <c r="S112" s="1" t="s">
        <v>45</v>
      </c>
      <c r="T112" s="1" t="s">
        <v>45</v>
      </c>
      <c r="U112" s="1" t="s">
        <v>45</v>
      </c>
      <c r="V112" s="1" t="s">
        <v>45</v>
      </c>
      <c r="W112" s="1" t="s">
        <v>45</v>
      </c>
      <c r="X112" s="1" t="s">
        <v>45</v>
      </c>
      <c r="Y112" s="1" t="s">
        <v>45</v>
      </c>
      <c r="Z112" s="1" t="s">
        <v>45</v>
      </c>
      <c r="AA112" s="1" t="s">
        <v>45</v>
      </c>
      <c r="AB112" s="1" t="s">
        <v>45</v>
      </c>
      <c r="AC112" s="1" t="s">
        <v>45</v>
      </c>
      <c r="AD112" s="1" t="s">
        <v>45</v>
      </c>
      <c r="AE112" s="1" t="s">
        <v>45</v>
      </c>
      <c r="AF112" s="32">
        <v>45036</v>
      </c>
      <c r="AG112" s="1">
        <v>41.802364182700501</v>
      </c>
      <c r="AH112" s="1" t="s">
        <v>1526</v>
      </c>
      <c r="AI112" s="1" t="s">
        <v>1527</v>
      </c>
      <c r="AJ112" s="1" t="s">
        <v>45</v>
      </c>
      <c r="AK112" s="1" t="s">
        <v>51</v>
      </c>
      <c r="AL112" s="1" t="s">
        <v>45</v>
      </c>
      <c r="AM112" s="1" t="s">
        <v>45</v>
      </c>
      <c r="AN112" s="1" t="s">
        <v>45</v>
      </c>
      <c r="AO112" s="1" t="s">
        <v>45</v>
      </c>
      <c r="AP112" s="1" t="s">
        <v>45</v>
      </c>
      <c r="AQ112" s="1" t="s">
        <v>45</v>
      </c>
      <c r="AR112" s="1" t="s">
        <v>45</v>
      </c>
      <c r="AT112" s="1" t="s">
        <v>1546</v>
      </c>
      <c r="AV112" s="1" t="s">
        <v>1889</v>
      </c>
      <c r="AW112" s="33" t="s">
        <v>1464</v>
      </c>
      <c r="AX112" s="3"/>
      <c r="AY112" s="33" t="s">
        <v>1889</v>
      </c>
      <c r="BB112" s="1" t="s">
        <v>1530</v>
      </c>
      <c r="BC112" s="1" t="s">
        <v>1531</v>
      </c>
      <c r="BD112" s="1" t="s">
        <v>1532</v>
      </c>
      <c r="BE112" s="1" t="s">
        <v>1603</v>
      </c>
      <c r="BF112" s="1" t="s">
        <v>1534</v>
      </c>
      <c r="BG112" s="1" t="s">
        <v>45</v>
      </c>
      <c r="BH112" s="1" t="s">
        <v>46</v>
      </c>
      <c r="BI112" s="1" t="s">
        <v>1535</v>
      </c>
      <c r="BJ112" s="1" t="s">
        <v>45</v>
      </c>
      <c r="BK112" s="1" t="s">
        <v>1536</v>
      </c>
      <c r="BL112" s="32">
        <v>45036</v>
      </c>
      <c r="BM112" s="1" t="s">
        <v>856</v>
      </c>
      <c r="BO112" s="1" t="s">
        <v>1537</v>
      </c>
      <c r="BP112" s="1" t="s">
        <v>1538</v>
      </c>
      <c r="BQ112" s="1" t="s">
        <v>1539</v>
      </c>
      <c r="BR112" s="1" t="s">
        <v>1552</v>
      </c>
      <c r="BS112" s="1" t="s">
        <v>106</v>
      </c>
      <c r="BU112" s="1" t="s">
        <v>51</v>
      </c>
      <c r="BV112" s="1" t="s">
        <v>1541</v>
      </c>
      <c r="BW112" s="1" t="s">
        <v>1563</v>
      </c>
      <c r="BX112" s="32">
        <v>45163</v>
      </c>
      <c r="BY112" s="1">
        <v>11</v>
      </c>
      <c r="BZ112" s="1" t="s">
        <v>1890</v>
      </c>
      <c r="CA112" s="1" t="s">
        <v>51</v>
      </c>
      <c r="CB112" s="1" t="s">
        <v>51</v>
      </c>
      <c r="CC112" s="32">
        <v>45076</v>
      </c>
      <c r="CD112" s="1">
        <v>59.4</v>
      </c>
      <c r="CE112" s="1">
        <v>33</v>
      </c>
      <c r="CJ112" s="1" t="s">
        <v>51</v>
      </c>
      <c r="CK112" s="32">
        <v>45559</v>
      </c>
      <c r="CL112" s="1" t="s">
        <v>51</v>
      </c>
      <c r="CM112" s="32">
        <v>45589</v>
      </c>
      <c r="CN112" s="1">
        <v>1.5140625748646399</v>
      </c>
      <c r="CO112" s="1" t="s">
        <v>1537</v>
      </c>
      <c r="CP112" s="1" t="s">
        <v>1566</v>
      </c>
      <c r="CQ112" s="1" t="s">
        <v>1539</v>
      </c>
      <c r="CR112" s="1" t="s">
        <v>1552</v>
      </c>
      <c r="CS112" s="1" t="s">
        <v>43</v>
      </c>
      <c r="CT112" s="1" t="s">
        <v>1528</v>
      </c>
      <c r="CW112" s="1">
        <v>4</v>
      </c>
      <c r="CX112" s="1" t="s">
        <v>1529</v>
      </c>
      <c r="CY112" s="1" t="s">
        <v>1530</v>
      </c>
      <c r="CZ112" s="1" t="s">
        <v>1531</v>
      </c>
      <c r="DA112" s="1" t="s">
        <v>1532</v>
      </c>
      <c r="DB112" s="1" t="s">
        <v>1603</v>
      </c>
      <c r="DC112" s="1" t="s">
        <v>1534</v>
      </c>
      <c r="DD112" s="1" t="s">
        <v>51</v>
      </c>
      <c r="DE112" s="1" t="s">
        <v>46</v>
      </c>
      <c r="DF112" s="1" t="s">
        <v>68</v>
      </c>
      <c r="DG112" s="1" t="s">
        <v>45</v>
      </c>
      <c r="DH112" s="1" t="s">
        <v>51</v>
      </c>
      <c r="DI112" s="1" t="s">
        <v>1891</v>
      </c>
      <c r="DJ112" s="32">
        <v>45707</v>
      </c>
      <c r="DM112" s="1" t="s">
        <v>51</v>
      </c>
      <c r="DN112" s="1" t="s">
        <v>1892</v>
      </c>
      <c r="DO112" s="1" t="s">
        <v>45</v>
      </c>
      <c r="DQ112" s="1" t="s">
        <v>45</v>
      </c>
      <c r="DT112" s="32">
        <v>45763</v>
      </c>
      <c r="DU112" s="1" t="s">
        <v>1598</v>
      </c>
      <c r="DV112" s="1">
        <v>23.883048620236501</v>
      </c>
      <c r="DW112" s="1" t="s">
        <v>45</v>
      </c>
      <c r="DY112" s="32">
        <v>45772</v>
      </c>
      <c r="DZ112" s="1" t="s">
        <v>1544</v>
      </c>
    </row>
    <row r="113" spans="1:130" ht="15.75" customHeight="1" x14ac:dyDescent="0.2">
      <c r="A113" s="8" t="s">
        <v>859</v>
      </c>
      <c r="B113" s="32">
        <v>23712</v>
      </c>
      <c r="C113" s="32">
        <v>45036</v>
      </c>
      <c r="D113" s="1">
        <v>58.383014937564297</v>
      </c>
      <c r="E113" s="1" t="s">
        <v>1587</v>
      </c>
      <c r="F113" s="1" t="s">
        <v>1578</v>
      </c>
      <c r="G113" s="1" t="s">
        <v>1574</v>
      </c>
      <c r="H113" s="1" t="s">
        <v>51</v>
      </c>
      <c r="I113" s="1">
        <v>1.6819999999999999</v>
      </c>
      <c r="J113" s="1" t="s">
        <v>51</v>
      </c>
      <c r="K113" s="1">
        <v>54.4</v>
      </c>
      <c r="L113" s="1">
        <v>19.228566863806599</v>
      </c>
      <c r="M113" s="1" t="s">
        <v>45</v>
      </c>
      <c r="N113" s="1" t="s">
        <v>45</v>
      </c>
      <c r="O113" s="1" t="s">
        <v>45</v>
      </c>
      <c r="P113" s="1" t="s">
        <v>45</v>
      </c>
      <c r="Q113" s="1" t="s">
        <v>45</v>
      </c>
      <c r="R113" s="1" t="s">
        <v>45</v>
      </c>
      <c r="S113" s="1" t="s">
        <v>45</v>
      </c>
      <c r="T113" s="1" t="s">
        <v>45</v>
      </c>
      <c r="U113" s="1" t="s">
        <v>45</v>
      </c>
      <c r="V113" s="1" t="s">
        <v>45</v>
      </c>
      <c r="W113" s="1" t="s">
        <v>45</v>
      </c>
      <c r="X113" s="1" t="s">
        <v>45</v>
      </c>
      <c r="Y113" s="1" t="s">
        <v>45</v>
      </c>
      <c r="Z113" s="1" t="s">
        <v>45</v>
      </c>
      <c r="AA113" s="1" t="s">
        <v>45</v>
      </c>
      <c r="AB113" s="1" t="s">
        <v>45</v>
      </c>
      <c r="AC113" s="1" t="s">
        <v>45</v>
      </c>
      <c r="AD113" s="1" t="s">
        <v>45</v>
      </c>
      <c r="AE113" s="1" t="s">
        <v>45</v>
      </c>
      <c r="AF113" s="32">
        <v>45037</v>
      </c>
      <c r="AG113" s="1">
        <v>58.3857528445713</v>
      </c>
      <c r="AH113" s="1" t="s">
        <v>1526</v>
      </c>
      <c r="AI113" s="1" t="s">
        <v>1527</v>
      </c>
      <c r="AJ113" s="1" t="s">
        <v>45</v>
      </c>
      <c r="AK113" s="1" t="s">
        <v>45</v>
      </c>
      <c r="AL113" s="1" t="s">
        <v>51</v>
      </c>
      <c r="AM113" s="1" t="s">
        <v>51</v>
      </c>
      <c r="AN113" s="1" t="s">
        <v>45</v>
      </c>
      <c r="AO113" s="1" t="s">
        <v>45</v>
      </c>
      <c r="AP113" s="1" t="s">
        <v>51</v>
      </c>
      <c r="AQ113" s="1" t="s">
        <v>45</v>
      </c>
      <c r="AR113" s="1" t="s">
        <v>51</v>
      </c>
      <c r="AS113" s="1" t="s">
        <v>1893</v>
      </c>
      <c r="AT113" s="1" t="s">
        <v>1528</v>
      </c>
      <c r="AW113" s="33" t="s">
        <v>1463</v>
      </c>
      <c r="AX113" s="3" t="s">
        <v>1528</v>
      </c>
      <c r="AY113" s="3"/>
      <c r="AZ113" s="1">
        <v>4</v>
      </c>
      <c r="BA113" s="1" t="s">
        <v>1529</v>
      </c>
      <c r="BB113" s="1" t="s">
        <v>1530</v>
      </c>
      <c r="BC113" s="1" t="s">
        <v>1531</v>
      </c>
      <c r="BD113" s="1" t="s">
        <v>1532</v>
      </c>
      <c r="BE113" s="1" t="s">
        <v>1533</v>
      </c>
      <c r="BF113" s="1" t="s">
        <v>1534</v>
      </c>
      <c r="BG113" s="1" t="s">
        <v>45</v>
      </c>
      <c r="BH113" s="1" t="s">
        <v>46</v>
      </c>
      <c r="BI113" s="1" t="s">
        <v>1535</v>
      </c>
      <c r="BJ113" s="1" t="s">
        <v>51</v>
      </c>
      <c r="BK113" s="1" t="s">
        <v>1536</v>
      </c>
      <c r="BL113" s="32">
        <v>45037</v>
      </c>
      <c r="BM113" s="1" t="s">
        <v>860</v>
      </c>
      <c r="BO113" s="1" t="s">
        <v>1537</v>
      </c>
      <c r="BP113" s="1" t="s">
        <v>1538</v>
      </c>
      <c r="BQ113" s="1" t="s">
        <v>1539</v>
      </c>
      <c r="BR113" s="1" t="s">
        <v>1552</v>
      </c>
      <c r="BS113" s="1" t="s">
        <v>106</v>
      </c>
      <c r="BU113" s="1" t="s">
        <v>45</v>
      </c>
      <c r="BW113" s="1" t="s">
        <v>1563</v>
      </c>
      <c r="BX113" s="32">
        <v>45149</v>
      </c>
      <c r="BY113" s="1">
        <v>11</v>
      </c>
      <c r="BZ113" s="1" t="s">
        <v>1894</v>
      </c>
      <c r="CA113" s="1" t="s">
        <v>51</v>
      </c>
      <c r="CB113" s="1" t="s">
        <v>51</v>
      </c>
      <c r="CC113" s="32">
        <v>45069</v>
      </c>
      <c r="CD113" s="1">
        <v>60</v>
      </c>
      <c r="CE113" s="1">
        <v>30</v>
      </c>
      <c r="CF113" s="1" t="s">
        <v>1895</v>
      </c>
      <c r="CJ113" s="1" t="s">
        <v>45</v>
      </c>
      <c r="DH113" s="1" t="s">
        <v>45</v>
      </c>
      <c r="DM113" s="1" t="s">
        <v>45</v>
      </c>
      <c r="DO113" s="1" t="s">
        <v>45</v>
      </c>
      <c r="DQ113" s="1" t="s">
        <v>45</v>
      </c>
      <c r="DT113" s="32">
        <v>45740</v>
      </c>
      <c r="DU113" s="1" t="s">
        <v>1598</v>
      </c>
      <c r="DV113" s="1">
        <v>23.094612352168198</v>
      </c>
      <c r="DW113" s="1" t="s">
        <v>45</v>
      </c>
      <c r="DY113" s="32">
        <v>45771</v>
      </c>
      <c r="DZ113" s="1" t="s">
        <v>1544</v>
      </c>
    </row>
    <row r="114" spans="1:130" ht="15.75" customHeight="1" x14ac:dyDescent="0.2">
      <c r="A114" s="8" t="s">
        <v>863</v>
      </c>
      <c r="B114" s="32">
        <v>25355</v>
      </c>
      <c r="C114" s="32">
        <v>45036</v>
      </c>
      <c r="D114" s="1">
        <v>53.884747804540801</v>
      </c>
      <c r="E114" s="1" t="s">
        <v>1523</v>
      </c>
      <c r="F114" s="1" t="s">
        <v>1524</v>
      </c>
      <c r="G114" s="1" t="s">
        <v>1545</v>
      </c>
      <c r="H114" s="1" t="s">
        <v>51</v>
      </c>
      <c r="I114" s="1">
        <v>1.76</v>
      </c>
      <c r="J114" s="1" t="s">
        <v>51</v>
      </c>
      <c r="K114" s="1">
        <v>65</v>
      </c>
      <c r="L114" s="1">
        <v>20.9839876033057</v>
      </c>
      <c r="M114" s="1" t="s">
        <v>45</v>
      </c>
      <c r="N114" s="1" t="s">
        <v>45</v>
      </c>
      <c r="O114" s="1" t="s">
        <v>45</v>
      </c>
      <c r="P114" s="1" t="s">
        <v>45</v>
      </c>
      <c r="Q114" s="1" t="s">
        <v>45</v>
      </c>
      <c r="R114" s="1" t="s">
        <v>45</v>
      </c>
      <c r="S114" s="1" t="s">
        <v>45</v>
      </c>
      <c r="T114" s="1" t="s">
        <v>45</v>
      </c>
      <c r="U114" s="1" t="s">
        <v>45</v>
      </c>
      <c r="V114" s="1" t="s">
        <v>45</v>
      </c>
      <c r="W114" s="1" t="s">
        <v>45</v>
      </c>
      <c r="X114" s="1" t="s">
        <v>45</v>
      </c>
      <c r="Y114" s="1" t="s">
        <v>45</v>
      </c>
      <c r="Z114" s="1" t="s">
        <v>45</v>
      </c>
      <c r="AA114" s="1" t="s">
        <v>45</v>
      </c>
      <c r="AB114" s="1" t="s">
        <v>45</v>
      </c>
      <c r="AC114" s="1" t="s">
        <v>45</v>
      </c>
      <c r="AD114" s="1" t="s">
        <v>45</v>
      </c>
      <c r="AE114" s="1" t="s">
        <v>45</v>
      </c>
      <c r="AF114" s="32">
        <v>45041</v>
      </c>
      <c r="AG114" s="1">
        <v>53.8984373395757</v>
      </c>
      <c r="AH114" s="1" t="s">
        <v>1526</v>
      </c>
      <c r="AI114" s="1" t="s">
        <v>1527</v>
      </c>
      <c r="AJ114" s="1" t="s">
        <v>45</v>
      </c>
      <c r="AK114" s="1" t="s">
        <v>45</v>
      </c>
      <c r="AL114" s="1" t="s">
        <v>51</v>
      </c>
      <c r="AM114" s="1" t="s">
        <v>45</v>
      </c>
      <c r="AN114" s="1" t="s">
        <v>45</v>
      </c>
      <c r="AO114" s="1" t="s">
        <v>45</v>
      </c>
      <c r="AP114" s="1" t="s">
        <v>45</v>
      </c>
      <c r="AQ114" s="1" t="s">
        <v>45</v>
      </c>
      <c r="AR114" s="1" t="s">
        <v>51</v>
      </c>
      <c r="AS114" s="1" t="s">
        <v>1896</v>
      </c>
      <c r="AT114" s="1" t="s">
        <v>1528</v>
      </c>
      <c r="AW114" s="33" t="s">
        <v>1463</v>
      </c>
      <c r="AX114" s="3" t="s">
        <v>1528</v>
      </c>
      <c r="AY114" s="3"/>
      <c r="AZ114" s="1">
        <v>4</v>
      </c>
      <c r="BA114" s="1" t="s">
        <v>1529</v>
      </c>
      <c r="BB114" s="1" t="s">
        <v>1530</v>
      </c>
      <c r="BC114" s="1" t="s">
        <v>1531</v>
      </c>
      <c r="BD114" s="1" t="s">
        <v>1532</v>
      </c>
      <c r="BE114" s="1" t="s">
        <v>1533</v>
      </c>
      <c r="BF114" s="1" t="s">
        <v>1534</v>
      </c>
      <c r="BG114" s="1" t="s">
        <v>45</v>
      </c>
      <c r="BH114" s="1" t="s">
        <v>46</v>
      </c>
      <c r="BI114" s="1" t="s">
        <v>1535</v>
      </c>
      <c r="BJ114" s="1" t="s">
        <v>45</v>
      </c>
      <c r="BK114" s="1" t="s">
        <v>1536</v>
      </c>
      <c r="BL114" s="32">
        <v>45041</v>
      </c>
      <c r="BM114" s="1" t="s">
        <v>864</v>
      </c>
      <c r="BO114" s="1" t="s">
        <v>1537</v>
      </c>
      <c r="BP114" s="1" t="s">
        <v>1538</v>
      </c>
      <c r="BQ114" s="1" t="s">
        <v>1539</v>
      </c>
      <c r="BR114" s="1" t="s">
        <v>1552</v>
      </c>
      <c r="BS114" s="1" t="s">
        <v>50</v>
      </c>
      <c r="BU114" s="1" t="s">
        <v>51</v>
      </c>
      <c r="BV114" s="1" t="s">
        <v>1541</v>
      </c>
      <c r="BW114" s="1" t="s">
        <v>1563</v>
      </c>
      <c r="CA114" s="1" t="s">
        <v>51</v>
      </c>
      <c r="CB114" s="1" t="s">
        <v>51</v>
      </c>
      <c r="CC114" s="32">
        <v>45090</v>
      </c>
      <c r="CD114" s="1">
        <v>60</v>
      </c>
      <c r="CE114" s="1">
        <v>30</v>
      </c>
      <c r="CI114" s="1" t="s">
        <v>1897</v>
      </c>
      <c r="CJ114" s="1" t="s">
        <v>51</v>
      </c>
      <c r="CL114" s="1" t="s">
        <v>45</v>
      </c>
      <c r="DH114" s="1" t="s">
        <v>45</v>
      </c>
      <c r="DM114" s="1" t="s">
        <v>45</v>
      </c>
      <c r="DO114" s="1" t="s">
        <v>45</v>
      </c>
      <c r="DQ114" s="1" t="s">
        <v>45</v>
      </c>
      <c r="DT114" s="32">
        <v>45269</v>
      </c>
      <c r="DU114" s="1" t="s">
        <v>1543</v>
      </c>
      <c r="DV114" s="1">
        <v>7.4915133596145402</v>
      </c>
      <c r="DW114" s="1" t="s">
        <v>45</v>
      </c>
      <c r="DY114" s="32">
        <v>45771</v>
      </c>
      <c r="DZ114" s="1" t="s">
        <v>1544</v>
      </c>
    </row>
    <row r="115" spans="1:130" ht="15.75" customHeight="1" x14ac:dyDescent="0.2">
      <c r="A115" s="8" t="s">
        <v>867</v>
      </c>
      <c r="B115" s="32">
        <v>27515</v>
      </c>
      <c r="C115" s="32">
        <v>45035</v>
      </c>
      <c r="D115" s="1">
        <v>47.968130762438598</v>
      </c>
      <c r="E115" s="1" t="s">
        <v>1523</v>
      </c>
      <c r="F115" s="1" t="s">
        <v>1524</v>
      </c>
      <c r="G115" s="1" t="s">
        <v>1545</v>
      </c>
      <c r="H115" s="1" t="s">
        <v>51</v>
      </c>
      <c r="I115" s="1">
        <v>1.7649999999999999</v>
      </c>
      <c r="J115" s="1" t="s">
        <v>51</v>
      </c>
      <c r="K115" s="1">
        <v>83</v>
      </c>
      <c r="L115" s="1">
        <v>26.643340368673201</v>
      </c>
      <c r="M115" s="1" t="s">
        <v>45</v>
      </c>
      <c r="N115" s="1" t="s">
        <v>45</v>
      </c>
      <c r="O115" s="1" t="s">
        <v>45</v>
      </c>
      <c r="P115" s="1" t="s">
        <v>45</v>
      </c>
      <c r="Q115" s="1" t="s">
        <v>45</v>
      </c>
      <c r="R115" s="1" t="s">
        <v>45</v>
      </c>
      <c r="S115" s="1" t="s">
        <v>45</v>
      </c>
      <c r="T115" s="1" t="s">
        <v>45</v>
      </c>
      <c r="U115" s="1" t="s">
        <v>51</v>
      </c>
      <c r="V115" s="1" t="s">
        <v>45</v>
      </c>
      <c r="W115" s="1" t="s">
        <v>45</v>
      </c>
      <c r="X115" s="1" t="s">
        <v>45</v>
      </c>
      <c r="Y115" s="1" t="s">
        <v>45</v>
      </c>
      <c r="Z115" s="1" t="s">
        <v>45</v>
      </c>
      <c r="AA115" s="1" t="s">
        <v>45</v>
      </c>
      <c r="AB115" s="1" t="s">
        <v>45</v>
      </c>
      <c r="AC115" s="1" t="s">
        <v>45</v>
      </c>
      <c r="AD115" s="1" t="s">
        <v>45</v>
      </c>
      <c r="AE115" s="1" t="s">
        <v>45</v>
      </c>
      <c r="AF115" s="32">
        <v>45042</v>
      </c>
      <c r="AG115" s="1">
        <v>47.987296111487503</v>
      </c>
      <c r="AH115" s="1" t="s">
        <v>1625</v>
      </c>
      <c r="AI115" s="1" t="s">
        <v>1527</v>
      </c>
      <c r="AJ115" s="1" t="s">
        <v>45</v>
      </c>
      <c r="AK115" s="1" t="s">
        <v>45</v>
      </c>
      <c r="AL115" s="1" t="s">
        <v>45</v>
      </c>
      <c r="AM115" s="1" t="s">
        <v>45</v>
      </c>
      <c r="AN115" s="1" t="s">
        <v>51</v>
      </c>
      <c r="AO115" s="1" t="s">
        <v>45</v>
      </c>
      <c r="AP115" s="1" t="s">
        <v>51</v>
      </c>
      <c r="AQ115" s="1" t="s">
        <v>45</v>
      </c>
      <c r="AR115" s="1" t="s">
        <v>45</v>
      </c>
      <c r="AT115" s="1" t="s">
        <v>1528</v>
      </c>
      <c r="AW115" s="33" t="s">
        <v>1463</v>
      </c>
      <c r="AX115" s="3" t="s">
        <v>1528</v>
      </c>
      <c r="AY115" s="3"/>
      <c r="AZ115" s="1">
        <v>4</v>
      </c>
      <c r="BA115" s="1" t="s">
        <v>1529</v>
      </c>
      <c r="BB115" s="1" t="s">
        <v>1530</v>
      </c>
      <c r="BC115" s="1" t="s">
        <v>1531</v>
      </c>
      <c r="BD115" s="1" t="s">
        <v>1532</v>
      </c>
      <c r="BE115" s="1" t="s">
        <v>1603</v>
      </c>
      <c r="BF115" s="1" t="s">
        <v>1534</v>
      </c>
      <c r="BG115" s="1" t="s">
        <v>45</v>
      </c>
      <c r="BH115" s="1" t="s">
        <v>46</v>
      </c>
      <c r="BI115" s="1" t="s">
        <v>1535</v>
      </c>
      <c r="BJ115" s="1" t="s">
        <v>45</v>
      </c>
      <c r="BK115" s="1" t="s">
        <v>1536</v>
      </c>
      <c r="BL115" s="32">
        <v>45042</v>
      </c>
      <c r="BM115" s="1" t="s">
        <v>868</v>
      </c>
      <c r="BN115" s="1" t="s">
        <v>45</v>
      </c>
      <c r="BO115" s="1" t="s">
        <v>1537</v>
      </c>
      <c r="BP115" s="1" t="s">
        <v>1538</v>
      </c>
      <c r="BQ115" s="1" t="s">
        <v>1539</v>
      </c>
      <c r="BR115" s="1" t="s">
        <v>1552</v>
      </c>
      <c r="BS115" s="1" t="s">
        <v>106</v>
      </c>
      <c r="BW115" s="1" t="s">
        <v>1563</v>
      </c>
      <c r="BX115" s="32">
        <v>45133</v>
      </c>
      <c r="BY115" s="1">
        <v>11</v>
      </c>
      <c r="BZ115" s="1" t="s">
        <v>1898</v>
      </c>
      <c r="CA115" s="1" t="s">
        <v>51</v>
      </c>
      <c r="CB115" s="1" t="s">
        <v>51</v>
      </c>
      <c r="CC115" s="32">
        <v>45077</v>
      </c>
      <c r="CD115" s="1">
        <v>40.049999999999997</v>
      </c>
      <c r="CE115" s="1">
        <v>15</v>
      </c>
      <c r="CJ115" s="1" t="s">
        <v>51</v>
      </c>
      <c r="CK115" s="32">
        <v>45641</v>
      </c>
      <c r="CL115" s="1" t="s">
        <v>45</v>
      </c>
      <c r="DH115" s="1" t="s">
        <v>51</v>
      </c>
      <c r="DI115" s="1" t="s">
        <v>1899</v>
      </c>
      <c r="DJ115" s="32">
        <v>45644</v>
      </c>
      <c r="DM115" s="1" t="s">
        <v>45</v>
      </c>
      <c r="DO115" s="1" t="s">
        <v>45</v>
      </c>
      <c r="DQ115" s="1" t="s">
        <v>45</v>
      </c>
      <c r="DT115" s="32">
        <v>45756</v>
      </c>
      <c r="DU115" s="1" t="s">
        <v>1598</v>
      </c>
      <c r="DV115" s="1">
        <v>23.455978975032799</v>
      </c>
      <c r="DW115" s="1" t="s">
        <v>45</v>
      </c>
      <c r="DY115" s="32">
        <v>45852</v>
      </c>
      <c r="DZ115" s="1" t="s">
        <v>1544</v>
      </c>
    </row>
    <row r="116" spans="1:130" ht="15.75" customHeight="1" x14ac:dyDescent="0.2">
      <c r="A116" s="8" t="s">
        <v>874</v>
      </c>
      <c r="B116" s="32">
        <v>27851</v>
      </c>
      <c r="C116" s="32">
        <v>45027</v>
      </c>
      <c r="D116" s="1">
        <v>47.026290752034598</v>
      </c>
      <c r="E116" s="1" t="s">
        <v>1587</v>
      </c>
      <c r="F116" s="1" t="s">
        <v>1524</v>
      </c>
      <c r="G116" s="1" t="s">
        <v>1574</v>
      </c>
      <c r="H116" s="1" t="s">
        <v>51</v>
      </c>
      <c r="I116" s="1">
        <v>1.63</v>
      </c>
      <c r="J116" s="1" t="s">
        <v>51</v>
      </c>
      <c r="K116" s="1">
        <v>52.9</v>
      </c>
      <c r="L116" s="1">
        <v>19.910421920283</v>
      </c>
      <c r="M116" s="1" t="s">
        <v>45</v>
      </c>
      <c r="N116" s="1" t="s">
        <v>45</v>
      </c>
      <c r="O116" s="1" t="s">
        <v>45</v>
      </c>
      <c r="P116" s="1" t="s">
        <v>45</v>
      </c>
      <c r="Q116" s="1" t="s">
        <v>45</v>
      </c>
      <c r="R116" s="1" t="s">
        <v>45</v>
      </c>
      <c r="S116" s="1" t="s">
        <v>45</v>
      </c>
      <c r="T116" s="1" t="s">
        <v>45</v>
      </c>
      <c r="U116" s="1" t="s">
        <v>45</v>
      </c>
      <c r="V116" s="1" t="s">
        <v>45</v>
      </c>
      <c r="W116" s="1" t="s">
        <v>45</v>
      </c>
      <c r="X116" s="1" t="s">
        <v>45</v>
      </c>
      <c r="Y116" s="1" t="s">
        <v>45</v>
      </c>
      <c r="Z116" s="1" t="s">
        <v>45</v>
      </c>
      <c r="AA116" s="1" t="s">
        <v>45</v>
      </c>
      <c r="AB116" s="1" t="s">
        <v>45</v>
      </c>
      <c r="AC116" s="1" t="s">
        <v>45</v>
      </c>
      <c r="AD116" s="1" t="s">
        <v>45</v>
      </c>
      <c r="AE116" s="1" t="s">
        <v>45</v>
      </c>
      <c r="AF116" s="32">
        <v>45005</v>
      </c>
      <c r="AG116" s="1">
        <v>46.966056797880803</v>
      </c>
      <c r="AH116" s="1" t="s">
        <v>1526</v>
      </c>
      <c r="AI116" s="1" t="s">
        <v>1527</v>
      </c>
      <c r="AJ116" s="1" t="s">
        <v>45</v>
      </c>
      <c r="AK116" s="1" t="s">
        <v>51</v>
      </c>
      <c r="AL116" s="1" t="s">
        <v>45</v>
      </c>
      <c r="AM116" s="1" t="s">
        <v>45</v>
      </c>
      <c r="AN116" s="1" t="s">
        <v>45</v>
      </c>
      <c r="AO116" s="1" t="s">
        <v>45</v>
      </c>
      <c r="AP116" s="1" t="s">
        <v>45</v>
      </c>
      <c r="AQ116" s="1" t="s">
        <v>51</v>
      </c>
      <c r="AR116" s="1" t="s">
        <v>51</v>
      </c>
      <c r="AS116" s="1" t="s">
        <v>1893</v>
      </c>
      <c r="AT116" s="1" t="s">
        <v>1528</v>
      </c>
      <c r="AW116" s="33" t="s">
        <v>1463</v>
      </c>
      <c r="AX116" s="3" t="s">
        <v>1528</v>
      </c>
      <c r="AY116" s="3"/>
      <c r="AZ116" s="1">
        <v>4</v>
      </c>
      <c r="BA116" s="1" t="s">
        <v>1529</v>
      </c>
      <c r="BB116" s="1" t="s">
        <v>1530</v>
      </c>
      <c r="BC116" s="1" t="s">
        <v>1531</v>
      </c>
      <c r="BD116" s="1" t="s">
        <v>1532</v>
      </c>
      <c r="BE116" s="1" t="s">
        <v>1603</v>
      </c>
      <c r="BF116" s="1" t="s">
        <v>1534</v>
      </c>
      <c r="BG116" s="1" t="s">
        <v>45</v>
      </c>
      <c r="BH116" s="1" t="s">
        <v>46</v>
      </c>
      <c r="BI116" s="1" t="s">
        <v>1535</v>
      </c>
      <c r="BJ116" s="1" t="s">
        <v>1525</v>
      </c>
      <c r="BK116" s="1" t="s">
        <v>1536</v>
      </c>
      <c r="BL116" s="32">
        <v>45043</v>
      </c>
      <c r="BM116" s="1" t="s">
        <v>875</v>
      </c>
      <c r="BN116" s="1" t="s">
        <v>45</v>
      </c>
      <c r="BO116" s="1" t="s">
        <v>1537</v>
      </c>
      <c r="BP116" s="1" t="s">
        <v>1538</v>
      </c>
      <c r="BQ116" s="1" t="s">
        <v>1539</v>
      </c>
      <c r="BR116" s="1" t="s">
        <v>1540</v>
      </c>
      <c r="BS116" s="1" t="s">
        <v>106</v>
      </c>
      <c r="BU116" s="1" t="s">
        <v>45</v>
      </c>
      <c r="BW116" s="1" t="s">
        <v>1563</v>
      </c>
      <c r="BX116" s="32">
        <v>45147</v>
      </c>
      <c r="BY116" s="1">
        <v>12</v>
      </c>
      <c r="BZ116" s="1" t="s">
        <v>1900</v>
      </c>
      <c r="CA116" s="1" t="s">
        <v>51</v>
      </c>
      <c r="CB116" s="1" t="s">
        <v>51</v>
      </c>
      <c r="CC116" s="32">
        <v>45069</v>
      </c>
      <c r="CD116" s="1">
        <v>60</v>
      </c>
      <c r="CE116" s="1">
        <v>30</v>
      </c>
      <c r="CJ116" s="1" t="s">
        <v>51</v>
      </c>
      <c r="CK116" s="32">
        <v>45550</v>
      </c>
      <c r="CL116" s="1" t="s">
        <v>45</v>
      </c>
      <c r="DH116" s="1" t="s">
        <v>51</v>
      </c>
      <c r="DI116" s="1" t="s">
        <v>1901</v>
      </c>
      <c r="DJ116" s="32">
        <v>45576</v>
      </c>
      <c r="DK116" s="1" t="s">
        <v>1569</v>
      </c>
      <c r="DM116" s="1" t="s">
        <v>45</v>
      </c>
      <c r="DO116" s="1" t="s">
        <v>45</v>
      </c>
      <c r="DQ116" s="1" t="s">
        <v>45</v>
      </c>
      <c r="DT116" s="32">
        <v>45722</v>
      </c>
      <c r="DU116" s="1" t="s">
        <v>1543</v>
      </c>
      <c r="DV116" s="1">
        <v>23.554533508541301</v>
      </c>
      <c r="DW116" s="1" t="s">
        <v>45</v>
      </c>
      <c r="DY116" s="32">
        <v>45852</v>
      </c>
      <c r="DZ116" s="1" t="s">
        <v>1544</v>
      </c>
    </row>
    <row r="117" spans="1:130" ht="15.75" customHeight="1" x14ac:dyDescent="0.2">
      <c r="A117" s="8" t="s">
        <v>881</v>
      </c>
      <c r="B117" s="32">
        <v>28887</v>
      </c>
      <c r="C117" s="32">
        <v>45038</v>
      </c>
      <c r="D117" s="1">
        <v>44.219821990412697</v>
      </c>
      <c r="E117" s="1" t="s">
        <v>1523</v>
      </c>
      <c r="F117" s="1" t="s">
        <v>1524</v>
      </c>
      <c r="G117" s="1" t="s">
        <v>1574</v>
      </c>
      <c r="H117" s="1" t="s">
        <v>51</v>
      </c>
      <c r="I117" s="1">
        <v>1.3520000000000001</v>
      </c>
      <c r="J117" s="1" t="s">
        <v>51</v>
      </c>
      <c r="K117" s="1">
        <v>78.900000000000006</v>
      </c>
      <c r="L117" s="1">
        <v>43.164192430237001</v>
      </c>
      <c r="M117" s="1" t="s">
        <v>45</v>
      </c>
      <c r="N117" s="1" t="s">
        <v>45</v>
      </c>
      <c r="O117" s="1" t="s">
        <v>45</v>
      </c>
      <c r="P117" s="1" t="s">
        <v>45</v>
      </c>
      <c r="Q117" s="1" t="s">
        <v>45</v>
      </c>
      <c r="R117" s="1" t="s">
        <v>45</v>
      </c>
      <c r="S117" s="1" t="s">
        <v>45</v>
      </c>
      <c r="T117" s="1" t="s">
        <v>45</v>
      </c>
      <c r="U117" s="1" t="s">
        <v>45</v>
      </c>
      <c r="V117" s="1" t="s">
        <v>45</v>
      </c>
      <c r="W117" s="1" t="s">
        <v>45</v>
      </c>
      <c r="X117" s="1" t="s">
        <v>45</v>
      </c>
      <c r="Y117" s="1" t="s">
        <v>45</v>
      </c>
      <c r="Z117" s="1" t="s">
        <v>45</v>
      </c>
      <c r="AA117" s="1" t="s">
        <v>45</v>
      </c>
      <c r="AB117" s="1" t="s">
        <v>45</v>
      </c>
      <c r="AC117" s="1" t="s">
        <v>45</v>
      </c>
      <c r="AD117" s="1" t="s">
        <v>45</v>
      </c>
      <c r="AE117" s="1" t="s">
        <v>45</v>
      </c>
      <c r="AF117" s="32">
        <v>45046</v>
      </c>
      <c r="AG117" s="1">
        <v>44.241725246468597</v>
      </c>
      <c r="AH117" s="1" t="s">
        <v>1526</v>
      </c>
      <c r="AI117" s="1" t="s">
        <v>1527</v>
      </c>
      <c r="AJ117" s="1" t="s">
        <v>45</v>
      </c>
      <c r="AK117" s="1" t="s">
        <v>51</v>
      </c>
      <c r="AL117" s="1" t="s">
        <v>45</v>
      </c>
      <c r="AM117" s="1" t="s">
        <v>51</v>
      </c>
      <c r="AN117" s="1" t="s">
        <v>45</v>
      </c>
      <c r="AO117" s="1" t="s">
        <v>45</v>
      </c>
      <c r="AP117" s="1" t="s">
        <v>45</v>
      </c>
      <c r="AQ117" s="1" t="s">
        <v>45</v>
      </c>
      <c r="AR117" s="1" t="s">
        <v>51</v>
      </c>
      <c r="AS117" s="1" t="s">
        <v>1902</v>
      </c>
      <c r="AT117" s="1" t="s">
        <v>1528</v>
      </c>
      <c r="AW117" s="33" t="s">
        <v>1463</v>
      </c>
      <c r="AX117" s="3" t="s">
        <v>1528</v>
      </c>
      <c r="AY117" s="3"/>
      <c r="AZ117" s="1">
        <v>4</v>
      </c>
      <c r="BA117" s="1" t="s">
        <v>1529</v>
      </c>
      <c r="BB117" s="1" t="s">
        <v>1530</v>
      </c>
      <c r="BC117" s="1" t="s">
        <v>1531</v>
      </c>
      <c r="BD117" s="1" t="s">
        <v>1532</v>
      </c>
      <c r="BE117" s="1" t="s">
        <v>1533</v>
      </c>
      <c r="BF117" s="1" t="s">
        <v>1534</v>
      </c>
      <c r="BG117" s="1" t="s">
        <v>45</v>
      </c>
      <c r="BH117" s="1" t="s">
        <v>46</v>
      </c>
      <c r="BI117" s="1" t="s">
        <v>1535</v>
      </c>
      <c r="BJ117" s="1" t="s">
        <v>45</v>
      </c>
      <c r="BK117" s="1" t="s">
        <v>1536</v>
      </c>
      <c r="BL117" s="32">
        <v>45046</v>
      </c>
      <c r="BM117" s="1" t="s">
        <v>882</v>
      </c>
      <c r="BO117" s="1" t="s">
        <v>1537</v>
      </c>
      <c r="BP117" s="1" t="s">
        <v>1538</v>
      </c>
      <c r="BQ117" s="1" t="s">
        <v>1647</v>
      </c>
      <c r="BR117" s="1" t="s">
        <v>1552</v>
      </c>
      <c r="BS117" s="1" t="s">
        <v>50</v>
      </c>
      <c r="BU117" s="1" t="s">
        <v>51</v>
      </c>
      <c r="BV117" s="1" t="s">
        <v>1541</v>
      </c>
      <c r="BW117" s="1" t="s">
        <v>1563</v>
      </c>
      <c r="BX117" s="32">
        <v>45163</v>
      </c>
      <c r="BY117" s="1">
        <v>5</v>
      </c>
      <c r="BZ117" s="1" t="s">
        <v>1903</v>
      </c>
      <c r="CA117" s="1" t="s">
        <v>51</v>
      </c>
      <c r="CB117" s="1" t="s">
        <v>51</v>
      </c>
      <c r="CC117" s="32">
        <v>45082</v>
      </c>
      <c r="CD117" s="1">
        <v>60</v>
      </c>
      <c r="CE117" s="1">
        <v>30</v>
      </c>
      <c r="CF117" s="1" t="s">
        <v>1904</v>
      </c>
      <c r="CH117" s="1" t="s">
        <v>1905</v>
      </c>
      <c r="CJ117" s="1" t="s">
        <v>51</v>
      </c>
      <c r="CK117" s="32">
        <v>45502</v>
      </c>
      <c r="CL117" s="1" t="s">
        <v>51</v>
      </c>
      <c r="CM117" s="32">
        <v>45502</v>
      </c>
      <c r="CN117" s="1">
        <v>1.24848559518675</v>
      </c>
      <c r="CO117" s="1" t="s">
        <v>1537</v>
      </c>
      <c r="CP117" s="1" t="s">
        <v>1796</v>
      </c>
      <c r="CR117" s="1" t="s">
        <v>1552</v>
      </c>
      <c r="CS117" s="1" t="s">
        <v>50</v>
      </c>
      <c r="CT117" s="1" t="s">
        <v>1528</v>
      </c>
      <c r="CW117" s="1">
        <v>4</v>
      </c>
      <c r="CX117" s="1" t="s">
        <v>1529</v>
      </c>
      <c r="CY117" s="1" t="s">
        <v>1530</v>
      </c>
      <c r="CZ117" s="1" t="s">
        <v>1531</v>
      </c>
      <c r="DA117" s="1" t="s">
        <v>1532</v>
      </c>
      <c r="DB117" s="1" t="s">
        <v>1533</v>
      </c>
      <c r="DC117" s="1" t="s">
        <v>1534</v>
      </c>
      <c r="DD117" s="1" t="s">
        <v>45</v>
      </c>
      <c r="DE117" s="1" t="s">
        <v>46</v>
      </c>
      <c r="DF117" s="1" t="s">
        <v>68</v>
      </c>
      <c r="DG117" s="1" t="s">
        <v>45</v>
      </c>
      <c r="DH117" s="1" t="s">
        <v>51</v>
      </c>
      <c r="DI117" s="1" t="s">
        <v>1906</v>
      </c>
      <c r="DJ117" s="32">
        <v>45520</v>
      </c>
      <c r="DK117" s="1" t="s">
        <v>1569</v>
      </c>
      <c r="DM117" s="1" t="s">
        <v>45</v>
      </c>
      <c r="DO117" s="1" t="s">
        <v>45</v>
      </c>
      <c r="DQ117" s="1" t="s">
        <v>45</v>
      </c>
      <c r="DT117" s="32">
        <v>45877</v>
      </c>
      <c r="DU117" s="1" t="s">
        <v>1543</v>
      </c>
      <c r="DV117" s="1">
        <v>27.2996057818659</v>
      </c>
      <c r="DW117" s="1" t="s">
        <v>45</v>
      </c>
      <c r="DY117" s="32">
        <v>45771</v>
      </c>
      <c r="DZ117" s="1" t="s">
        <v>1544</v>
      </c>
    </row>
    <row r="118" spans="1:130" ht="15.75" customHeight="1" x14ac:dyDescent="0.2">
      <c r="A118" s="8" t="s">
        <v>766</v>
      </c>
      <c r="B118" s="32">
        <v>30013</v>
      </c>
      <c r="C118" s="32">
        <v>45043</v>
      </c>
      <c r="D118" s="1">
        <v>41.150628235578601</v>
      </c>
      <c r="E118" s="1" t="s">
        <v>1523</v>
      </c>
      <c r="F118" s="1" t="s">
        <v>1578</v>
      </c>
      <c r="G118" s="1" t="s">
        <v>1574</v>
      </c>
      <c r="H118" s="1" t="s">
        <v>51</v>
      </c>
      <c r="I118" s="1">
        <v>1.7350000000000001</v>
      </c>
      <c r="J118" s="1" t="s">
        <v>51</v>
      </c>
      <c r="K118" s="1">
        <v>83.1</v>
      </c>
      <c r="L118" s="1">
        <v>27.605909857236501</v>
      </c>
      <c r="M118" s="1" t="s">
        <v>45</v>
      </c>
      <c r="N118" s="1" t="s">
        <v>45</v>
      </c>
      <c r="O118" s="1" t="s">
        <v>45</v>
      </c>
      <c r="P118" s="1" t="s">
        <v>45</v>
      </c>
      <c r="Q118" s="1" t="s">
        <v>45</v>
      </c>
      <c r="R118" s="1" t="s">
        <v>45</v>
      </c>
      <c r="S118" s="1" t="s">
        <v>45</v>
      </c>
      <c r="T118" s="1" t="s">
        <v>45</v>
      </c>
      <c r="U118" s="1" t="s">
        <v>45</v>
      </c>
      <c r="V118" s="1" t="s">
        <v>45</v>
      </c>
      <c r="W118" s="1" t="s">
        <v>45</v>
      </c>
      <c r="X118" s="1" t="s">
        <v>45</v>
      </c>
      <c r="Y118" s="1" t="s">
        <v>45</v>
      </c>
      <c r="Z118" s="1" t="s">
        <v>45</v>
      </c>
      <c r="AA118" s="1" t="s">
        <v>45</v>
      </c>
      <c r="AB118" s="1" t="s">
        <v>45</v>
      </c>
      <c r="AC118" s="1" t="s">
        <v>45</v>
      </c>
      <c r="AD118" s="1" t="s">
        <v>45</v>
      </c>
      <c r="AE118" s="1" t="s">
        <v>45</v>
      </c>
      <c r="AF118" s="32">
        <v>45050</v>
      </c>
      <c r="AG118" s="1">
        <v>41.169793584627499</v>
      </c>
      <c r="AH118" s="1" t="s">
        <v>1526</v>
      </c>
      <c r="AI118" s="1" t="s">
        <v>1527</v>
      </c>
      <c r="AJ118" s="1" t="s">
        <v>45</v>
      </c>
      <c r="AK118" s="1" t="s">
        <v>45</v>
      </c>
      <c r="AL118" s="1" t="s">
        <v>51</v>
      </c>
      <c r="AM118" s="1" t="s">
        <v>45</v>
      </c>
      <c r="AN118" s="1" t="s">
        <v>45</v>
      </c>
      <c r="AO118" s="1" t="s">
        <v>45</v>
      </c>
      <c r="AP118" s="1" t="s">
        <v>45</v>
      </c>
      <c r="AQ118" s="1" t="s">
        <v>45</v>
      </c>
      <c r="AR118" s="1" t="s">
        <v>45</v>
      </c>
      <c r="AT118" s="1" t="s">
        <v>1528</v>
      </c>
      <c r="AW118" s="33" t="s">
        <v>1463</v>
      </c>
      <c r="AX118" s="3" t="s">
        <v>1528</v>
      </c>
      <c r="AY118" s="3"/>
      <c r="AZ118" s="1">
        <v>4</v>
      </c>
      <c r="BB118" s="1" t="s">
        <v>1530</v>
      </c>
      <c r="BE118" s="1" t="s">
        <v>1533</v>
      </c>
      <c r="BG118" s="1" t="s">
        <v>45</v>
      </c>
      <c r="BH118" s="1" t="s">
        <v>46</v>
      </c>
      <c r="BI118" s="1" t="s">
        <v>1599</v>
      </c>
      <c r="BJ118" s="1" t="s">
        <v>45</v>
      </c>
      <c r="BK118" s="1" t="s">
        <v>1549</v>
      </c>
      <c r="BL118" s="32">
        <v>45050</v>
      </c>
      <c r="BM118" s="1" t="s">
        <v>767</v>
      </c>
      <c r="BO118" s="1" t="s">
        <v>1537</v>
      </c>
      <c r="BP118" s="1" t="s">
        <v>1551</v>
      </c>
      <c r="BQ118" s="1" t="s">
        <v>1539</v>
      </c>
      <c r="BR118" s="1" t="s">
        <v>1589</v>
      </c>
      <c r="BS118" s="1" t="s">
        <v>1640</v>
      </c>
      <c r="BU118" s="1" t="s">
        <v>51</v>
      </c>
      <c r="BW118" s="1" t="s">
        <v>1563</v>
      </c>
      <c r="BX118" s="32">
        <v>45156</v>
      </c>
      <c r="BY118" s="1">
        <v>7</v>
      </c>
      <c r="BZ118" s="1" t="s">
        <v>1907</v>
      </c>
      <c r="CA118" s="1" t="s">
        <v>51</v>
      </c>
      <c r="CB118" s="1" t="s">
        <v>51</v>
      </c>
      <c r="CC118" s="32">
        <v>45078</v>
      </c>
      <c r="CD118" s="1">
        <v>59.4</v>
      </c>
      <c r="CE118" s="1">
        <v>33</v>
      </c>
      <c r="CJ118" s="1" t="s">
        <v>51</v>
      </c>
      <c r="CK118" s="32">
        <v>45233</v>
      </c>
      <c r="CL118" s="1" t="s">
        <v>45</v>
      </c>
      <c r="DH118" s="1" t="s">
        <v>45</v>
      </c>
      <c r="DM118" s="1" t="s">
        <v>51</v>
      </c>
      <c r="DN118" s="1" t="s">
        <v>1908</v>
      </c>
      <c r="DO118" s="1" t="s">
        <v>51</v>
      </c>
      <c r="DP118" s="1" t="s">
        <v>1909</v>
      </c>
      <c r="DQ118" s="1" t="s">
        <v>45</v>
      </c>
      <c r="DT118" s="32">
        <v>45385</v>
      </c>
      <c r="DU118" s="1" t="s">
        <v>1543</v>
      </c>
      <c r="DV118" s="1">
        <v>11.0052562417871</v>
      </c>
      <c r="DW118" s="1" t="s">
        <v>45</v>
      </c>
    </row>
    <row r="119" spans="1:130" ht="15.75" customHeight="1" x14ac:dyDescent="0.2">
      <c r="A119" s="8" t="s">
        <v>885</v>
      </c>
      <c r="B119" s="32">
        <v>29707</v>
      </c>
      <c r="C119" s="32">
        <v>45056</v>
      </c>
      <c r="D119" s="1">
        <v>42.024134650266603</v>
      </c>
      <c r="E119" s="1" t="s">
        <v>1523</v>
      </c>
      <c r="F119" s="1" t="s">
        <v>1524</v>
      </c>
      <c r="G119" s="1" t="s">
        <v>1574</v>
      </c>
      <c r="H119" s="1" t="s">
        <v>51</v>
      </c>
      <c r="I119" s="1">
        <v>1.8049999999999999</v>
      </c>
      <c r="J119" s="1" t="s">
        <v>51</v>
      </c>
      <c r="K119" s="1">
        <v>82.7</v>
      </c>
      <c r="L119" s="1">
        <v>25.383476185726</v>
      </c>
      <c r="M119" s="1" t="s">
        <v>45</v>
      </c>
      <c r="N119" s="1" t="s">
        <v>45</v>
      </c>
      <c r="O119" s="1" t="s">
        <v>45</v>
      </c>
      <c r="P119" s="1" t="s">
        <v>45</v>
      </c>
      <c r="Q119" s="1" t="s">
        <v>45</v>
      </c>
      <c r="R119" s="1" t="s">
        <v>45</v>
      </c>
      <c r="S119" s="1" t="s">
        <v>45</v>
      </c>
      <c r="T119" s="1" t="s">
        <v>45</v>
      </c>
      <c r="U119" s="1" t="s">
        <v>45</v>
      </c>
      <c r="V119" s="1" t="s">
        <v>45</v>
      </c>
      <c r="W119" s="1" t="s">
        <v>45</v>
      </c>
      <c r="X119" s="1" t="s">
        <v>45</v>
      </c>
      <c r="Y119" s="1" t="s">
        <v>45</v>
      </c>
      <c r="Z119" s="1" t="s">
        <v>45</v>
      </c>
      <c r="AA119" s="1" t="s">
        <v>45</v>
      </c>
      <c r="AB119" s="1" t="s">
        <v>45</v>
      </c>
      <c r="AC119" s="1" t="s">
        <v>45</v>
      </c>
      <c r="AD119" s="1" t="s">
        <v>45</v>
      </c>
      <c r="AE119" s="1" t="s">
        <v>45</v>
      </c>
      <c r="AF119" s="32">
        <v>45062</v>
      </c>
      <c r="AG119" s="1">
        <v>42.040562092308498</v>
      </c>
      <c r="AH119" s="1" t="s">
        <v>1613</v>
      </c>
      <c r="AI119" s="1" t="s">
        <v>1527</v>
      </c>
      <c r="AJ119" s="1" t="s">
        <v>45</v>
      </c>
      <c r="AK119" s="1" t="s">
        <v>51</v>
      </c>
      <c r="AL119" s="1" t="s">
        <v>45</v>
      </c>
      <c r="AM119" s="1" t="s">
        <v>51</v>
      </c>
      <c r="AN119" s="1" t="s">
        <v>45</v>
      </c>
      <c r="AO119" s="1" t="s">
        <v>51</v>
      </c>
      <c r="AP119" s="1" t="s">
        <v>45</v>
      </c>
      <c r="AQ119" s="1" t="s">
        <v>45</v>
      </c>
      <c r="AR119" s="1" t="s">
        <v>51</v>
      </c>
      <c r="AS119" s="1" t="s">
        <v>1910</v>
      </c>
      <c r="AT119" s="1" t="s">
        <v>1528</v>
      </c>
      <c r="AW119" s="33" t="s">
        <v>1463</v>
      </c>
      <c r="AX119" s="3" t="s">
        <v>1528</v>
      </c>
      <c r="AY119" s="3"/>
      <c r="AZ119" s="1">
        <v>4</v>
      </c>
      <c r="BA119" s="1" t="s">
        <v>1529</v>
      </c>
      <c r="BB119" s="1" t="s">
        <v>1530</v>
      </c>
      <c r="BC119" s="1" t="s">
        <v>1531</v>
      </c>
      <c r="BD119" s="1" t="s">
        <v>1532</v>
      </c>
      <c r="BE119" s="1" t="s">
        <v>1533</v>
      </c>
      <c r="BF119" s="1" t="s">
        <v>1534</v>
      </c>
      <c r="BG119" s="1" t="s">
        <v>45</v>
      </c>
      <c r="BH119" s="1" t="s">
        <v>46</v>
      </c>
      <c r="BI119" s="1" t="s">
        <v>1535</v>
      </c>
      <c r="BJ119" s="1" t="s">
        <v>51</v>
      </c>
      <c r="BK119" s="1" t="s">
        <v>1536</v>
      </c>
      <c r="BL119" s="32">
        <v>45062</v>
      </c>
      <c r="BM119" s="1" t="s">
        <v>886</v>
      </c>
      <c r="BO119" s="1" t="s">
        <v>1537</v>
      </c>
      <c r="BP119" s="1" t="s">
        <v>1538</v>
      </c>
      <c r="BQ119" s="1" t="s">
        <v>1647</v>
      </c>
      <c r="BR119" s="1" t="s">
        <v>1540</v>
      </c>
      <c r="BS119" s="1" t="s">
        <v>43</v>
      </c>
      <c r="BU119" s="1" t="s">
        <v>1525</v>
      </c>
      <c r="BW119" s="1" t="s">
        <v>1563</v>
      </c>
      <c r="BX119" s="32">
        <v>45175</v>
      </c>
      <c r="BY119" s="1">
        <v>4</v>
      </c>
      <c r="BZ119" s="1" t="s">
        <v>1911</v>
      </c>
      <c r="CA119" s="1" t="s">
        <v>51</v>
      </c>
      <c r="CB119" s="1" t="s">
        <v>51</v>
      </c>
      <c r="CC119" s="32">
        <v>45096</v>
      </c>
      <c r="CD119" s="1">
        <v>60</v>
      </c>
      <c r="CE119" s="1">
        <v>30</v>
      </c>
      <c r="CI119" s="1" t="s">
        <v>1912</v>
      </c>
      <c r="CJ119" s="1" t="s">
        <v>51</v>
      </c>
      <c r="CK119" s="32">
        <v>45335</v>
      </c>
      <c r="CL119" s="1" t="s">
        <v>51</v>
      </c>
      <c r="CM119" s="32">
        <v>45432</v>
      </c>
      <c r="CN119" s="1">
        <v>1.0130255925857401</v>
      </c>
      <c r="CO119" s="1" t="s">
        <v>1537</v>
      </c>
      <c r="CP119" s="1" t="s">
        <v>1796</v>
      </c>
      <c r="CQ119" s="1" t="s">
        <v>1539</v>
      </c>
      <c r="CR119" s="1" t="s">
        <v>1540</v>
      </c>
      <c r="CS119" s="1" t="s">
        <v>43</v>
      </c>
      <c r="CT119" s="1" t="s">
        <v>1528</v>
      </c>
      <c r="CW119" s="1">
        <v>4</v>
      </c>
      <c r="CX119" s="1" t="s">
        <v>1529</v>
      </c>
      <c r="CY119" s="1" t="s">
        <v>1530</v>
      </c>
      <c r="CZ119" s="1" t="s">
        <v>1531</v>
      </c>
      <c r="DA119" s="1" t="s">
        <v>1532</v>
      </c>
      <c r="DB119" s="1" t="s">
        <v>1533</v>
      </c>
      <c r="DC119" s="1" t="s">
        <v>1534</v>
      </c>
      <c r="DD119" s="1" t="s">
        <v>45</v>
      </c>
      <c r="DE119" s="1" t="s">
        <v>46</v>
      </c>
      <c r="DF119" s="1" t="s">
        <v>68</v>
      </c>
      <c r="DG119" s="1" t="s">
        <v>51</v>
      </c>
      <c r="DH119" s="1" t="s">
        <v>45</v>
      </c>
      <c r="DM119" s="1" t="s">
        <v>45</v>
      </c>
      <c r="DO119" s="1" t="s">
        <v>45</v>
      </c>
      <c r="DQ119" s="1" t="s">
        <v>45</v>
      </c>
      <c r="DT119" s="32">
        <v>45712</v>
      </c>
      <c r="DU119" s="1" t="s">
        <v>1598</v>
      </c>
      <c r="DV119" s="1">
        <v>21.354851073149302</v>
      </c>
      <c r="DW119" s="1" t="s">
        <v>45</v>
      </c>
      <c r="DY119" s="32">
        <v>45735</v>
      </c>
      <c r="DZ119" s="1" t="s">
        <v>1544</v>
      </c>
    </row>
    <row r="120" spans="1:130" ht="15.75" customHeight="1" x14ac:dyDescent="0.2">
      <c r="A120" s="8" t="s">
        <v>772</v>
      </c>
      <c r="B120" s="32">
        <v>21104</v>
      </c>
      <c r="C120" s="32">
        <v>36647</v>
      </c>
      <c r="D120" s="1">
        <v>42.555288609622302</v>
      </c>
      <c r="E120" s="1" t="s">
        <v>1523</v>
      </c>
      <c r="F120" s="1" t="s">
        <v>1524</v>
      </c>
      <c r="G120" s="1" t="s">
        <v>1574</v>
      </c>
      <c r="H120" s="1" t="s">
        <v>51</v>
      </c>
      <c r="I120" s="1">
        <v>1.6950000000000001</v>
      </c>
      <c r="J120" s="1" t="s">
        <v>51</v>
      </c>
      <c r="K120" s="1">
        <v>69</v>
      </c>
      <c r="L120" s="1">
        <v>24.0164982901297</v>
      </c>
      <c r="M120" s="1" t="s">
        <v>45</v>
      </c>
      <c r="N120" s="1" t="s">
        <v>45</v>
      </c>
      <c r="O120" s="1" t="s">
        <v>45</v>
      </c>
      <c r="P120" s="1" t="s">
        <v>45</v>
      </c>
      <c r="Q120" s="1" t="s">
        <v>45</v>
      </c>
      <c r="R120" s="1" t="s">
        <v>45</v>
      </c>
      <c r="S120" s="1" t="s">
        <v>45</v>
      </c>
      <c r="T120" s="1" t="s">
        <v>45</v>
      </c>
      <c r="U120" s="1" t="s">
        <v>45</v>
      </c>
      <c r="V120" s="1" t="s">
        <v>45</v>
      </c>
      <c r="W120" s="1" t="s">
        <v>45</v>
      </c>
      <c r="X120" s="1" t="s">
        <v>45</v>
      </c>
      <c r="Y120" s="1" t="s">
        <v>45</v>
      </c>
      <c r="Z120" s="1" t="s">
        <v>45</v>
      </c>
      <c r="AA120" s="1" t="s">
        <v>45</v>
      </c>
      <c r="AB120" s="1" t="s">
        <v>45</v>
      </c>
      <c r="AC120" s="1" t="s">
        <v>45</v>
      </c>
      <c r="AD120" s="1" t="s">
        <v>45</v>
      </c>
      <c r="AE120" s="1" t="s">
        <v>45</v>
      </c>
      <c r="AF120" s="32">
        <v>36647</v>
      </c>
      <c r="AG120" s="1">
        <v>42.555288609622302</v>
      </c>
      <c r="AH120" s="1" t="s">
        <v>1526</v>
      </c>
      <c r="AI120" s="1" t="s">
        <v>1527</v>
      </c>
      <c r="AJ120" s="1" t="s">
        <v>45</v>
      </c>
      <c r="AK120" s="1" t="s">
        <v>51</v>
      </c>
      <c r="AL120" s="1" t="s">
        <v>45</v>
      </c>
      <c r="AM120" s="1" t="s">
        <v>45</v>
      </c>
      <c r="AN120" s="1" t="s">
        <v>45</v>
      </c>
      <c r="AO120" s="1" t="s">
        <v>45</v>
      </c>
      <c r="AP120" s="1" t="s">
        <v>45</v>
      </c>
      <c r="AQ120" s="1" t="s">
        <v>45</v>
      </c>
      <c r="AR120" s="1" t="s">
        <v>45</v>
      </c>
      <c r="AT120" s="1" t="s">
        <v>1601</v>
      </c>
      <c r="AW120" s="33" t="s">
        <v>1463</v>
      </c>
      <c r="AX120" s="3" t="s">
        <v>1601</v>
      </c>
      <c r="AY120" s="3"/>
      <c r="AZ120" s="1">
        <v>3</v>
      </c>
      <c r="BB120" s="1" t="s">
        <v>1567</v>
      </c>
      <c r="BC120" s="1" t="s">
        <v>1602</v>
      </c>
      <c r="BE120" s="1" t="s">
        <v>1603</v>
      </c>
      <c r="BG120" s="1" t="s">
        <v>45</v>
      </c>
      <c r="BH120" s="1" t="s">
        <v>46</v>
      </c>
      <c r="BI120" s="1" t="s">
        <v>1535</v>
      </c>
      <c r="BJ120" s="1" t="s">
        <v>45</v>
      </c>
      <c r="BK120" s="1" t="s">
        <v>1549</v>
      </c>
      <c r="BL120" s="32">
        <v>36647</v>
      </c>
      <c r="BO120" s="1" t="s">
        <v>1537</v>
      </c>
      <c r="BP120" s="1" t="s">
        <v>1551</v>
      </c>
      <c r="BQ120" s="1" t="s">
        <v>1539</v>
      </c>
      <c r="BR120" s="1" t="s">
        <v>1589</v>
      </c>
      <c r="BS120" s="1" t="s">
        <v>1581</v>
      </c>
      <c r="BU120" s="1" t="s">
        <v>1525</v>
      </c>
      <c r="BW120" s="1" t="s">
        <v>1542</v>
      </c>
      <c r="CA120" s="1" t="s">
        <v>45</v>
      </c>
      <c r="CB120" s="1" t="s">
        <v>45</v>
      </c>
      <c r="CI120" s="1" t="s">
        <v>1913</v>
      </c>
      <c r="CJ120" s="1" t="s">
        <v>51</v>
      </c>
      <c r="CK120" s="32">
        <v>40299</v>
      </c>
      <c r="CL120" s="1" t="s">
        <v>45</v>
      </c>
      <c r="DH120" s="1" t="s">
        <v>51</v>
      </c>
      <c r="DI120" s="1" t="s">
        <v>1914</v>
      </c>
      <c r="DJ120" s="32">
        <v>40303</v>
      </c>
      <c r="DM120" s="1" t="s">
        <v>45</v>
      </c>
      <c r="DO120" s="1" t="s">
        <v>51</v>
      </c>
      <c r="DP120" s="1" t="s">
        <v>1915</v>
      </c>
      <c r="DQ120" s="1" t="s">
        <v>51</v>
      </c>
      <c r="DR120" s="1" t="s">
        <v>1916</v>
      </c>
      <c r="DT120" s="32">
        <v>45719</v>
      </c>
      <c r="DU120" s="1" t="s">
        <v>1598</v>
      </c>
      <c r="DV120" s="1">
        <v>298.03027814279397</v>
      </c>
      <c r="DW120" s="1" t="s">
        <v>45</v>
      </c>
    </row>
    <row r="121" spans="1:130" ht="15.75" customHeight="1" x14ac:dyDescent="0.2">
      <c r="A121" s="8" t="s">
        <v>888</v>
      </c>
      <c r="B121" s="32">
        <v>31413</v>
      </c>
      <c r="C121" s="32">
        <v>45055</v>
      </c>
      <c r="D121" s="1">
        <v>37.350413309878597</v>
      </c>
      <c r="E121" s="1" t="s">
        <v>1587</v>
      </c>
      <c r="F121" s="1" t="s">
        <v>1524</v>
      </c>
      <c r="G121" s="1" t="s">
        <v>1545</v>
      </c>
      <c r="H121" s="1" t="s">
        <v>51</v>
      </c>
      <c r="I121" s="1">
        <v>1.714</v>
      </c>
      <c r="J121" s="1" t="s">
        <v>51</v>
      </c>
      <c r="K121" s="1">
        <v>60.3</v>
      </c>
      <c r="L121" s="1">
        <v>20.5255912936092</v>
      </c>
      <c r="M121" s="1" t="s">
        <v>45</v>
      </c>
      <c r="N121" s="1" t="s">
        <v>45</v>
      </c>
      <c r="O121" s="1" t="s">
        <v>45</v>
      </c>
      <c r="P121" s="1" t="s">
        <v>45</v>
      </c>
      <c r="Q121" s="1" t="s">
        <v>45</v>
      </c>
      <c r="R121" s="1" t="s">
        <v>45</v>
      </c>
      <c r="S121" s="1" t="s">
        <v>45</v>
      </c>
      <c r="T121" s="1" t="s">
        <v>45</v>
      </c>
      <c r="U121" s="1" t="s">
        <v>45</v>
      </c>
      <c r="V121" s="1" t="s">
        <v>45</v>
      </c>
      <c r="W121" s="1" t="s">
        <v>45</v>
      </c>
      <c r="X121" s="1" t="s">
        <v>45</v>
      </c>
      <c r="Y121" s="1" t="s">
        <v>45</v>
      </c>
      <c r="Z121" s="1" t="s">
        <v>45</v>
      </c>
      <c r="AA121" s="1" t="s">
        <v>45</v>
      </c>
      <c r="AB121" s="1" t="s">
        <v>45</v>
      </c>
      <c r="AC121" s="1" t="s">
        <v>45</v>
      </c>
      <c r="AD121" s="1" t="s">
        <v>45</v>
      </c>
      <c r="AE121" s="1" t="s">
        <v>45</v>
      </c>
      <c r="AF121" s="32">
        <v>45063</v>
      </c>
      <c r="AG121" s="1">
        <v>37.372316565934497</v>
      </c>
      <c r="AH121" s="1" t="s">
        <v>1526</v>
      </c>
      <c r="AI121" s="1" t="s">
        <v>1527</v>
      </c>
      <c r="AJ121" s="1" t="s">
        <v>45</v>
      </c>
      <c r="AK121" s="1" t="s">
        <v>45</v>
      </c>
      <c r="AL121" s="1" t="s">
        <v>45</v>
      </c>
      <c r="AM121" s="1" t="s">
        <v>45</v>
      </c>
      <c r="AN121" s="1" t="s">
        <v>51</v>
      </c>
      <c r="AO121" s="1" t="s">
        <v>45</v>
      </c>
      <c r="AP121" s="1" t="s">
        <v>45</v>
      </c>
      <c r="AQ121" s="1" t="s">
        <v>51</v>
      </c>
      <c r="AR121" s="1" t="s">
        <v>45</v>
      </c>
      <c r="AT121" s="1" t="s">
        <v>1528</v>
      </c>
      <c r="AW121" s="33" t="s">
        <v>1463</v>
      </c>
      <c r="AX121" s="3" t="s">
        <v>1528</v>
      </c>
      <c r="AY121" s="3"/>
      <c r="AZ121" s="1">
        <v>4</v>
      </c>
      <c r="BA121" s="1" t="s">
        <v>1529</v>
      </c>
      <c r="BB121" s="1" t="s">
        <v>1530</v>
      </c>
      <c r="BC121" s="1" t="s">
        <v>1531</v>
      </c>
      <c r="BD121" s="1" t="s">
        <v>1532</v>
      </c>
      <c r="BE121" s="1" t="s">
        <v>1603</v>
      </c>
      <c r="BF121" s="1" t="s">
        <v>1534</v>
      </c>
      <c r="BG121" s="1" t="s">
        <v>45</v>
      </c>
      <c r="BH121" s="1" t="s">
        <v>46</v>
      </c>
      <c r="BI121" s="1" t="s">
        <v>1535</v>
      </c>
      <c r="BJ121" s="1" t="s">
        <v>45</v>
      </c>
      <c r="BK121" s="1" t="s">
        <v>1536</v>
      </c>
      <c r="BL121" s="32">
        <v>45063</v>
      </c>
      <c r="BM121" s="1" t="s">
        <v>889</v>
      </c>
      <c r="BO121" s="1" t="s">
        <v>1537</v>
      </c>
      <c r="BP121" s="1" t="s">
        <v>1538</v>
      </c>
      <c r="BQ121" s="1" t="s">
        <v>1647</v>
      </c>
      <c r="BR121" s="1" t="s">
        <v>1540</v>
      </c>
      <c r="BS121" s="1" t="s">
        <v>106</v>
      </c>
      <c r="BU121" s="1" t="s">
        <v>51</v>
      </c>
      <c r="BV121" s="1" t="s">
        <v>1541</v>
      </c>
      <c r="BW121" s="1" t="s">
        <v>1563</v>
      </c>
      <c r="BX121" s="32">
        <v>45177</v>
      </c>
      <c r="BY121" s="1">
        <v>12</v>
      </c>
      <c r="BZ121" s="1" t="s">
        <v>1917</v>
      </c>
      <c r="CA121" s="1" t="s">
        <v>51</v>
      </c>
      <c r="CB121" s="1" t="s">
        <v>51</v>
      </c>
      <c r="CC121" s="32">
        <v>45096</v>
      </c>
      <c r="CD121" s="1">
        <v>60</v>
      </c>
      <c r="CE121" s="1">
        <v>30</v>
      </c>
      <c r="CF121" s="1" t="s">
        <v>1918</v>
      </c>
      <c r="CJ121" s="1" t="s">
        <v>45</v>
      </c>
      <c r="DH121" s="1" t="s">
        <v>45</v>
      </c>
      <c r="DM121" s="1" t="s">
        <v>45</v>
      </c>
      <c r="DO121" s="1" t="s">
        <v>45</v>
      </c>
      <c r="DQ121" s="1" t="s">
        <v>45</v>
      </c>
      <c r="DT121" s="32">
        <v>45687</v>
      </c>
      <c r="DU121" s="1" t="s">
        <v>1598</v>
      </c>
      <c r="DV121" s="1">
        <v>20.499342969777</v>
      </c>
      <c r="DW121" s="1" t="s">
        <v>45</v>
      </c>
      <c r="DY121" s="32">
        <v>45724</v>
      </c>
      <c r="DZ121" s="1" t="s">
        <v>1544</v>
      </c>
    </row>
    <row r="122" spans="1:130" ht="15.75" customHeight="1" x14ac:dyDescent="0.2">
      <c r="A122" s="8" t="s">
        <v>779</v>
      </c>
      <c r="B122" s="32">
        <v>32143</v>
      </c>
      <c r="C122" s="32">
        <v>44218</v>
      </c>
      <c r="D122" s="1">
        <v>33.060227109386197</v>
      </c>
      <c r="E122" s="1" t="s">
        <v>1587</v>
      </c>
      <c r="F122" s="1" t="s">
        <v>1578</v>
      </c>
      <c r="G122" s="1" t="s">
        <v>1574</v>
      </c>
      <c r="H122" s="1" t="s">
        <v>51</v>
      </c>
      <c r="I122" s="1">
        <v>1.61</v>
      </c>
      <c r="J122" s="1" t="s">
        <v>51</v>
      </c>
      <c r="K122" s="1">
        <v>52.7</v>
      </c>
      <c r="L122" s="1">
        <v>20.331005748235</v>
      </c>
      <c r="M122" s="1" t="s">
        <v>45</v>
      </c>
      <c r="N122" s="1" t="s">
        <v>45</v>
      </c>
      <c r="O122" s="1" t="s">
        <v>45</v>
      </c>
      <c r="P122" s="1" t="s">
        <v>45</v>
      </c>
      <c r="Q122" s="1" t="s">
        <v>45</v>
      </c>
      <c r="R122" s="1" t="s">
        <v>45</v>
      </c>
      <c r="S122" s="1" t="s">
        <v>45</v>
      </c>
      <c r="T122" s="1" t="s">
        <v>45</v>
      </c>
      <c r="U122" s="1" t="s">
        <v>45</v>
      </c>
      <c r="V122" s="1" t="s">
        <v>45</v>
      </c>
      <c r="W122" s="1" t="s">
        <v>45</v>
      </c>
      <c r="X122" s="1" t="s">
        <v>45</v>
      </c>
      <c r="Y122" s="1" t="s">
        <v>45</v>
      </c>
      <c r="Z122" s="1" t="s">
        <v>45</v>
      </c>
      <c r="AA122" s="1" t="s">
        <v>45</v>
      </c>
      <c r="AB122" s="1" t="s">
        <v>45</v>
      </c>
      <c r="AC122" s="1" t="s">
        <v>45</v>
      </c>
      <c r="AD122" s="1" t="s">
        <v>45</v>
      </c>
      <c r="AE122" s="1" t="s">
        <v>45</v>
      </c>
      <c r="AF122" s="32">
        <v>45064</v>
      </c>
      <c r="AG122" s="1">
        <v>35.376382357839802</v>
      </c>
      <c r="AH122" s="1" t="s">
        <v>1526</v>
      </c>
      <c r="AI122" s="1" t="s">
        <v>1527</v>
      </c>
      <c r="AJ122" s="1" t="s">
        <v>45</v>
      </c>
      <c r="AK122" s="1" t="s">
        <v>51</v>
      </c>
      <c r="AL122" s="1" t="s">
        <v>45</v>
      </c>
      <c r="AM122" s="1" t="s">
        <v>45</v>
      </c>
      <c r="AN122" s="1" t="s">
        <v>45</v>
      </c>
      <c r="AO122" s="1" t="s">
        <v>45</v>
      </c>
      <c r="AP122" s="1" t="s">
        <v>45</v>
      </c>
      <c r="AQ122" s="1" t="s">
        <v>45</v>
      </c>
      <c r="AR122" s="1" t="s">
        <v>45</v>
      </c>
      <c r="AT122" s="1" t="s">
        <v>1560</v>
      </c>
      <c r="AV122" s="1" t="s">
        <v>1919</v>
      </c>
      <c r="AW122" s="33" t="s">
        <v>1464</v>
      </c>
      <c r="AX122" s="3"/>
      <c r="AY122" s="33" t="s">
        <v>1889</v>
      </c>
      <c r="AZ122" s="1">
        <v>2</v>
      </c>
      <c r="BB122" s="1" t="s">
        <v>1530</v>
      </c>
      <c r="BC122" s="1" t="s">
        <v>1561</v>
      </c>
      <c r="BE122" s="1" t="s">
        <v>1533</v>
      </c>
      <c r="BG122" s="1" t="s">
        <v>45</v>
      </c>
      <c r="BH122" s="1" t="s">
        <v>46</v>
      </c>
      <c r="BI122" s="1" t="s">
        <v>1535</v>
      </c>
      <c r="BJ122" s="1" t="s">
        <v>45</v>
      </c>
      <c r="BK122" s="1" t="s">
        <v>1549</v>
      </c>
      <c r="BL122" s="32">
        <v>45064</v>
      </c>
      <c r="BM122" s="1" t="s">
        <v>780</v>
      </c>
      <c r="BO122" s="1" t="s">
        <v>1537</v>
      </c>
      <c r="BP122" s="1" t="s">
        <v>1551</v>
      </c>
      <c r="BQ122" s="1" t="s">
        <v>1539</v>
      </c>
      <c r="BR122" s="1" t="s">
        <v>1843</v>
      </c>
      <c r="BS122" s="1" t="s">
        <v>1640</v>
      </c>
      <c r="BU122" s="1" t="s">
        <v>45</v>
      </c>
      <c r="BW122" s="1" t="s">
        <v>1561</v>
      </c>
      <c r="CA122" s="1" t="s">
        <v>45</v>
      </c>
      <c r="CB122" s="1" t="s">
        <v>45</v>
      </c>
      <c r="CI122" s="1" t="s">
        <v>1920</v>
      </c>
      <c r="CJ122" s="1" t="s">
        <v>45</v>
      </c>
      <c r="DH122" s="1" t="s">
        <v>45</v>
      </c>
      <c r="DM122" s="1" t="s">
        <v>45</v>
      </c>
      <c r="DO122" s="1" t="s">
        <v>45</v>
      </c>
      <c r="DQ122" s="1" t="s">
        <v>45</v>
      </c>
      <c r="DT122" s="32">
        <v>45559</v>
      </c>
      <c r="DU122" s="1" t="s">
        <v>1598</v>
      </c>
      <c r="DV122" s="1">
        <v>16.261498028909301</v>
      </c>
      <c r="DW122" s="1" t="s">
        <v>45</v>
      </c>
    </row>
    <row r="123" spans="1:130" ht="15.75" customHeight="1" x14ac:dyDescent="0.2">
      <c r="A123" s="8" t="s">
        <v>587</v>
      </c>
      <c r="B123" s="32">
        <v>35209</v>
      </c>
      <c r="C123" s="32">
        <v>44872</v>
      </c>
      <c r="D123" s="1">
        <v>26.456509487988502</v>
      </c>
      <c r="E123" s="1" t="s">
        <v>1523</v>
      </c>
      <c r="F123" s="1" t="s">
        <v>1578</v>
      </c>
      <c r="G123" s="1" t="s">
        <v>1545</v>
      </c>
      <c r="H123" s="1" t="s">
        <v>51</v>
      </c>
      <c r="I123" s="1">
        <v>1.7649999999999999</v>
      </c>
      <c r="J123" s="1" t="s">
        <v>51</v>
      </c>
      <c r="K123" s="1">
        <v>62.2</v>
      </c>
      <c r="L123" s="1">
        <v>19.9664550714635</v>
      </c>
      <c r="M123" s="1" t="s">
        <v>45</v>
      </c>
      <c r="N123" s="1" t="s">
        <v>45</v>
      </c>
      <c r="O123" s="1" t="s">
        <v>45</v>
      </c>
      <c r="P123" s="1" t="s">
        <v>45</v>
      </c>
      <c r="Q123" s="1" t="s">
        <v>45</v>
      </c>
      <c r="R123" s="1" t="s">
        <v>45</v>
      </c>
      <c r="S123" s="1" t="s">
        <v>45</v>
      </c>
      <c r="T123" s="1" t="s">
        <v>45</v>
      </c>
      <c r="U123" s="1" t="s">
        <v>45</v>
      </c>
      <c r="V123" s="1" t="s">
        <v>45</v>
      </c>
      <c r="W123" s="1" t="s">
        <v>45</v>
      </c>
      <c r="X123" s="1" t="s">
        <v>45</v>
      </c>
      <c r="Y123" s="1" t="s">
        <v>45</v>
      </c>
      <c r="Z123" s="1" t="s">
        <v>45</v>
      </c>
      <c r="AA123" s="1" t="s">
        <v>45</v>
      </c>
      <c r="AB123" s="1" t="s">
        <v>45</v>
      </c>
      <c r="AC123" s="1" t="s">
        <v>45</v>
      </c>
      <c r="AD123" s="1" t="s">
        <v>45</v>
      </c>
      <c r="AE123" s="1" t="s">
        <v>45</v>
      </c>
      <c r="AF123" s="32">
        <v>45064</v>
      </c>
      <c r="AG123" s="1">
        <v>26.9820735538717</v>
      </c>
      <c r="AH123" s="1" t="s">
        <v>1558</v>
      </c>
      <c r="AI123" s="1" t="s">
        <v>1527</v>
      </c>
      <c r="AJ123" s="1" t="s">
        <v>45</v>
      </c>
      <c r="AK123" s="1" t="s">
        <v>51</v>
      </c>
      <c r="AL123" s="1" t="s">
        <v>45</v>
      </c>
      <c r="AM123" s="1" t="s">
        <v>45</v>
      </c>
      <c r="AN123" s="1" t="s">
        <v>45</v>
      </c>
      <c r="AO123" s="1" t="s">
        <v>45</v>
      </c>
      <c r="AP123" s="1" t="s">
        <v>45</v>
      </c>
      <c r="AQ123" s="1" t="s">
        <v>45</v>
      </c>
      <c r="AR123" s="1" t="s">
        <v>45</v>
      </c>
      <c r="AT123" s="1" t="s">
        <v>1560</v>
      </c>
      <c r="AW123" s="33" t="s">
        <v>1464</v>
      </c>
      <c r="AX123" s="3"/>
      <c r="AY123" s="3" t="s">
        <v>1560</v>
      </c>
      <c r="AZ123" s="1">
        <v>2</v>
      </c>
      <c r="BB123" s="1" t="s">
        <v>1567</v>
      </c>
      <c r="BC123" s="1" t="s">
        <v>1531</v>
      </c>
      <c r="BE123" s="1" t="s">
        <v>1603</v>
      </c>
      <c r="BG123" s="1" t="s">
        <v>1525</v>
      </c>
      <c r="BH123" s="1" t="s">
        <v>46</v>
      </c>
      <c r="BI123" s="1" t="s">
        <v>1599</v>
      </c>
      <c r="BJ123" s="1" t="s">
        <v>45</v>
      </c>
      <c r="BK123" s="1" t="s">
        <v>1549</v>
      </c>
      <c r="BL123" s="32">
        <v>45064</v>
      </c>
      <c r="BM123" s="1" t="s">
        <v>588</v>
      </c>
      <c r="BO123" s="1" t="s">
        <v>1537</v>
      </c>
      <c r="BP123" s="1" t="s">
        <v>1551</v>
      </c>
      <c r="BQ123" s="1" t="s">
        <v>1539</v>
      </c>
      <c r="BR123" s="1" t="s">
        <v>1589</v>
      </c>
      <c r="BS123" s="1" t="s">
        <v>1921</v>
      </c>
      <c r="BU123" s="1" t="s">
        <v>51</v>
      </c>
      <c r="BW123" s="1" t="s">
        <v>1563</v>
      </c>
      <c r="BX123" s="32">
        <v>45198</v>
      </c>
      <c r="BY123" s="1">
        <v>8</v>
      </c>
      <c r="BZ123" s="1" t="s">
        <v>1922</v>
      </c>
      <c r="CA123" s="1" t="s">
        <v>51</v>
      </c>
      <c r="CB123" s="1" t="s">
        <v>51</v>
      </c>
      <c r="CC123" s="32">
        <v>45103</v>
      </c>
      <c r="CD123" s="1">
        <v>54</v>
      </c>
      <c r="CE123" s="1">
        <v>30</v>
      </c>
      <c r="CJ123" s="1" t="s">
        <v>45</v>
      </c>
      <c r="DH123" s="1" t="s">
        <v>45</v>
      </c>
      <c r="DM123" s="1" t="s">
        <v>45</v>
      </c>
      <c r="DO123" s="1" t="s">
        <v>45</v>
      </c>
      <c r="DQ123" s="1" t="s">
        <v>45</v>
      </c>
      <c r="DT123" s="32">
        <v>45686</v>
      </c>
      <c r="DU123" s="1" t="s">
        <v>1598</v>
      </c>
      <c r="DV123" s="1">
        <v>20.435008760402901</v>
      </c>
      <c r="DW123" s="1" t="s">
        <v>45</v>
      </c>
    </row>
    <row r="124" spans="1:130" ht="15.75" customHeight="1" x14ac:dyDescent="0.2">
      <c r="A124" s="8" t="s">
        <v>782</v>
      </c>
      <c r="B124" s="32">
        <v>28584</v>
      </c>
      <c r="C124" s="32">
        <v>41248</v>
      </c>
      <c r="D124" s="1">
        <v>34.672854336502397</v>
      </c>
      <c r="E124" s="1" t="s">
        <v>1587</v>
      </c>
      <c r="F124" s="1" t="s">
        <v>1578</v>
      </c>
      <c r="G124" s="1" t="s">
        <v>1574</v>
      </c>
      <c r="H124" s="1" t="s">
        <v>51</v>
      </c>
      <c r="I124" s="1">
        <v>1.575</v>
      </c>
      <c r="J124" s="1" t="s">
        <v>51</v>
      </c>
      <c r="K124" s="1">
        <v>53.5</v>
      </c>
      <c r="L124" s="1">
        <v>21.567145376669099</v>
      </c>
      <c r="M124" s="1" t="s">
        <v>45</v>
      </c>
      <c r="N124" s="1" t="s">
        <v>45</v>
      </c>
      <c r="O124" s="1" t="s">
        <v>45</v>
      </c>
      <c r="P124" s="1" t="s">
        <v>45</v>
      </c>
      <c r="Q124" s="1" t="s">
        <v>45</v>
      </c>
      <c r="R124" s="1" t="s">
        <v>45</v>
      </c>
      <c r="S124" s="1" t="s">
        <v>45</v>
      </c>
      <c r="T124" s="1" t="s">
        <v>45</v>
      </c>
      <c r="U124" s="1" t="s">
        <v>45</v>
      </c>
      <c r="V124" s="1" t="s">
        <v>45</v>
      </c>
      <c r="W124" s="1" t="s">
        <v>45</v>
      </c>
      <c r="X124" s="1" t="s">
        <v>45</v>
      </c>
      <c r="Y124" s="1" t="s">
        <v>45</v>
      </c>
      <c r="Z124" s="1" t="s">
        <v>45</v>
      </c>
      <c r="AA124" s="1" t="s">
        <v>45</v>
      </c>
      <c r="AB124" s="1" t="s">
        <v>45</v>
      </c>
      <c r="AC124" s="1" t="s">
        <v>45</v>
      </c>
      <c r="AD124" s="1" t="s">
        <v>45</v>
      </c>
      <c r="AE124" s="1" t="s">
        <v>45</v>
      </c>
      <c r="AF124" s="32">
        <v>44992</v>
      </c>
      <c r="AG124" s="1">
        <v>44.923578170667398</v>
      </c>
      <c r="AH124" s="1" t="s">
        <v>1526</v>
      </c>
      <c r="AI124" s="1" t="s">
        <v>1527</v>
      </c>
      <c r="AJ124" s="1" t="s">
        <v>45</v>
      </c>
      <c r="AK124" s="1" t="s">
        <v>51</v>
      </c>
      <c r="AL124" s="1" t="s">
        <v>45</v>
      </c>
      <c r="AM124" s="1" t="s">
        <v>45</v>
      </c>
      <c r="AN124" s="1" t="s">
        <v>45</v>
      </c>
      <c r="AO124" s="1" t="s">
        <v>45</v>
      </c>
      <c r="AP124" s="1" t="s">
        <v>45</v>
      </c>
      <c r="AQ124" s="1" t="s">
        <v>45</v>
      </c>
      <c r="AR124" s="1" t="s">
        <v>45</v>
      </c>
      <c r="AT124" s="1" t="s">
        <v>1560</v>
      </c>
      <c r="AW124" s="33" t="s">
        <v>1463</v>
      </c>
      <c r="AX124" s="3" t="s">
        <v>1560</v>
      </c>
      <c r="AY124" s="3"/>
      <c r="AZ124" s="1">
        <v>4</v>
      </c>
      <c r="BB124" s="1" t="s">
        <v>1567</v>
      </c>
      <c r="BC124" s="1" t="s">
        <v>1531</v>
      </c>
      <c r="BE124" s="1" t="s">
        <v>1603</v>
      </c>
      <c r="BG124" s="1" t="s">
        <v>51</v>
      </c>
      <c r="BH124" s="1" t="s">
        <v>46</v>
      </c>
      <c r="BI124" s="1" t="s">
        <v>1535</v>
      </c>
      <c r="BJ124" s="1" t="s">
        <v>51</v>
      </c>
      <c r="BK124" s="1" t="s">
        <v>1549</v>
      </c>
      <c r="BL124" s="32">
        <v>41340</v>
      </c>
      <c r="BO124" s="1" t="s">
        <v>1537</v>
      </c>
      <c r="BP124" s="1" t="s">
        <v>1551</v>
      </c>
      <c r="BQ124" s="1" t="s">
        <v>1539</v>
      </c>
      <c r="BR124" s="1" t="s">
        <v>1580</v>
      </c>
      <c r="BS124" s="1" t="s">
        <v>1592</v>
      </c>
      <c r="BU124" s="1" t="s">
        <v>1525</v>
      </c>
      <c r="BW124" s="1" t="s">
        <v>1563</v>
      </c>
      <c r="BX124" s="32">
        <v>41451</v>
      </c>
      <c r="BY124" s="1">
        <v>6</v>
      </c>
      <c r="CA124" s="1" t="s">
        <v>51</v>
      </c>
      <c r="CB124" s="1" t="s">
        <v>51</v>
      </c>
      <c r="CC124" s="32">
        <v>41365</v>
      </c>
      <c r="CD124" s="1">
        <v>59.4</v>
      </c>
      <c r="CE124" s="1">
        <v>33</v>
      </c>
      <c r="CJ124" s="1" t="s">
        <v>51</v>
      </c>
      <c r="CK124" s="32">
        <v>44153</v>
      </c>
      <c r="CL124" s="1" t="s">
        <v>45</v>
      </c>
      <c r="DH124" s="1" t="s">
        <v>51</v>
      </c>
      <c r="DI124" s="1" t="s">
        <v>1923</v>
      </c>
      <c r="DJ124" s="32">
        <v>44153</v>
      </c>
      <c r="DK124" s="1" t="s">
        <v>1569</v>
      </c>
      <c r="DM124" s="1" t="s">
        <v>45</v>
      </c>
      <c r="DO124" s="1" t="s">
        <v>51</v>
      </c>
      <c r="DP124" s="1" t="s">
        <v>1924</v>
      </c>
      <c r="DQ124" s="1" t="s">
        <v>51</v>
      </c>
      <c r="DR124" s="1" t="s">
        <v>1925</v>
      </c>
      <c r="DS124" s="1" t="s">
        <v>1926</v>
      </c>
      <c r="DT124" s="32">
        <v>45098</v>
      </c>
      <c r="DU124" s="1" t="s">
        <v>1556</v>
      </c>
      <c r="DV124" s="1">
        <v>3.48089137100306</v>
      </c>
      <c r="DW124" s="1" t="s">
        <v>45</v>
      </c>
    </row>
    <row r="125" spans="1:130" ht="15.75" customHeight="1" x14ac:dyDescent="0.2">
      <c r="A125" s="8" t="s">
        <v>797</v>
      </c>
      <c r="B125" s="32">
        <v>29176</v>
      </c>
      <c r="C125" s="32">
        <v>45058</v>
      </c>
      <c r="D125" s="1">
        <v>43.483325005532798</v>
      </c>
      <c r="E125" s="1" t="s">
        <v>1587</v>
      </c>
      <c r="F125" s="1" t="s">
        <v>1524</v>
      </c>
      <c r="G125" s="1" t="s">
        <v>1574</v>
      </c>
      <c r="H125" s="1" t="s">
        <v>51</v>
      </c>
      <c r="I125" s="1">
        <v>1.5549999999999999</v>
      </c>
      <c r="J125" s="1" t="s">
        <v>51</v>
      </c>
      <c r="K125" s="1">
        <v>60</v>
      </c>
      <c r="L125" s="1">
        <v>24.813639230363599</v>
      </c>
      <c r="M125" s="1" t="s">
        <v>45</v>
      </c>
      <c r="N125" s="1" t="s">
        <v>45</v>
      </c>
      <c r="O125" s="1" t="s">
        <v>45</v>
      </c>
      <c r="P125" s="1" t="s">
        <v>45</v>
      </c>
      <c r="Q125" s="1" t="s">
        <v>45</v>
      </c>
      <c r="R125" s="1" t="s">
        <v>45</v>
      </c>
      <c r="S125" s="1" t="s">
        <v>45</v>
      </c>
      <c r="T125" s="1" t="s">
        <v>45</v>
      </c>
      <c r="U125" s="1" t="s">
        <v>45</v>
      </c>
      <c r="V125" s="1" t="s">
        <v>45</v>
      </c>
      <c r="W125" s="1" t="s">
        <v>45</v>
      </c>
      <c r="X125" s="1" t="s">
        <v>45</v>
      </c>
      <c r="Y125" s="1" t="s">
        <v>45</v>
      </c>
      <c r="Z125" s="1" t="s">
        <v>45</v>
      </c>
      <c r="AA125" s="1" t="s">
        <v>45</v>
      </c>
      <c r="AB125" s="1" t="s">
        <v>45</v>
      </c>
      <c r="AC125" s="1" t="s">
        <v>45</v>
      </c>
      <c r="AD125" s="1" t="s">
        <v>45</v>
      </c>
      <c r="AE125" s="1" t="s">
        <v>45</v>
      </c>
      <c r="AF125" s="32">
        <v>45071</v>
      </c>
      <c r="AG125" s="1">
        <v>43.518917796623697</v>
      </c>
      <c r="AH125" s="1" t="s">
        <v>1526</v>
      </c>
      <c r="AI125" s="1" t="s">
        <v>1527</v>
      </c>
      <c r="AJ125" s="1" t="s">
        <v>45</v>
      </c>
      <c r="AK125" s="1" t="s">
        <v>45</v>
      </c>
      <c r="AL125" s="1" t="s">
        <v>45</v>
      </c>
      <c r="AM125" s="1" t="s">
        <v>51</v>
      </c>
      <c r="AN125" s="1" t="s">
        <v>45</v>
      </c>
      <c r="AO125" s="1" t="s">
        <v>45</v>
      </c>
      <c r="AP125" s="1" t="s">
        <v>45</v>
      </c>
      <c r="AQ125" s="1" t="s">
        <v>45</v>
      </c>
      <c r="AR125" s="1" t="s">
        <v>45</v>
      </c>
      <c r="AT125" s="1" t="s">
        <v>1583</v>
      </c>
      <c r="AU125" s="1" t="s">
        <v>1927</v>
      </c>
      <c r="AV125" s="1" t="s">
        <v>1928</v>
      </c>
      <c r="AW125" s="33" t="s">
        <v>1927</v>
      </c>
      <c r="AX125" s="3"/>
      <c r="AY125" s="3"/>
      <c r="BA125" s="1" t="s">
        <v>1929</v>
      </c>
      <c r="BB125" s="1" t="s">
        <v>1561</v>
      </c>
      <c r="BE125" s="1" t="s">
        <v>1525</v>
      </c>
      <c r="BG125" s="1" t="s">
        <v>1525</v>
      </c>
      <c r="BH125" s="1" t="s">
        <v>46</v>
      </c>
      <c r="BI125" s="1" t="s">
        <v>1535</v>
      </c>
      <c r="BJ125" s="1" t="s">
        <v>1525</v>
      </c>
      <c r="BK125" s="1" t="s">
        <v>1549</v>
      </c>
      <c r="BL125" s="32">
        <v>45071</v>
      </c>
      <c r="BM125" s="1" t="s">
        <v>798</v>
      </c>
      <c r="BO125" s="1" t="s">
        <v>1537</v>
      </c>
      <c r="BP125" s="1" t="s">
        <v>1551</v>
      </c>
      <c r="BQ125" s="1" t="s">
        <v>1647</v>
      </c>
      <c r="BR125" s="1" t="s">
        <v>1589</v>
      </c>
      <c r="BS125" s="1" t="s">
        <v>1581</v>
      </c>
      <c r="BU125" s="1" t="s">
        <v>45</v>
      </c>
      <c r="BW125" s="1" t="s">
        <v>1561</v>
      </c>
      <c r="CA125" s="1" t="s">
        <v>45</v>
      </c>
      <c r="CB125" s="1" t="s">
        <v>51</v>
      </c>
      <c r="CC125" s="32">
        <v>45126</v>
      </c>
      <c r="CD125" s="1">
        <v>59.4</v>
      </c>
      <c r="CE125" s="1">
        <v>30</v>
      </c>
      <c r="CI125" s="1" t="s">
        <v>1930</v>
      </c>
      <c r="CJ125" s="1" t="s">
        <v>45</v>
      </c>
      <c r="DH125" s="1" t="s">
        <v>45</v>
      </c>
      <c r="DM125" s="1" t="s">
        <v>45</v>
      </c>
      <c r="DO125" s="1" t="s">
        <v>45</v>
      </c>
      <c r="DQ125" s="1" t="s">
        <v>45</v>
      </c>
      <c r="DT125" s="32">
        <v>45637</v>
      </c>
      <c r="DU125" s="1" t="s">
        <v>1598</v>
      </c>
      <c r="DV125" s="1">
        <v>18.5953241349102</v>
      </c>
      <c r="DW125" s="1" t="s">
        <v>45</v>
      </c>
    </row>
    <row r="126" spans="1:130" ht="15.75" customHeight="1" x14ac:dyDescent="0.2">
      <c r="A126" s="8" t="s">
        <v>590</v>
      </c>
      <c r="B126" s="32">
        <v>21394</v>
      </c>
      <c r="C126" s="32">
        <v>45076</v>
      </c>
      <c r="D126" s="1">
        <v>64.839113739501798</v>
      </c>
      <c r="E126" s="1" t="s">
        <v>1587</v>
      </c>
      <c r="F126" s="1" t="s">
        <v>1578</v>
      </c>
      <c r="G126" s="1" t="s">
        <v>1525</v>
      </c>
      <c r="H126" s="1" t="s">
        <v>45</v>
      </c>
      <c r="J126" s="1" t="s">
        <v>45</v>
      </c>
      <c r="M126" s="1" t="s">
        <v>45</v>
      </c>
      <c r="N126" s="1" t="s">
        <v>45</v>
      </c>
      <c r="O126" s="1" t="s">
        <v>45</v>
      </c>
      <c r="P126" s="1" t="s">
        <v>45</v>
      </c>
      <c r="Q126" s="1" t="s">
        <v>45</v>
      </c>
      <c r="R126" s="1" t="s">
        <v>45</v>
      </c>
      <c r="S126" s="1" t="s">
        <v>45</v>
      </c>
      <c r="T126" s="1" t="s">
        <v>45</v>
      </c>
      <c r="U126" s="1" t="s">
        <v>45</v>
      </c>
      <c r="V126" s="1" t="s">
        <v>45</v>
      </c>
      <c r="W126" s="1" t="s">
        <v>45</v>
      </c>
      <c r="X126" s="1" t="s">
        <v>45</v>
      </c>
      <c r="Y126" s="1" t="s">
        <v>45</v>
      </c>
      <c r="Z126" s="1" t="s">
        <v>45</v>
      </c>
      <c r="AA126" s="1" t="s">
        <v>45</v>
      </c>
      <c r="AB126" s="1" t="s">
        <v>45</v>
      </c>
      <c r="AC126" s="1" t="s">
        <v>45</v>
      </c>
      <c r="AD126" s="1" t="s">
        <v>45</v>
      </c>
      <c r="AE126" s="1" t="s">
        <v>45</v>
      </c>
      <c r="AF126" s="32">
        <v>45079</v>
      </c>
      <c r="AG126" s="1">
        <v>64.847327460522806</v>
      </c>
      <c r="AH126" s="1" t="s">
        <v>1526</v>
      </c>
      <c r="AI126" s="1" t="s">
        <v>1527</v>
      </c>
      <c r="AJ126" s="1" t="s">
        <v>45</v>
      </c>
      <c r="AK126" s="1" t="s">
        <v>51</v>
      </c>
      <c r="AL126" s="1" t="s">
        <v>45</v>
      </c>
      <c r="AM126" s="1" t="s">
        <v>45</v>
      </c>
      <c r="AN126" s="1" t="s">
        <v>45</v>
      </c>
      <c r="AO126" s="1" t="s">
        <v>45</v>
      </c>
      <c r="AP126" s="1" t="s">
        <v>45</v>
      </c>
      <c r="AQ126" s="1" t="s">
        <v>45</v>
      </c>
      <c r="AR126" s="1" t="s">
        <v>45</v>
      </c>
      <c r="AT126" s="1" t="s">
        <v>1560</v>
      </c>
      <c r="AW126" s="33" t="s">
        <v>1463</v>
      </c>
      <c r="AX126" s="3" t="s">
        <v>1560</v>
      </c>
      <c r="AY126" s="3"/>
      <c r="AZ126" s="1">
        <v>4</v>
      </c>
      <c r="BB126" s="1" t="s">
        <v>1567</v>
      </c>
      <c r="BC126" s="1" t="s">
        <v>1531</v>
      </c>
      <c r="BE126" s="1" t="s">
        <v>1603</v>
      </c>
      <c r="BG126" s="1" t="s">
        <v>45</v>
      </c>
      <c r="BH126" s="1" t="s">
        <v>46</v>
      </c>
      <c r="BI126" s="1" t="s">
        <v>1599</v>
      </c>
      <c r="BJ126" s="1" t="s">
        <v>1525</v>
      </c>
      <c r="BK126" s="1" t="s">
        <v>1549</v>
      </c>
      <c r="BL126" s="32">
        <v>45079</v>
      </c>
      <c r="BM126" s="1" t="s">
        <v>591</v>
      </c>
      <c r="BO126" s="1" t="s">
        <v>1537</v>
      </c>
      <c r="BP126" s="1" t="s">
        <v>1551</v>
      </c>
      <c r="BQ126" s="1" t="s">
        <v>1539</v>
      </c>
      <c r="BR126" s="1" t="s">
        <v>1589</v>
      </c>
      <c r="BS126" s="1" t="s">
        <v>1581</v>
      </c>
      <c r="BU126" s="1" t="s">
        <v>51</v>
      </c>
      <c r="CI126" s="1" t="s">
        <v>1931</v>
      </c>
      <c r="DS126" s="1" t="s">
        <v>1932</v>
      </c>
      <c r="DU126" s="1" t="s">
        <v>1556</v>
      </c>
    </row>
    <row r="127" spans="1:130" ht="15.75" customHeight="1" x14ac:dyDescent="0.2">
      <c r="A127" s="8" t="s">
        <v>377</v>
      </c>
      <c r="B127" s="32">
        <v>28813</v>
      </c>
      <c r="C127" s="32">
        <v>38673</v>
      </c>
      <c r="D127" s="1">
        <v>26.9957630889066</v>
      </c>
      <c r="E127" s="1" t="s">
        <v>1523</v>
      </c>
      <c r="F127" s="1" t="s">
        <v>1524</v>
      </c>
      <c r="G127" s="1" t="s">
        <v>1574</v>
      </c>
      <c r="H127" s="1" t="s">
        <v>51</v>
      </c>
      <c r="I127" s="1">
        <v>1.8149999999999999</v>
      </c>
      <c r="J127" s="1" t="s">
        <v>51</v>
      </c>
      <c r="K127" s="1">
        <v>101</v>
      </c>
      <c r="L127" s="1">
        <v>30.659715107498702</v>
      </c>
      <c r="M127" s="1" t="s">
        <v>45</v>
      </c>
      <c r="N127" s="1" t="s">
        <v>45</v>
      </c>
      <c r="O127" s="1" t="s">
        <v>45</v>
      </c>
      <c r="P127" s="1" t="s">
        <v>45</v>
      </c>
      <c r="Q127" s="1" t="s">
        <v>45</v>
      </c>
      <c r="R127" s="1" t="s">
        <v>45</v>
      </c>
      <c r="S127" s="1" t="s">
        <v>45</v>
      </c>
      <c r="T127" s="1" t="s">
        <v>45</v>
      </c>
      <c r="U127" s="1" t="s">
        <v>45</v>
      </c>
      <c r="V127" s="1" t="s">
        <v>45</v>
      </c>
      <c r="W127" s="1" t="s">
        <v>45</v>
      </c>
      <c r="X127" s="1" t="s">
        <v>45</v>
      </c>
      <c r="Y127" s="1" t="s">
        <v>45</v>
      </c>
      <c r="Z127" s="1" t="s">
        <v>45</v>
      </c>
      <c r="AA127" s="1" t="s">
        <v>45</v>
      </c>
      <c r="AB127" s="1" t="s">
        <v>45</v>
      </c>
      <c r="AC127" s="1" t="s">
        <v>45</v>
      </c>
      <c r="AD127" s="1" t="s">
        <v>45</v>
      </c>
      <c r="AE127" s="1" t="s">
        <v>45</v>
      </c>
      <c r="AF127" s="32">
        <v>38673</v>
      </c>
      <c r="AG127" s="1">
        <v>26.9957630889066</v>
      </c>
      <c r="AH127" s="1" t="s">
        <v>1558</v>
      </c>
      <c r="AI127" s="1" t="s">
        <v>1527</v>
      </c>
      <c r="AJ127" s="1" t="s">
        <v>45</v>
      </c>
      <c r="AK127" s="1" t="s">
        <v>45</v>
      </c>
      <c r="AL127" s="1" t="s">
        <v>45</v>
      </c>
      <c r="AM127" s="1" t="s">
        <v>45</v>
      </c>
      <c r="AN127" s="1" t="s">
        <v>45</v>
      </c>
      <c r="AO127" s="1" t="s">
        <v>45</v>
      </c>
      <c r="AP127" s="1" t="s">
        <v>45</v>
      </c>
      <c r="AQ127" s="1" t="s">
        <v>45</v>
      </c>
      <c r="AR127" s="1" t="s">
        <v>51</v>
      </c>
      <c r="AS127" s="1" t="s">
        <v>1933</v>
      </c>
      <c r="AT127" s="1" t="s">
        <v>1601</v>
      </c>
      <c r="AW127" s="33" t="s">
        <v>1464</v>
      </c>
      <c r="AX127" s="3"/>
      <c r="AY127" s="3" t="s">
        <v>1601</v>
      </c>
      <c r="AZ127" s="1">
        <v>2</v>
      </c>
      <c r="BB127" s="1" t="s">
        <v>1567</v>
      </c>
      <c r="BC127" s="1" t="s">
        <v>1602</v>
      </c>
      <c r="BE127" s="1" t="s">
        <v>1603</v>
      </c>
      <c r="BF127" s="1" t="s">
        <v>1548</v>
      </c>
      <c r="BG127" s="1" t="s">
        <v>1525</v>
      </c>
      <c r="BH127" s="1" t="s">
        <v>1525</v>
      </c>
      <c r="BI127" s="1" t="s">
        <v>1525</v>
      </c>
      <c r="BJ127" s="1" t="s">
        <v>45</v>
      </c>
      <c r="BK127" s="1" t="s">
        <v>1549</v>
      </c>
      <c r="BL127" s="32">
        <v>38673</v>
      </c>
      <c r="BM127" s="1" t="s">
        <v>1561</v>
      </c>
      <c r="BO127" s="1" t="s">
        <v>1537</v>
      </c>
      <c r="BP127" s="1" t="s">
        <v>1551</v>
      </c>
      <c r="BQ127" s="1" t="s">
        <v>1539</v>
      </c>
      <c r="BR127" s="1" t="s">
        <v>1552</v>
      </c>
      <c r="BS127" s="1" t="s">
        <v>1934</v>
      </c>
      <c r="BU127" s="1" t="s">
        <v>51</v>
      </c>
      <c r="BW127" s="1" t="s">
        <v>1563</v>
      </c>
      <c r="CA127" s="1" t="s">
        <v>51</v>
      </c>
      <c r="CI127" s="1" t="s">
        <v>1935</v>
      </c>
      <c r="CJ127" s="1" t="s">
        <v>51</v>
      </c>
      <c r="CK127" s="32">
        <v>41513</v>
      </c>
      <c r="CL127" s="1" t="s">
        <v>51</v>
      </c>
      <c r="CM127" s="32">
        <v>41513</v>
      </c>
      <c r="CN127" s="1">
        <v>7.7756558998473997</v>
      </c>
      <c r="CO127" s="1" t="s">
        <v>1537</v>
      </c>
      <c r="CP127" s="1" t="s">
        <v>1566</v>
      </c>
      <c r="CQ127" s="1" t="s">
        <v>1539</v>
      </c>
      <c r="CR127" s="1" t="s">
        <v>1552</v>
      </c>
      <c r="CS127" s="1" t="s">
        <v>1934</v>
      </c>
      <c r="CT127" s="1" t="s">
        <v>1601</v>
      </c>
      <c r="CW127" s="1">
        <v>2</v>
      </c>
      <c r="CY127" s="1" t="s">
        <v>1567</v>
      </c>
      <c r="CZ127" s="1" t="s">
        <v>1602</v>
      </c>
      <c r="DB127" s="1" t="s">
        <v>1603</v>
      </c>
      <c r="DT127" s="32">
        <v>45095</v>
      </c>
      <c r="DU127" s="1" t="s">
        <v>1598</v>
      </c>
      <c r="DV127" s="1">
        <v>210.97103591765199</v>
      </c>
      <c r="DW127" s="1" t="s">
        <v>45</v>
      </c>
      <c r="DZ127" s="1" t="s">
        <v>1557</v>
      </c>
    </row>
    <row r="128" spans="1:130" ht="15.75" customHeight="1" x14ac:dyDescent="0.2">
      <c r="A128" s="8" t="s">
        <v>803</v>
      </c>
      <c r="B128" s="32">
        <v>34268</v>
      </c>
      <c r="C128" s="32">
        <v>45058</v>
      </c>
      <c r="D128" s="1">
        <v>29.542016605405902</v>
      </c>
      <c r="E128" s="1" t="s">
        <v>1587</v>
      </c>
      <c r="F128" s="1" t="s">
        <v>1524</v>
      </c>
      <c r="G128" s="1" t="s">
        <v>1574</v>
      </c>
      <c r="H128" s="1" t="s">
        <v>51</v>
      </c>
      <c r="I128" s="1">
        <v>1.59</v>
      </c>
      <c r="J128" s="1" t="s">
        <v>51</v>
      </c>
      <c r="K128" s="1">
        <v>59.6</v>
      </c>
      <c r="L128" s="1">
        <v>23.575016811043799</v>
      </c>
      <c r="M128" s="1" t="s">
        <v>45</v>
      </c>
      <c r="N128" s="1" t="s">
        <v>45</v>
      </c>
      <c r="O128" s="1" t="s">
        <v>45</v>
      </c>
      <c r="P128" s="1" t="s">
        <v>45</v>
      </c>
      <c r="Q128" s="1" t="s">
        <v>45</v>
      </c>
      <c r="R128" s="1" t="s">
        <v>45</v>
      </c>
      <c r="S128" s="1" t="s">
        <v>45</v>
      </c>
      <c r="T128" s="1" t="s">
        <v>45</v>
      </c>
      <c r="U128" s="1" t="s">
        <v>45</v>
      </c>
      <c r="V128" s="1" t="s">
        <v>45</v>
      </c>
      <c r="W128" s="1" t="s">
        <v>45</v>
      </c>
      <c r="X128" s="1" t="s">
        <v>45</v>
      </c>
      <c r="Y128" s="1" t="s">
        <v>45</v>
      </c>
      <c r="Z128" s="1" t="s">
        <v>45</v>
      </c>
      <c r="AA128" s="1" t="s">
        <v>45</v>
      </c>
      <c r="AB128" s="1" t="s">
        <v>45</v>
      </c>
      <c r="AC128" s="1" t="s">
        <v>45</v>
      </c>
      <c r="AD128" s="1" t="s">
        <v>45</v>
      </c>
      <c r="AE128" s="1" t="s">
        <v>45</v>
      </c>
      <c r="AF128" s="32">
        <v>45092</v>
      </c>
      <c r="AG128" s="1">
        <v>29.635105443643599</v>
      </c>
      <c r="AH128" s="1" t="s">
        <v>1526</v>
      </c>
      <c r="AI128" s="1" t="s">
        <v>1527</v>
      </c>
      <c r="AJ128" s="1" t="s">
        <v>45</v>
      </c>
      <c r="AK128" s="1" t="s">
        <v>45</v>
      </c>
      <c r="AL128" s="1" t="s">
        <v>45</v>
      </c>
      <c r="AM128" s="1" t="s">
        <v>45</v>
      </c>
      <c r="AN128" s="1" t="s">
        <v>45</v>
      </c>
      <c r="AO128" s="1" t="s">
        <v>45</v>
      </c>
      <c r="AP128" s="1" t="s">
        <v>45</v>
      </c>
      <c r="AQ128" s="1" t="s">
        <v>45</v>
      </c>
      <c r="AR128" s="1" t="s">
        <v>51</v>
      </c>
      <c r="AS128" s="1" t="s">
        <v>1852</v>
      </c>
      <c r="AT128" s="1" t="s">
        <v>1560</v>
      </c>
      <c r="AW128" s="33" t="s">
        <v>1463</v>
      </c>
      <c r="AX128" s="3" t="s">
        <v>1560</v>
      </c>
      <c r="AY128" s="3"/>
      <c r="AZ128" s="1">
        <v>3</v>
      </c>
      <c r="BB128" s="1" t="s">
        <v>1567</v>
      </c>
      <c r="BC128" s="1" t="s">
        <v>1531</v>
      </c>
      <c r="BE128" s="1" t="s">
        <v>1603</v>
      </c>
      <c r="BG128" s="1" t="s">
        <v>45</v>
      </c>
      <c r="BH128" s="1" t="s">
        <v>46</v>
      </c>
      <c r="BI128" s="1" t="s">
        <v>1599</v>
      </c>
      <c r="BJ128" s="1" t="s">
        <v>45</v>
      </c>
      <c r="BK128" s="1" t="s">
        <v>1549</v>
      </c>
      <c r="BL128" s="32">
        <v>45092</v>
      </c>
      <c r="BM128" s="1" t="s">
        <v>804</v>
      </c>
      <c r="BO128" s="1" t="s">
        <v>1537</v>
      </c>
      <c r="BP128" s="1" t="s">
        <v>1551</v>
      </c>
      <c r="BQ128" s="1" t="s">
        <v>1539</v>
      </c>
      <c r="BR128" s="1" t="s">
        <v>1589</v>
      </c>
      <c r="BS128" s="1" t="s">
        <v>1592</v>
      </c>
      <c r="BU128" s="1" t="s">
        <v>51</v>
      </c>
      <c r="BW128" s="1" t="s">
        <v>1563</v>
      </c>
      <c r="BX128" s="32">
        <v>45217</v>
      </c>
      <c r="BY128" s="1">
        <v>12</v>
      </c>
      <c r="BZ128" s="1" t="s">
        <v>1591</v>
      </c>
      <c r="CA128" s="1" t="s">
        <v>51</v>
      </c>
      <c r="CB128" s="1" t="s">
        <v>51</v>
      </c>
      <c r="CC128" s="32">
        <v>45105</v>
      </c>
      <c r="CD128" s="1">
        <v>60</v>
      </c>
      <c r="CE128" s="1">
        <v>30</v>
      </c>
      <c r="CJ128" s="1" t="s">
        <v>45</v>
      </c>
      <c r="DH128" s="1" t="s">
        <v>45</v>
      </c>
      <c r="DM128" s="1" t="s">
        <v>45</v>
      </c>
      <c r="DO128" s="1" t="s">
        <v>45</v>
      </c>
      <c r="DQ128" s="1" t="s">
        <v>45</v>
      </c>
      <c r="DT128" s="32">
        <v>45763</v>
      </c>
      <c r="DU128" s="1" t="s">
        <v>1598</v>
      </c>
      <c r="DV128" s="1">
        <v>22.0433639947437</v>
      </c>
      <c r="DW128" s="1" t="s">
        <v>45</v>
      </c>
    </row>
    <row r="129" spans="1:130" ht="15.75" customHeight="1" x14ac:dyDescent="0.2">
      <c r="A129" s="8" t="s">
        <v>892</v>
      </c>
      <c r="B129" s="32">
        <v>30612</v>
      </c>
      <c r="C129" s="32">
        <v>44971</v>
      </c>
      <c r="D129" s="1">
        <v>39.313720792806599</v>
      </c>
      <c r="E129" s="1" t="s">
        <v>1523</v>
      </c>
      <c r="F129" s="1" t="s">
        <v>1524</v>
      </c>
      <c r="G129" s="1" t="s">
        <v>1574</v>
      </c>
      <c r="H129" s="1" t="s">
        <v>51</v>
      </c>
      <c r="I129" s="1">
        <v>1.71</v>
      </c>
      <c r="J129" s="1" t="s">
        <v>51</v>
      </c>
      <c r="K129" s="1">
        <v>59.8</v>
      </c>
      <c r="L129" s="1">
        <v>20.4507369788994</v>
      </c>
      <c r="M129" s="1" t="s">
        <v>45</v>
      </c>
      <c r="N129" s="1" t="s">
        <v>45</v>
      </c>
      <c r="O129" s="1" t="s">
        <v>45</v>
      </c>
      <c r="P129" s="1" t="s">
        <v>45</v>
      </c>
      <c r="Q129" s="1" t="s">
        <v>45</v>
      </c>
      <c r="R129" s="1" t="s">
        <v>45</v>
      </c>
      <c r="S129" s="1" t="s">
        <v>45</v>
      </c>
      <c r="T129" s="1" t="s">
        <v>45</v>
      </c>
      <c r="U129" s="1" t="s">
        <v>45</v>
      </c>
      <c r="V129" s="1" t="s">
        <v>45</v>
      </c>
      <c r="W129" s="1" t="s">
        <v>45</v>
      </c>
      <c r="X129" s="1" t="s">
        <v>45</v>
      </c>
      <c r="Y129" s="1" t="s">
        <v>45</v>
      </c>
      <c r="Z129" s="1" t="s">
        <v>45</v>
      </c>
      <c r="AA129" s="1" t="s">
        <v>45</v>
      </c>
      <c r="AB129" s="1" t="s">
        <v>45</v>
      </c>
      <c r="AC129" s="1" t="s">
        <v>45</v>
      </c>
      <c r="AD129" s="1" t="s">
        <v>45</v>
      </c>
      <c r="AE129" s="1" t="s">
        <v>45</v>
      </c>
      <c r="AF129" s="32">
        <v>45092</v>
      </c>
      <c r="AG129" s="1">
        <v>39.644893461193497</v>
      </c>
      <c r="AH129" s="1" t="s">
        <v>1526</v>
      </c>
      <c r="AI129" s="1" t="s">
        <v>1527</v>
      </c>
      <c r="AJ129" s="1" t="s">
        <v>45</v>
      </c>
      <c r="AK129" s="1" t="s">
        <v>51</v>
      </c>
      <c r="AL129" s="1" t="s">
        <v>45</v>
      </c>
      <c r="AM129" s="1" t="s">
        <v>45</v>
      </c>
      <c r="AN129" s="1" t="s">
        <v>45</v>
      </c>
      <c r="AO129" s="1" t="s">
        <v>45</v>
      </c>
      <c r="AP129" s="1" t="s">
        <v>45</v>
      </c>
      <c r="AQ129" s="1" t="s">
        <v>45</v>
      </c>
      <c r="AR129" s="1" t="s">
        <v>45</v>
      </c>
      <c r="AT129" s="1" t="s">
        <v>1528</v>
      </c>
      <c r="AW129" s="33" t="s">
        <v>1463</v>
      </c>
      <c r="AX129" s="3" t="s">
        <v>1528</v>
      </c>
      <c r="AY129" s="3"/>
      <c r="AZ129" s="1">
        <v>4</v>
      </c>
      <c r="BA129" s="1" t="s">
        <v>1529</v>
      </c>
      <c r="BB129" s="1" t="s">
        <v>1530</v>
      </c>
      <c r="BC129" s="1" t="s">
        <v>1531</v>
      </c>
      <c r="BD129" s="1" t="s">
        <v>1532</v>
      </c>
      <c r="BE129" s="1" t="s">
        <v>1533</v>
      </c>
      <c r="BF129" s="1" t="s">
        <v>1534</v>
      </c>
      <c r="BG129" s="1" t="s">
        <v>45</v>
      </c>
      <c r="BH129" s="1" t="s">
        <v>46</v>
      </c>
      <c r="BI129" s="1" t="s">
        <v>1535</v>
      </c>
      <c r="BJ129" s="1" t="s">
        <v>45</v>
      </c>
      <c r="BK129" s="1" t="s">
        <v>1536</v>
      </c>
      <c r="BL129" s="32">
        <v>45092</v>
      </c>
      <c r="BM129" s="1" t="s">
        <v>893</v>
      </c>
      <c r="BO129" s="1" t="s">
        <v>1537</v>
      </c>
      <c r="BP129" s="1" t="s">
        <v>1538</v>
      </c>
      <c r="BQ129" s="1" t="s">
        <v>1647</v>
      </c>
      <c r="BR129" s="1" t="s">
        <v>1540</v>
      </c>
      <c r="BS129" s="1" t="s">
        <v>106</v>
      </c>
      <c r="BU129" s="1" t="s">
        <v>1525</v>
      </c>
      <c r="CA129" s="1" t="s">
        <v>51</v>
      </c>
      <c r="CI129" s="1" t="s">
        <v>1936</v>
      </c>
      <c r="CJ129" s="1" t="s">
        <v>45</v>
      </c>
      <c r="DH129" s="1" t="s">
        <v>45</v>
      </c>
      <c r="DM129" s="1" t="s">
        <v>45</v>
      </c>
      <c r="DO129" s="1" t="s">
        <v>45</v>
      </c>
      <c r="DQ129" s="1" t="s">
        <v>45</v>
      </c>
      <c r="DT129" s="32">
        <v>45267</v>
      </c>
      <c r="DU129" s="1" t="s">
        <v>1598</v>
      </c>
      <c r="DV129" s="1">
        <v>5.7503832676303102</v>
      </c>
      <c r="DW129" s="1" t="s">
        <v>45</v>
      </c>
      <c r="DY129" s="32">
        <v>45724</v>
      </c>
      <c r="DZ129" s="1" t="s">
        <v>1544</v>
      </c>
    </row>
    <row r="130" spans="1:130" ht="15.75" customHeight="1" x14ac:dyDescent="0.2">
      <c r="A130" s="8" t="s">
        <v>895</v>
      </c>
      <c r="B130" s="32">
        <v>19541</v>
      </c>
      <c r="C130" s="32">
        <v>45090</v>
      </c>
      <c r="D130" s="1">
        <v>69.950786121549299</v>
      </c>
      <c r="E130" s="1" t="s">
        <v>1523</v>
      </c>
      <c r="F130" s="1" t="s">
        <v>1524</v>
      </c>
      <c r="G130" s="1" t="s">
        <v>1545</v>
      </c>
      <c r="H130" s="1" t="s">
        <v>51</v>
      </c>
      <c r="I130" s="1">
        <v>1.8</v>
      </c>
      <c r="J130" s="1" t="s">
        <v>51</v>
      </c>
      <c r="K130" s="1">
        <v>86.1</v>
      </c>
      <c r="L130" s="1">
        <v>26.574074074074002</v>
      </c>
      <c r="M130" s="1" t="s">
        <v>45</v>
      </c>
      <c r="N130" s="1" t="s">
        <v>45</v>
      </c>
      <c r="O130" s="1" t="s">
        <v>45</v>
      </c>
      <c r="P130" s="1" t="s">
        <v>45</v>
      </c>
      <c r="Q130" s="1" t="s">
        <v>45</v>
      </c>
      <c r="R130" s="1" t="s">
        <v>45</v>
      </c>
      <c r="S130" s="1" t="s">
        <v>45</v>
      </c>
      <c r="T130" s="1" t="s">
        <v>45</v>
      </c>
      <c r="U130" s="1" t="s">
        <v>45</v>
      </c>
      <c r="V130" s="1" t="s">
        <v>45</v>
      </c>
      <c r="W130" s="1" t="s">
        <v>45</v>
      </c>
      <c r="X130" s="1" t="s">
        <v>45</v>
      </c>
      <c r="Y130" s="1" t="s">
        <v>45</v>
      </c>
      <c r="Z130" s="1" t="s">
        <v>45</v>
      </c>
      <c r="AA130" s="1" t="s">
        <v>51</v>
      </c>
      <c r="AB130" s="1" t="s">
        <v>45</v>
      </c>
      <c r="AC130" s="1" t="s">
        <v>45</v>
      </c>
      <c r="AD130" s="1" t="s">
        <v>45</v>
      </c>
      <c r="AE130" s="1" t="s">
        <v>45</v>
      </c>
      <c r="AF130" s="32">
        <v>45094</v>
      </c>
      <c r="AG130" s="1">
        <v>69.961737749577296</v>
      </c>
      <c r="AH130" s="1" t="s">
        <v>1526</v>
      </c>
      <c r="AI130" s="1" t="s">
        <v>1527</v>
      </c>
      <c r="AJ130" s="1" t="s">
        <v>45</v>
      </c>
      <c r="AK130" s="1" t="s">
        <v>45</v>
      </c>
      <c r="AL130" s="1" t="s">
        <v>45</v>
      </c>
      <c r="AM130" s="1" t="s">
        <v>45</v>
      </c>
      <c r="AN130" s="1" t="s">
        <v>51</v>
      </c>
      <c r="AO130" s="1" t="s">
        <v>45</v>
      </c>
      <c r="AP130" s="1" t="s">
        <v>51</v>
      </c>
      <c r="AQ130" s="1" t="s">
        <v>45</v>
      </c>
      <c r="AR130" s="1" t="s">
        <v>45</v>
      </c>
      <c r="AT130" s="1" t="s">
        <v>1528</v>
      </c>
      <c r="AW130" s="33" t="s">
        <v>1463</v>
      </c>
      <c r="AX130" s="3" t="s">
        <v>1528</v>
      </c>
      <c r="AY130" s="3"/>
      <c r="AZ130" s="1">
        <v>4</v>
      </c>
      <c r="BA130" s="1" t="s">
        <v>1529</v>
      </c>
      <c r="BB130" s="1" t="s">
        <v>1530</v>
      </c>
      <c r="BC130" s="1" t="s">
        <v>1531</v>
      </c>
      <c r="BD130" s="1" t="s">
        <v>1532</v>
      </c>
      <c r="BE130" s="1" t="s">
        <v>1533</v>
      </c>
      <c r="BF130" s="1" t="s">
        <v>1534</v>
      </c>
      <c r="BG130" s="1" t="s">
        <v>45</v>
      </c>
      <c r="BH130" s="1" t="s">
        <v>46</v>
      </c>
      <c r="BI130" s="1" t="s">
        <v>1535</v>
      </c>
      <c r="BJ130" s="1" t="s">
        <v>45</v>
      </c>
      <c r="BK130" s="1" t="s">
        <v>1536</v>
      </c>
      <c r="BL130" s="32">
        <v>45094</v>
      </c>
      <c r="BM130" s="1" t="s">
        <v>896</v>
      </c>
      <c r="BO130" s="1" t="s">
        <v>1537</v>
      </c>
      <c r="BP130" s="1" t="s">
        <v>1551</v>
      </c>
      <c r="BQ130" s="1" t="s">
        <v>1605</v>
      </c>
      <c r="BR130" s="1" t="s">
        <v>1540</v>
      </c>
      <c r="BS130" s="1" t="s">
        <v>106</v>
      </c>
      <c r="BU130" s="1" t="s">
        <v>51</v>
      </c>
      <c r="BV130" s="1" t="s">
        <v>1541</v>
      </c>
      <c r="BW130" s="1" t="s">
        <v>1542</v>
      </c>
      <c r="CA130" s="1" t="s">
        <v>51</v>
      </c>
      <c r="CB130" s="1" t="s">
        <v>51</v>
      </c>
      <c r="CC130" s="32">
        <v>45120</v>
      </c>
      <c r="CD130" s="1">
        <v>40.049999999999997</v>
      </c>
      <c r="CE130" s="1">
        <v>20</v>
      </c>
      <c r="CF130" s="1" t="s">
        <v>1937</v>
      </c>
      <c r="CI130" s="1" t="s">
        <v>1938</v>
      </c>
      <c r="CJ130" s="1" t="s">
        <v>51</v>
      </c>
      <c r="CK130" s="32">
        <v>45162</v>
      </c>
      <c r="CL130" s="1" t="s">
        <v>45</v>
      </c>
      <c r="DH130" s="1" t="s">
        <v>45</v>
      </c>
      <c r="DM130" s="1" t="s">
        <v>45</v>
      </c>
      <c r="DO130" s="1" t="s">
        <v>45</v>
      </c>
      <c r="DQ130" s="1" t="s">
        <v>45</v>
      </c>
      <c r="DT130" s="32">
        <v>45263</v>
      </c>
      <c r="DU130" s="1" t="s">
        <v>1543</v>
      </c>
      <c r="DV130" s="1">
        <v>5.5532742006132203</v>
      </c>
      <c r="DW130" s="1" t="s">
        <v>45</v>
      </c>
      <c r="DY130" s="32">
        <v>45719</v>
      </c>
      <c r="DZ130" s="1" t="s">
        <v>1544</v>
      </c>
    </row>
    <row r="131" spans="1:130" ht="15.75" customHeight="1" x14ac:dyDescent="0.2">
      <c r="A131" s="8" t="s">
        <v>807</v>
      </c>
      <c r="B131" s="32">
        <v>27198</v>
      </c>
      <c r="C131" s="32">
        <v>45096</v>
      </c>
      <c r="D131" s="1">
        <v>49.003059611080303</v>
      </c>
      <c r="E131" s="1" t="s">
        <v>1587</v>
      </c>
      <c r="F131" s="1" t="s">
        <v>1524</v>
      </c>
      <c r="G131" s="1" t="s">
        <v>1525</v>
      </c>
      <c r="H131" s="1" t="s">
        <v>51</v>
      </c>
      <c r="I131" s="1">
        <v>1.62</v>
      </c>
      <c r="J131" s="1" t="s">
        <v>51</v>
      </c>
      <c r="K131" s="1">
        <v>77.900000000000006</v>
      </c>
      <c r="L131" s="1">
        <v>29.6829751562261</v>
      </c>
      <c r="M131" s="1" t="s">
        <v>45</v>
      </c>
      <c r="N131" s="1" t="s">
        <v>45</v>
      </c>
      <c r="O131" s="1" t="s">
        <v>45</v>
      </c>
      <c r="P131" s="1" t="s">
        <v>45</v>
      </c>
      <c r="Q131" s="1" t="s">
        <v>45</v>
      </c>
      <c r="R131" s="1" t="s">
        <v>45</v>
      </c>
      <c r="S131" s="1" t="s">
        <v>45</v>
      </c>
      <c r="T131" s="1" t="s">
        <v>45</v>
      </c>
      <c r="U131" s="1" t="s">
        <v>45</v>
      </c>
      <c r="V131" s="1" t="s">
        <v>45</v>
      </c>
      <c r="W131" s="1" t="s">
        <v>45</v>
      </c>
      <c r="X131" s="1" t="s">
        <v>45</v>
      </c>
      <c r="Y131" s="1" t="s">
        <v>45</v>
      </c>
      <c r="Z131" s="1" t="s">
        <v>45</v>
      </c>
      <c r="AA131" s="1" t="s">
        <v>45</v>
      </c>
      <c r="AB131" s="1" t="s">
        <v>45</v>
      </c>
      <c r="AC131" s="1" t="s">
        <v>45</v>
      </c>
      <c r="AD131" s="1" t="s">
        <v>45</v>
      </c>
      <c r="AE131" s="1" t="s">
        <v>45</v>
      </c>
      <c r="AF131" s="32">
        <v>45099</v>
      </c>
      <c r="AG131" s="1">
        <v>49.011273332101197</v>
      </c>
      <c r="AH131" s="1" t="s">
        <v>1526</v>
      </c>
      <c r="AI131" s="1" t="s">
        <v>1527</v>
      </c>
      <c r="AJ131" s="1" t="s">
        <v>45</v>
      </c>
      <c r="AK131" s="1" t="s">
        <v>45</v>
      </c>
      <c r="AL131" s="1" t="s">
        <v>51</v>
      </c>
      <c r="AM131" s="1" t="s">
        <v>45</v>
      </c>
      <c r="AN131" s="1" t="s">
        <v>45</v>
      </c>
      <c r="AO131" s="1" t="s">
        <v>45</v>
      </c>
      <c r="AP131" s="1" t="s">
        <v>45</v>
      </c>
      <c r="AQ131" s="1" t="s">
        <v>45</v>
      </c>
      <c r="AR131" s="1" t="s">
        <v>45</v>
      </c>
      <c r="AT131" s="1" t="s">
        <v>1528</v>
      </c>
      <c r="AW131" s="33" t="s">
        <v>1463</v>
      </c>
      <c r="AX131" s="3" t="s">
        <v>1528</v>
      </c>
      <c r="AY131" s="3"/>
      <c r="AZ131" s="1">
        <v>4</v>
      </c>
      <c r="BB131" s="1" t="s">
        <v>1530</v>
      </c>
      <c r="BE131" s="1" t="s">
        <v>1603</v>
      </c>
      <c r="BG131" s="1" t="s">
        <v>1525</v>
      </c>
      <c r="BH131" s="1" t="s">
        <v>46</v>
      </c>
      <c r="BI131" s="1" t="s">
        <v>1535</v>
      </c>
      <c r="BJ131" s="1" t="s">
        <v>1525</v>
      </c>
      <c r="BK131" s="1" t="s">
        <v>1549</v>
      </c>
      <c r="BL131" s="32">
        <v>45099</v>
      </c>
      <c r="BM131" s="1" t="s">
        <v>808</v>
      </c>
      <c r="BO131" s="1" t="s">
        <v>1537</v>
      </c>
      <c r="BP131" s="1" t="s">
        <v>1551</v>
      </c>
      <c r="BQ131" s="1" t="s">
        <v>1539</v>
      </c>
      <c r="BR131" s="1" t="s">
        <v>1589</v>
      </c>
      <c r="BS131" s="1" t="s">
        <v>1581</v>
      </c>
      <c r="BU131" s="1" t="s">
        <v>51</v>
      </c>
      <c r="BW131" s="1" t="s">
        <v>1563</v>
      </c>
      <c r="BX131" s="32">
        <v>45189</v>
      </c>
      <c r="BY131" s="1">
        <v>12</v>
      </c>
      <c r="BZ131" s="1" t="s">
        <v>1591</v>
      </c>
      <c r="CA131" s="1" t="s">
        <v>51</v>
      </c>
      <c r="CB131" s="1" t="s">
        <v>51</v>
      </c>
      <c r="CC131" s="32">
        <v>45113</v>
      </c>
      <c r="CD131" s="1">
        <v>60</v>
      </c>
      <c r="CE131" s="1">
        <v>30</v>
      </c>
      <c r="CJ131" s="1" t="s">
        <v>45</v>
      </c>
      <c r="DH131" s="1" t="s">
        <v>45</v>
      </c>
      <c r="DM131" s="1" t="s">
        <v>45</v>
      </c>
      <c r="DO131" s="1" t="s">
        <v>45</v>
      </c>
      <c r="DQ131" s="1" t="s">
        <v>45</v>
      </c>
      <c r="DT131" s="32">
        <v>45699</v>
      </c>
      <c r="DU131" s="1" t="s">
        <v>1598</v>
      </c>
      <c r="DV131" s="1">
        <v>19.7122755146736</v>
      </c>
      <c r="DW131" s="1" t="s">
        <v>45</v>
      </c>
    </row>
    <row r="132" spans="1:130" ht="15.75" customHeight="1" x14ac:dyDescent="0.2">
      <c r="A132" s="8" t="s">
        <v>814</v>
      </c>
      <c r="B132" s="32">
        <v>22231</v>
      </c>
      <c r="C132" s="32">
        <v>45098</v>
      </c>
      <c r="D132" s="1">
        <v>62.607605449347503</v>
      </c>
      <c r="E132" s="1" t="s">
        <v>1587</v>
      </c>
      <c r="F132" s="1" t="s">
        <v>1578</v>
      </c>
      <c r="G132" s="1" t="s">
        <v>1574</v>
      </c>
      <c r="H132" s="1" t="s">
        <v>51</v>
      </c>
      <c r="I132" s="1">
        <v>1.65</v>
      </c>
      <c r="J132" s="1" t="s">
        <v>51</v>
      </c>
      <c r="K132" s="1">
        <v>63.7</v>
      </c>
      <c r="L132" s="1">
        <v>23.397612488521499</v>
      </c>
      <c r="M132" s="1" t="s">
        <v>45</v>
      </c>
      <c r="N132" s="1" t="s">
        <v>45</v>
      </c>
      <c r="O132" s="1" t="s">
        <v>45</v>
      </c>
      <c r="P132" s="1" t="s">
        <v>45</v>
      </c>
      <c r="Q132" s="1" t="s">
        <v>45</v>
      </c>
      <c r="R132" s="1" t="s">
        <v>51</v>
      </c>
      <c r="S132" s="1" t="s">
        <v>45</v>
      </c>
      <c r="T132" s="1" t="s">
        <v>45</v>
      </c>
      <c r="U132" s="1" t="s">
        <v>45</v>
      </c>
      <c r="V132" s="1" t="s">
        <v>45</v>
      </c>
      <c r="W132" s="1" t="s">
        <v>45</v>
      </c>
      <c r="X132" s="1" t="s">
        <v>51</v>
      </c>
      <c r="Y132" s="1" t="s">
        <v>45</v>
      </c>
      <c r="Z132" s="1" t="s">
        <v>45</v>
      </c>
      <c r="AA132" s="1" t="s">
        <v>45</v>
      </c>
      <c r="AB132" s="1" t="s">
        <v>45</v>
      </c>
      <c r="AC132" s="1" t="s">
        <v>45</v>
      </c>
      <c r="AD132" s="1" t="s">
        <v>45</v>
      </c>
      <c r="AE132" s="1" t="s">
        <v>45</v>
      </c>
      <c r="AF132" s="32">
        <v>45100</v>
      </c>
      <c r="AG132" s="1">
        <v>62.613081263361501</v>
      </c>
      <c r="AH132" s="1" t="s">
        <v>1625</v>
      </c>
      <c r="AI132" s="1" t="s">
        <v>1527</v>
      </c>
      <c r="AJ132" s="1" t="s">
        <v>45</v>
      </c>
      <c r="AK132" s="1" t="s">
        <v>45</v>
      </c>
      <c r="AL132" s="1" t="s">
        <v>45</v>
      </c>
      <c r="AM132" s="1" t="s">
        <v>45</v>
      </c>
      <c r="AN132" s="1" t="s">
        <v>51</v>
      </c>
      <c r="AO132" s="1" t="s">
        <v>45</v>
      </c>
      <c r="AP132" s="1" t="s">
        <v>45</v>
      </c>
      <c r="AQ132" s="1" t="s">
        <v>45</v>
      </c>
      <c r="AR132" s="1" t="s">
        <v>45</v>
      </c>
      <c r="AT132" s="1" t="s">
        <v>1528</v>
      </c>
      <c r="AW132" s="33" t="s">
        <v>1463</v>
      </c>
      <c r="AX132" s="3" t="s">
        <v>1528</v>
      </c>
      <c r="AY132" s="3"/>
      <c r="AZ132" s="1">
        <v>4</v>
      </c>
      <c r="BB132" s="1" t="s">
        <v>1530</v>
      </c>
      <c r="BE132" s="1" t="s">
        <v>1603</v>
      </c>
      <c r="BG132" s="1" t="s">
        <v>45</v>
      </c>
      <c r="BH132" s="1" t="s">
        <v>46</v>
      </c>
      <c r="BI132" s="1" t="s">
        <v>1535</v>
      </c>
      <c r="BJ132" s="1" t="s">
        <v>45</v>
      </c>
      <c r="BK132" s="1" t="s">
        <v>1549</v>
      </c>
      <c r="BL132" s="32">
        <v>45100</v>
      </c>
      <c r="BM132" s="1" t="s">
        <v>815</v>
      </c>
      <c r="BO132" s="1" t="s">
        <v>1537</v>
      </c>
      <c r="BP132" s="1" t="s">
        <v>1551</v>
      </c>
      <c r="BQ132" s="1" t="s">
        <v>1539</v>
      </c>
      <c r="BR132" s="1" t="s">
        <v>1589</v>
      </c>
      <c r="BS132" s="1" t="s">
        <v>1921</v>
      </c>
      <c r="BU132" s="1" t="s">
        <v>51</v>
      </c>
      <c r="BW132" s="1" t="s">
        <v>1563</v>
      </c>
      <c r="BX132" s="32">
        <v>45189</v>
      </c>
      <c r="BY132" s="1">
        <v>2</v>
      </c>
      <c r="BZ132" s="1" t="s">
        <v>1939</v>
      </c>
      <c r="CA132" s="1" t="s">
        <v>51</v>
      </c>
      <c r="CB132" s="1" t="s">
        <v>51</v>
      </c>
      <c r="CC132" s="32">
        <v>45112</v>
      </c>
      <c r="CD132" s="1">
        <v>40</v>
      </c>
      <c r="CE132" s="1">
        <v>15</v>
      </c>
      <c r="CJ132" s="1" t="s">
        <v>51</v>
      </c>
      <c r="CK132" s="32">
        <v>45533</v>
      </c>
      <c r="CL132" s="1" t="s">
        <v>45</v>
      </c>
      <c r="DH132" s="1" t="s">
        <v>51</v>
      </c>
      <c r="DI132" s="1" t="s">
        <v>1940</v>
      </c>
      <c r="DJ132" s="32">
        <v>45533</v>
      </c>
      <c r="DK132" s="1" t="s">
        <v>1583</v>
      </c>
      <c r="DL132" s="1" t="s">
        <v>1941</v>
      </c>
      <c r="DM132" s="1" t="s">
        <v>45</v>
      </c>
      <c r="DO132" s="1" t="s">
        <v>45</v>
      </c>
      <c r="DQ132" s="1" t="s">
        <v>45</v>
      </c>
      <c r="DT132" s="32">
        <v>45713</v>
      </c>
      <c r="DU132" s="1" t="s">
        <v>1598</v>
      </c>
      <c r="DV132" s="1">
        <v>20.139345159877301</v>
      </c>
      <c r="DW132" s="1" t="s">
        <v>45</v>
      </c>
    </row>
    <row r="133" spans="1:130" ht="15.75" customHeight="1" x14ac:dyDescent="0.2">
      <c r="A133" s="8" t="s">
        <v>818</v>
      </c>
      <c r="B133" s="32">
        <v>25306</v>
      </c>
      <c r="C133" s="32">
        <v>45096</v>
      </c>
      <c r="D133" s="1">
        <v>54.183065588843903</v>
      </c>
      <c r="E133" s="1" t="s">
        <v>1523</v>
      </c>
      <c r="F133" s="1" t="s">
        <v>1524</v>
      </c>
      <c r="G133" s="1" t="s">
        <v>1574</v>
      </c>
      <c r="H133" s="1" t="s">
        <v>51</v>
      </c>
      <c r="I133" s="1">
        <v>1.83</v>
      </c>
      <c r="J133" s="1" t="s">
        <v>51</v>
      </c>
      <c r="K133" s="1">
        <v>94</v>
      </c>
      <c r="L133" s="1">
        <v>28.068918152228999</v>
      </c>
      <c r="M133" s="1" t="s">
        <v>45</v>
      </c>
      <c r="N133" s="1" t="s">
        <v>45</v>
      </c>
      <c r="O133" s="1" t="s">
        <v>45</v>
      </c>
      <c r="P133" s="1" t="s">
        <v>45</v>
      </c>
      <c r="Q133" s="1" t="s">
        <v>45</v>
      </c>
      <c r="R133" s="1" t="s">
        <v>45</v>
      </c>
      <c r="S133" s="1" t="s">
        <v>45</v>
      </c>
      <c r="T133" s="1" t="s">
        <v>45</v>
      </c>
      <c r="U133" s="1" t="s">
        <v>45</v>
      </c>
      <c r="V133" s="1" t="s">
        <v>45</v>
      </c>
      <c r="W133" s="1" t="s">
        <v>45</v>
      </c>
      <c r="X133" s="1" t="s">
        <v>45</v>
      </c>
      <c r="Y133" s="1" t="s">
        <v>45</v>
      </c>
      <c r="Z133" s="1" t="s">
        <v>45</v>
      </c>
      <c r="AA133" s="1" t="s">
        <v>51</v>
      </c>
      <c r="AB133" s="1" t="s">
        <v>45</v>
      </c>
      <c r="AC133" s="1" t="s">
        <v>45</v>
      </c>
      <c r="AD133" s="1" t="s">
        <v>45</v>
      </c>
      <c r="AE133" s="1" t="s">
        <v>45</v>
      </c>
      <c r="AF133" s="32">
        <v>45103</v>
      </c>
      <c r="AG133" s="1">
        <v>54.2022309378928</v>
      </c>
      <c r="AH133" s="1" t="s">
        <v>1526</v>
      </c>
      <c r="AI133" s="1" t="s">
        <v>1527</v>
      </c>
      <c r="AJ133" s="1" t="s">
        <v>45</v>
      </c>
      <c r="AK133" s="1" t="s">
        <v>45</v>
      </c>
      <c r="AL133" s="1" t="s">
        <v>45</v>
      </c>
      <c r="AM133" s="1" t="s">
        <v>51</v>
      </c>
      <c r="AN133" s="1" t="s">
        <v>45</v>
      </c>
      <c r="AO133" s="1" t="s">
        <v>45</v>
      </c>
      <c r="AP133" s="1" t="s">
        <v>45</v>
      </c>
      <c r="AQ133" s="1" t="s">
        <v>45</v>
      </c>
      <c r="AR133" s="1" t="s">
        <v>45</v>
      </c>
      <c r="AT133" s="1" t="s">
        <v>1528</v>
      </c>
      <c r="AW133" s="33" t="s">
        <v>1463</v>
      </c>
      <c r="AX133" s="3" t="s">
        <v>1528</v>
      </c>
      <c r="AY133" s="3"/>
      <c r="AZ133" s="1">
        <v>4</v>
      </c>
      <c r="BB133" s="1" t="s">
        <v>1530</v>
      </c>
      <c r="BE133" s="1" t="s">
        <v>1603</v>
      </c>
      <c r="BG133" s="1" t="s">
        <v>1525</v>
      </c>
      <c r="BH133" s="1" t="s">
        <v>46</v>
      </c>
      <c r="BI133" s="1" t="s">
        <v>1535</v>
      </c>
      <c r="BJ133" s="1" t="s">
        <v>1525</v>
      </c>
      <c r="BK133" s="1" t="s">
        <v>1549</v>
      </c>
      <c r="BL133" s="32">
        <v>45103</v>
      </c>
      <c r="BM133" s="1" t="s">
        <v>819</v>
      </c>
      <c r="BO133" s="1" t="s">
        <v>1537</v>
      </c>
      <c r="BP133" s="1" t="s">
        <v>1551</v>
      </c>
      <c r="BQ133" s="1" t="s">
        <v>1539</v>
      </c>
      <c r="BR133" s="1" t="s">
        <v>1580</v>
      </c>
      <c r="BS133" s="1" t="s">
        <v>1581</v>
      </c>
      <c r="BU133" s="1" t="s">
        <v>51</v>
      </c>
      <c r="BW133" s="1" t="s">
        <v>1563</v>
      </c>
      <c r="BX133" s="32">
        <v>45210</v>
      </c>
      <c r="BY133" s="1">
        <v>3</v>
      </c>
      <c r="BZ133" s="1" t="s">
        <v>1942</v>
      </c>
      <c r="CA133" s="1" t="s">
        <v>51</v>
      </c>
      <c r="CB133" s="1" t="s">
        <v>51</v>
      </c>
      <c r="CC133" s="32">
        <v>45127</v>
      </c>
      <c r="CD133" s="1">
        <v>60</v>
      </c>
      <c r="CE133" s="1">
        <v>30</v>
      </c>
      <c r="CJ133" s="1" t="s">
        <v>51</v>
      </c>
      <c r="CK133" s="32">
        <v>45304</v>
      </c>
      <c r="CL133" s="1" t="s">
        <v>45</v>
      </c>
      <c r="DH133" s="1" t="s">
        <v>45</v>
      </c>
      <c r="DM133" s="1" t="s">
        <v>45</v>
      </c>
      <c r="DO133" s="1" t="s">
        <v>45</v>
      </c>
      <c r="DQ133" s="1" t="s">
        <v>45</v>
      </c>
      <c r="DS133" s="1" t="s">
        <v>1943</v>
      </c>
      <c r="DT133" s="32">
        <v>45315</v>
      </c>
      <c r="DU133" s="1" t="s">
        <v>1598</v>
      </c>
      <c r="DV133" s="1">
        <v>6.9658891809023196</v>
      </c>
      <c r="DW133" s="1" t="s">
        <v>45</v>
      </c>
    </row>
    <row r="134" spans="1:130" ht="15.75" customHeight="1" x14ac:dyDescent="0.2">
      <c r="A134" s="8" t="s">
        <v>902</v>
      </c>
      <c r="B134" s="32">
        <v>28338</v>
      </c>
      <c r="C134" s="32">
        <v>45106</v>
      </c>
      <c r="D134" s="1">
        <v>45.909224693183297</v>
      </c>
      <c r="E134" s="1" t="s">
        <v>1523</v>
      </c>
      <c r="F134" s="1" t="s">
        <v>1524</v>
      </c>
      <c r="G134" s="1" t="s">
        <v>1574</v>
      </c>
      <c r="H134" s="1" t="s">
        <v>51</v>
      </c>
      <c r="I134" s="1">
        <v>1.79</v>
      </c>
      <c r="J134" s="1" t="s">
        <v>51</v>
      </c>
      <c r="K134" s="1">
        <v>73.2</v>
      </c>
      <c r="L134" s="1">
        <v>22.8457289098342</v>
      </c>
      <c r="M134" s="1" t="s">
        <v>45</v>
      </c>
      <c r="N134" s="1" t="s">
        <v>45</v>
      </c>
      <c r="O134" s="1" t="s">
        <v>45</v>
      </c>
      <c r="P134" s="1" t="s">
        <v>45</v>
      </c>
      <c r="Q134" s="1" t="s">
        <v>45</v>
      </c>
      <c r="R134" s="1" t="s">
        <v>45</v>
      </c>
      <c r="S134" s="1" t="s">
        <v>45</v>
      </c>
      <c r="T134" s="1" t="s">
        <v>45</v>
      </c>
      <c r="U134" s="1" t="s">
        <v>45</v>
      </c>
      <c r="V134" s="1" t="s">
        <v>45</v>
      </c>
      <c r="W134" s="1" t="s">
        <v>45</v>
      </c>
      <c r="X134" s="1" t="s">
        <v>45</v>
      </c>
      <c r="Y134" s="1" t="s">
        <v>45</v>
      </c>
      <c r="Z134" s="1" t="s">
        <v>45</v>
      </c>
      <c r="AA134" s="1" t="s">
        <v>45</v>
      </c>
      <c r="AB134" s="1" t="s">
        <v>45</v>
      </c>
      <c r="AC134" s="1" t="s">
        <v>45</v>
      </c>
      <c r="AD134" s="1" t="s">
        <v>45</v>
      </c>
      <c r="AE134" s="1" t="s">
        <v>45</v>
      </c>
      <c r="AF134" s="32">
        <v>45123</v>
      </c>
      <c r="AG134" s="1">
        <v>45.9557691123021</v>
      </c>
      <c r="AH134" s="1" t="s">
        <v>1526</v>
      </c>
      <c r="AI134" s="1" t="s">
        <v>1527</v>
      </c>
      <c r="AJ134" s="1" t="s">
        <v>45</v>
      </c>
      <c r="AK134" s="1" t="s">
        <v>51</v>
      </c>
      <c r="AL134" s="1" t="s">
        <v>51</v>
      </c>
      <c r="AM134" s="1" t="s">
        <v>45</v>
      </c>
      <c r="AN134" s="1" t="s">
        <v>45</v>
      </c>
      <c r="AO134" s="1" t="s">
        <v>45</v>
      </c>
      <c r="AP134" s="1" t="s">
        <v>45</v>
      </c>
      <c r="AQ134" s="1" t="s">
        <v>45</v>
      </c>
      <c r="AR134" s="1" t="s">
        <v>45</v>
      </c>
      <c r="AT134" s="1" t="s">
        <v>1528</v>
      </c>
      <c r="AW134" s="33" t="s">
        <v>1463</v>
      </c>
      <c r="AX134" s="3" t="s">
        <v>1528</v>
      </c>
      <c r="AY134" s="3"/>
      <c r="AZ134" s="1">
        <v>4</v>
      </c>
      <c r="BA134" s="1" t="s">
        <v>1529</v>
      </c>
      <c r="BB134" s="1" t="s">
        <v>1530</v>
      </c>
      <c r="BC134" s="1" t="s">
        <v>1531</v>
      </c>
      <c r="BD134" s="1" t="s">
        <v>1532</v>
      </c>
      <c r="BE134" s="1" t="s">
        <v>1525</v>
      </c>
      <c r="BF134" s="1" t="s">
        <v>1534</v>
      </c>
      <c r="BG134" s="1" t="s">
        <v>45</v>
      </c>
      <c r="BH134" s="1" t="s">
        <v>46</v>
      </c>
      <c r="BI134" s="1" t="s">
        <v>1535</v>
      </c>
      <c r="BJ134" s="1" t="s">
        <v>45</v>
      </c>
      <c r="BK134" s="1" t="s">
        <v>1536</v>
      </c>
      <c r="BL134" s="32">
        <v>45123</v>
      </c>
      <c r="BM134" s="1" t="s">
        <v>903</v>
      </c>
      <c r="BO134" s="1" t="s">
        <v>1537</v>
      </c>
      <c r="BP134" s="1" t="s">
        <v>1551</v>
      </c>
      <c r="BQ134" s="1" t="s">
        <v>1605</v>
      </c>
      <c r="BR134" s="1" t="s">
        <v>1540</v>
      </c>
      <c r="BS134" s="1" t="s">
        <v>50</v>
      </c>
      <c r="BU134" s="1" t="s">
        <v>51</v>
      </c>
      <c r="BV134" s="1" t="s">
        <v>1541</v>
      </c>
      <c r="BW134" s="1" t="s">
        <v>1563</v>
      </c>
      <c r="BX134" s="32">
        <v>45217</v>
      </c>
      <c r="BY134" s="1">
        <v>5</v>
      </c>
      <c r="BZ134" s="1" t="s">
        <v>1944</v>
      </c>
      <c r="CA134" s="1" t="s">
        <v>51</v>
      </c>
      <c r="CB134" s="1" t="s">
        <v>51</v>
      </c>
      <c r="CC134" s="32">
        <v>45134</v>
      </c>
      <c r="CD134" s="1">
        <v>60</v>
      </c>
      <c r="CE134" s="1">
        <v>30</v>
      </c>
      <c r="CF134" s="1" t="s">
        <v>1945</v>
      </c>
      <c r="CJ134" s="1" t="s">
        <v>51</v>
      </c>
      <c r="CK134" s="32">
        <v>45552</v>
      </c>
      <c r="CL134" s="1" t="s">
        <v>51</v>
      </c>
      <c r="CM134" s="32">
        <v>45552</v>
      </c>
      <c r="CN134" s="1">
        <v>1.17456210599806</v>
      </c>
      <c r="CO134" s="1" t="s">
        <v>1537</v>
      </c>
      <c r="CP134" s="1" t="s">
        <v>1566</v>
      </c>
      <c r="CQ134" s="1" t="s">
        <v>1539</v>
      </c>
      <c r="CR134" s="1" t="s">
        <v>1540</v>
      </c>
      <c r="CS134" s="1" t="s">
        <v>50</v>
      </c>
      <c r="CT134" s="1" t="s">
        <v>1528</v>
      </c>
      <c r="CW134" s="1">
        <v>4</v>
      </c>
      <c r="CX134" s="1" t="s">
        <v>1529</v>
      </c>
      <c r="CY134" s="1" t="s">
        <v>1530</v>
      </c>
      <c r="CZ134" s="1" t="s">
        <v>1531</v>
      </c>
      <c r="DA134" s="1" t="s">
        <v>1532</v>
      </c>
      <c r="DB134" s="1" t="s">
        <v>1603</v>
      </c>
      <c r="DC134" s="1" t="s">
        <v>1534</v>
      </c>
      <c r="DD134" s="1" t="s">
        <v>45</v>
      </c>
      <c r="DE134" s="1" t="s">
        <v>46</v>
      </c>
      <c r="DF134" s="1" t="s">
        <v>68</v>
      </c>
      <c r="DG134" s="1" t="s">
        <v>45</v>
      </c>
      <c r="DH134" s="1" t="s">
        <v>45</v>
      </c>
      <c r="DM134" s="1" t="s">
        <v>45</v>
      </c>
      <c r="DO134" s="1" t="s">
        <v>45</v>
      </c>
      <c r="DQ134" s="1" t="s">
        <v>45</v>
      </c>
      <c r="DT134" s="32">
        <v>45695</v>
      </c>
      <c r="DU134" s="1" t="s">
        <v>1598</v>
      </c>
      <c r="DV134" s="1">
        <v>18.792433201927199</v>
      </c>
      <c r="DW134" s="1" t="s">
        <v>45</v>
      </c>
      <c r="DY134" s="32">
        <v>45719</v>
      </c>
      <c r="DZ134" s="1" t="s">
        <v>1544</v>
      </c>
    </row>
    <row r="135" spans="1:130" ht="15.75" customHeight="1" x14ac:dyDescent="0.2">
      <c r="A135" s="8" t="s">
        <v>904</v>
      </c>
      <c r="B135" s="32">
        <v>27181</v>
      </c>
      <c r="C135" s="32">
        <v>45119</v>
      </c>
      <c r="D135" s="1">
        <v>49.112575891359803</v>
      </c>
      <c r="E135" s="1" t="s">
        <v>1523</v>
      </c>
      <c r="F135" s="1" t="s">
        <v>1524</v>
      </c>
      <c r="G135" s="1" t="s">
        <v>1574</v>
      </c>
      <c r="H135" s="1" t="s">
        <v>51</v>
      </c>
      <c r="I135" s="1">
        <v>1.64</v>
      </c>
      <c r="J135" s="1" t="s">
        <v>51</v>
      </c>
      <c r="K135" s="1">
        <v>88.7</v>
      </c>
      <c r="L135" s="1">
        <v>32.978881618084401</v>
      </c>
      <c r="M135" s="1" t="s">
        <v>45</v>
      </c>
      <c r="N135" s="1" t="s">
        <v>45</v>
      </c>
      <c r="O135" s="1" t="s">
        <v>45</v>
      </c>
      <c r="P135" s="1" t="s">
        <v>45</v>
      </c>
      <c r="Q135" s="1" t="s">
        <v>45</v>
      </c>
      <c r="R135" s="1" t="s">
        <v>45</v>
      </c>
      <c r="S135" s="1" t="s">
        <v>45</v>
      </c>
      <c r="T135" s="1" t="s">
        <v>45</v>
      </c>
      <c r="U135" s="1" t="s">
        <v>45</v>
      </c>
      <c r="V135" s="1" t="s">
        <v>45</v>
      </c>
      <c r="W135" s="1" t="s">
        <v>45</v>
      </c>
      <c r="X135" s="1" t="s">
        <v>45</v>
      </c>
      <c r="Y135" s="1" t="s">
        <v>45</v>
      </c>
      <c r="Z135" s="1" t="s">
        <v>45</v>
      </c>
      <c r="AA135" s="1" t="s">
        <v>45</v>
      </c>
      <c r="AB135" s="1" t="s">
        <v>45</v>
      </c>
      <c r="AC135" s="1" t="s">
        <v>45</v>
      </c>
      <c r="AD135" s="1" t="s">
        <v>45</v>
      </c>
      <c r="AE135" s="1" t="s">
        <v>45</v>
      </c>
      <c r="AF135" s="32">
        <v>45122</v>
      </c>
      <c r="AG135" s="1">
        <v>49.120789612380797</v>
      </c>
      <c r="AH135" s="1" t="s">
        <v>1526</v>
      </c>
      <c r="AI135" s="1" t="s">
        <v>1527</v>
      </c>
      <c r="AJ135" s="1" t="s">
        <v>45</v>
      </c>
      <c r="AK135" s="1" t="s">
        <v>45</v>
      </c>
      <c r="AL135" s="1" t="s">
        <v>51</v>
      </c>
      <c r="AM135" s="1" t="s">
        <v>45</v>
      </c>
      <c r="AN135" s="1" t="s">
        <v>45</v>
      </c>
      <c r="AO135" s="1" t="s">
        <v>51</v>
      </c>
      <c r="AP135" s="1" t="s">
        <v>45</v>
      </c>
      <c r="AQ135" s="1" t="s">
        <v>45</v>
      </c>
      <c r="AR135" s="1" t="s">
        <v>51</v>
      </c>
      <c r="AS135" s="1" t="s">
        <v>1946</v>
      </c>
      <c r="AT135" s="1" t="s">
        <v>1528</v>
      </c>
      <c r="AW135" s="33" t="s">
        <v>1463</v>
      </c>
      <c r="AX135" s="3" t="s">
        <v>1528</v>
      </c>
      <c r="AY135" s="3"/>
      <c r="AZ135" s="1">
        <v>4</v>
      </c>
      <c r="BA135" s="1" t="s">
        <v>1529</v>
      </c>
      <c r="BB135" s="1" t="s">
        <v>1530</v>
      </c>
      <c r="BC135" s="1" t="s">
        <v>1531</v>
      </c>
      <c r="BD135" s="1" t="s">
        <v>1532</v>
      </c>
      <c r="BE135" s="1" t="s">
        <v>1603</v>
      </c>
      <c r="BF135" s="1" t="s">
        <v>1534</v>
      </c>
      <c r="BG135" s="1" t="s">
        <v>51</v>
      </c>
      <c r="BH135" s="1" t="s">
        <v>46</v>
      </c>
      <c r="BI135" s="1" t="s">
        <v>1535</v>
      </c>
      <c r="BJ135" s="1" t="s">
        <v>51</v>
      </c>
      <c r="BK135" s="1" t="s">
        <v>1536</v>
      </c>
      <c r="BL135" s="32">
        <v>45122</v>
      </c>
      <c r="BM135" s="1" t="s">
        <v>905</v>
      </c>
      <c r="BO135" s="1" t="s">
        <v>1537</v>
      </c>
      <c r="BP135" s="1" t="s">
        <v>1538</v>
      </c>
      <c r="BQ135" s="1" t="s">
        <v>1647</v>
      </c>
      <c r="BR135" s="1" t="s">
        <v>1540</v>
      </c>
      <c r="BS135" s="1" t="s">
        <v>50</v>
      </c>
      <c r="BW135" s="1" t="s">
        <v>1563</v>
      </c>
      <c r="BX135" s="32">
        <v>45231</v>
      </c>
      <c r="BY135" s="1">
        <v>12</v>
      </c>
      <c r="BZ135" s="1" t="s">
        <v>1947</v>
      </c>
      <c r="CA135" s="1" t="s">
        <v>51</v>
      </c>
      <c r="CB135" s="1" t="s">
        <v>51</v>
      </c>
      <c r="CC135" s="32">
        <v>45146</v>
      </c>
      <c r="CD135" s="1">
        <v>60</v>
      </c>
      <c r="CE135" s="1">
        <v>30</v>
      </c>
      <c r="CF135" s="1" t="s">
        <v>1948</v>
      </c>
      <c r="CJ135" s="1" t="s">
        <v>45</v>
      </c>
      <c r="DH135" s="1" t="s">
        <v>45</v>
      </c>
      <c r="DM135" s="1" t="s">
        <v>45</v>
      </c>
      <c r="DO135" s="1" t="s">
        <v>45</v>
      </c>
      <c r="DQ135" s="1" t="s">
        <v>45</v>
      </c>
      <c r="DT135" s="32">
        <v>45565</v>
      </c>
      <c r="DU135" s="1" t="s">
        <v>1598</v>
      </c>
      <c r="DV135" s="1">
        <v>14.5532194480946</v>
      </c>
      <c r="DW135" s="1" t="s">
        <v>45</v>
      </c>
      <c r="DY135" s="32">
        <v>45719</v>
      </c>
      <c r="DZ135" s="1" t="s">
        <v>1544</v>
      </c>
    </row>
    <row r="136" spans="1:130" ht="15.75" customHeight="1" x14ac:dyDescent="0.2">
      <c r="A136" s="8" t="s">
        <v>908</v>
      </c>
      <c r="B136" s="32">
        <v>32264</v>
      </c>
      <c r="C136" s="32">
        <v>45118</v>
      </c>
      <c r="D136" s="1">
        <v>35.193056667830199</v>
      </c>
      <c r="E136" s="1" t="s">
        <v>1523</v>
      </c>
      <c r="F136" s="1" t="s">
        <v>1578</v>
      </c>
      <c r="G136" s="1" t="s">
        <v>1574</v>
      </c>
      <c r="H136" s="1" t="s">
        <v>51</v>
      </c>
      <c r="I136" s="1">
        <v>1.8</v>
      </c>
      <c r="J136" s="1" t="s">
        <v>51</v>
      </c>
      <c r="K136" s="1">
        <v>94.4</v>
      </c>
      <c r="L136" s="1">
        <v>29.1358024691358</v>
      </c>
      <c r="M136" s="1" t="s">
        <v>45</v>
      </c>
      <c r="N136" s="1" t="s">
        <v>45</v>
      </c>
      <c r="O136" s="1" t="s">
        <v>45</v>
      </c>
      <c r="P136" s="1" t="s">
        <v>45</v>
      </c>
      <c r="Q136" s="1" t="s">
        <v>45</v>
      </c>
      <c r="R136" s="1" t="s">
        <v>45</v>
      </c>
      <c r="S136" s="1" t="s">
        <v>45</v>
      </c>
      <c r="T136" s="1" t="s">
        <v>45</v>
      </c>
      <c r="U136" s="1" t="s">
        <v>45</v>
      </c>
      <c r="V136" s="1" t="s">
        <v>45</v>
      </c>
      <c r="W136" s="1" t="s">
        <v>45</v>
      </c>
      <c r="X136" s="1" t="s">
        <v>45</v>
      </c>
      <c r="Y136" s="1" t="s">
        <v>45</v>
      </c>
      <c r="Z136" s="1" t="s">
        <v>45</v>
      </c>
      <c r="AA136" s="1" t="s">
        <v>45</v>
      </c>
      <c r="AB136" s="1" t="s">
        <v>45</v>
      </c>
      <c r="AC136" s="1" t="s">
        <v>45</v>
      </c>
      <c r="AD136" s="1" t="s">
        <v>45</v>
      </c>
      <c r="AE136" s="1" t="s">
        <v>45</v>
      </c>
      <c r="AF136" s="32">
        <v>45125</v>
      </c>
      <c r="AG136" s="1">
        <v>35.212222016879103</v>
      </c>
      <c r="AH136" s="1" t="s">
        <v>1526</v>
      </c>
      <c r="AI136" s="1" t="s">
        <v>1527</v>
      </c>
      <c r="AJ136" s="1" t="s">
        <v>45</v>
      </c>
      <c r="AK136" s="1" t="s">
        <v>45</v>
      </c>
      <c r="AL136" s="1" t="s">
        <v>45</v>
      </c>
      <c r="AM136" s="1" t="s">
        <v>51</v>
      </c>
      <c r="AN136" s="1" t="s">
        <v>45</v>
      </c>
      <c r="AO136" s="1" t="s">
        <v>45</v>
      </c>
      <c r="AP136" s="1" t="s">
        <v>45</v>
      </c>
      <c r="AQ136" s="1" t="s">
        <v>45</v>
      </c>
      <c r="AR136" s="1" t="s">
        <v>51</v>
      </c>
      <c r="AS136" s="1" t="s">
        <v>1949</v>
      </c>
      <c r="AT136" s="1" t="s">
        <v>1528</v>
      </c>
      <c r="AW136" s="33" t="s">
        <v>1463</v>
      </c>
      <c r="AX136" s="3" t="s">
        <v>1528</v>
      </c>
      <c r="AY136" s="3"/>
      <c r="AZ136" s="1">
        <v>4</v>
      </c>
      <c r="BA136" s="1" t="s">
        <v>1529</v>
      </c>
      <c r="BB136" s="1" t="s">
        <v>1530</v>
      </c>
      <c r="BC136" s="1" t="s">
        <v>1531</v>
      </c>
      <c r="BD136" s="1" t="s">
        <v>1532</v>
      </c>
      <c r="BE136" s="1" t="s">
        <v>1603</v>
      </c>
      <c r="BF136" s="1" t="s">
        <v>1534</v>
      </c>
      <c r="BG136" s="1" t="s">
        <v>51</v>
      </c>
      <c r="BH136" s="1" t="s">
        <v>46</v>
      </c>
      <c r="BI136" s="1" t="s">
        <v>1535</v>
      </c>
      <c r="BJ136" s="1" t="s">
        <v>45</v>
      </c>
      <c r="BK136" s="1" t="s">
        <v>1536</v>
      </c>
      <c r="BL136" s="32">
        <v>45125</v>
      </c>
      <c r="BM136" s="1" t="s">
        <v>909</v>
      </c>
      <c r="BO136" s="1" t="s">
        <v>1537</v>
      </c>
      <c r="BP136" s="1" t="s">
        <v>1538</v>
      </c>
      <c r="BQ136" s="1" t="s">
        <v>1539</v>
      </c>
      <c r="BR136" s="1" t="s">
        <v>1552</v>
      </c>
      <c r="BS136" s="1" t="s">
        <v>106</v>
      </c>
      <c r="BW136" s="1" t="s">
        <v>1563</v>
      </c>
      <c r="BX136" s="32">
        <v>45231</v>
      </c>
      <c r="BY136" s="1">
        <v>12</v>
      </c>
      <c r="BZ136" s="1" t="s">
        <v>1950</v>
      </c>
      <c r="CA136" s="1" t="s">
        <v>51</v>
      </c>
      <c r="CB136" s="1" t="s">
        <v>51</v>
      </c>
      <c r="CC136" s="32">
        <v>45161</v>
      </c>
      <c r="CD136" s="1">
        <v>60</v>
      </c>
      <c r="CE136" s="1">
        <v>30</v>
      </c>
      <c r="CF136" s="1" t="s">
        <v>1951</v>
      </c>
      <c r="CJ136" s="1" t="s">
        <v>45</v>
      </c>
      <c r="DH136" s="1" t="s">
        <v>45</v>
      </c>
      <c r="DM136" s="1" t="s">
        <v>45</v>
      </c>
      <c r="DO136" s="1" t="s">
        <v>45</v>
      </c>
      <c r="DQ136" s="1" t="s">
        <v>45</v>
      </c>
      <c r="DT136" s="32">
        <v>45672</v>
      </c>
      <c r="DU136" s="1" t="s">
        <v>1598</v>
      </c>
      <c r="DV136" s="1">
        <v>17.9711454226894</v>
      </c>
      <c r="DW136" s="1" t="s">
        <v>45</v>
      </c>
      <c r="DY136" s="32">
        <v>45711</v>
      </c>
      <c r="DZ136" s="1" t="s">
        <v>1544</v>
      </c>
    </row>
    <row r="137" spans="1:130" ht="15.75" customHeight="1" x14ac:dyDescent="0.2">
      <c r="A137" s="8" t="s">
        <v>592</v>
      </c>
      <c r="B137" s="32">
        <v>27372</v>
      </c>
      <c r="C137" s="32">
        <v>45071</v>
      </c>
      <c r="D137" s="1">
        <v>48.458102037230901</v>
      </c>
      <c r="E137" s="1" t="s">
        <v>1587</v>
      </c>
      <c r="F137" s="1" t="s">
        <v>1524</v>
      </c>
      <c r="G137" s="1" t="s">
        <v>1574</v>
      </c>
      <c r="H137" s="1" t="s">
        <v>51</v>
      </c>
      <c r="I137" s="1">
        <v>1.7</v>
      </c>
      <c r="J137" s="1" t="s">
        <v>51</v>
      </c>
      <c r="K137" s="1">
        <v>106.8</v>
      </c>
      <c r="L137" s="1">
        <v>36.955017301037998</v>
      </c>
      <c r="M137" s="1" t="s">
        <v>45</v>
      </c>
      <c r="N137" s="1" t="s">
        <v>45</v>
      </c>
      <c r="O137" s="1" t="s">
        <v>45</v>
      </c>
      <c r="P137" s="1" t="s">
        <v>45</v>
      </c>
      <c r="Q137" s="1" t="s">
        <v>45</v>
      </c>
      <c r="R137" s="1" t="s">
        <v>45</v>
      </c>
      <c r="S137" s="1" t="s">
        <v>45</v>
      </c>
      <c r="T137" s="1" t="s">
        <v>45</v>
      </c>
      <c r="U137" s="1" t="s">
        <v>45</v>
      </c>
      <c r="V137" s="1" t="s">
        <v>45</v>
      </c>
      <c r="W137" s="1" t="s">
        <v>45</v>
      </c>
      <c r="X137" s="1" t="s">
        <v>45</v>
      </c>
      <c r="Y137" s="1" t="s">
        <v>45</v>
      </c>
      <c r="Z137" s="1" t="s">
        <v>45</v>
      </c>
      <c r="AA137" s="1" t="s">
        <v>45</v>
      </c>
      <c r="AB137" s="1" t="s">
        <v>45</v>
      </c>
      <c r="AC137" s="1" t="s">
        <v>45</v>
      </c>
      <c r="AD137" s="1" t="s">
        <v>45</v>
      </c>
      <c r="AE137" s="1" t="s">
        <v>45</v>
      </c>
      <c r="AF137" s="32">
        <v>45126</v>
      </c>
      <c r="AG137" s="1">
        <v>48.608686922615298</v>
      </c>
      <c r="AH137" s="1" t="s">
        <v>1526</v>
      </c>
      <c r="AI137" s="1" t="s">
        <v>1527</v>
      </c>
      <c r="AJ137" s="1" t="s">
        <v>45</v>
      </c>
      <c r="AK137" s="1" t="s">
        <v>51</v>
      </c>
      <c r="AL137" s="1" t="s">
        <v>45</v>
      </c>
      <c r="AM137" s="1" t="s">
        <v>45</v>
      </c>
      <c r="AN137" s="1" t="s">
        <v>45</v>
      </c>
      <c r="AO137" s="1" t="s">
        <v>45</v>
      </c>
      <c r="AP137" s="1" t="s">
        <v>45</v>
      </c>
      <c r="AQ137" s="1" t="s">
        <v>45</v>
      </c>
      <c r="AR137" s="1" t="s">
        <v>45</v>
      </c>
      <c r="AT137" s="1" t="s">
        <v>1601</v>
      </c>
      <c r="AW137" s="33" t="s">
        <v>1464</v>
      </c>
      <c r="AX137" s="3"/>
      <c r="AY137" s="3" t="s">
        <v>1601</v>
      </c>
      <c r="AZ137" s="1">
        <v>2</v>
      </c>
      <c r="BB137" s="1" t="s">
        <v>1567</v>
      </c>
      <c r="BC137" s="1" t="s">
        <v>1602</v>
      </c>
      <c r="BE137" s="1" t="s">
        <v>1525</v>
      </c>
      <c r="BG137" s="1" t="s">
        <v>1525</v>
      </c>
      <c r="BH137" s="1" t="s">
        <v>46</v>
      </c>
      <c r="BI137" s="1" t="s">
        <v>1535</v>
      </c>
      <c r="BJ137" s="1" t="s">
        <v>45</v>
      </c>
      <c r="BK137" s="1" t="s">
        <v>1549</v>
      </c>
      <c r="BL137" s="32">
        <v>45126</v>
      </c>
      <c r="BM137" s="1" t="s">
        <v>593</v>
      </c>
      <c r="BO137" s="1" t="s">
        <v>1537</v>
      </c>
      <c r="BP137" s="1" t="s">
        <v>1551</v>
      </c>
      <c r="BQ137" s="1" t="s">
        <v>1539</v>
      </c>
      <c r="BR137" s="1" t="s">
        <v>1589</v>
      </c>
      <c r="BS137" s="1" t="s">
        <v>1952</v>
      </c>
      <c r="BU137" s="1" t="s">
        <v>51</v>
      </c>
      <c r="BW137" s="1" t="s">
        <v>1563</v>
      </c>
      <c r="BX137" s="32">
        <v>45359</v>
      </c>
      <c r="BY137" s="1">
        <v>12</v>
      </c>
      <c r="BZ137" s="1" t="s">
        <v>1953</v>
      </c>
      <c r="CA137" s="1" t="s">
        <v>51</v>
      </c>
      <c r="CB137" s="1" t="s">
        <v>51</v>
      </c>
      <c r="CC137" s="32">
        <v>45287</v>
      </c>
      <c r="CD137" s="1">
        <v>54</v>
      </c>
      <c r="CE137" s="1">
        <v>30</v>
      </c>
      <c r="CJ137" s="1" t="s">
        <v>45</v>
      </c>
      <c r="DH137" s="1" t="s">
        <v>45</v>
      </c>
      <c r="DM137" s="1" t="s">
        <v>45</v>
      </c>
      <c r="DO137" s="1" t="s">
        <v>45</v>
      </c>
      <c r="DQ137" s="1" t="s">
        <v>45</v>
      </c>
      <c r="DT137" s="32">
        <v>45709</v>
      </c>
      <c r="DU137" s="1" t="s">
        <v>1598</v>
      </c>
      <c r="DV137" s="1">
        <v>19.1537998247919</v>
      </c>
      <c r="DW137" s="1" t="s">
        <v>45</v>
      </c>
    </row>
    <row r="138" spans="1:130" ht="15.75" customHeight="1" x14ac:dyDescent="0.2">
      <c r="A138" s="8" t="s">
        <v>914</v>
      </c>
      <c r="B138" s="32">
        <v>29618</v>
      </c>
      <c r="C138" s="32">
        <v>43110</v>
      </c>
      <c r="D138" s="1">
        <v>36.9398413382889</v>
      </c>
      <c r="E138" s="1" t="s">
        <v>1523</v>
      </c>
      <c r="F138" s="1" t="s">
        <v>1524</v>
      </c>
      <c r="G138" s="1" t="s">
        <v>1545</v>
      </c>
      <c r="H138" s="1" t="s">
        <v>51</v>
      </c>
      <c r="I138" s="1">
        <v>1.7529999999999999</v>
      </c>
      <c r="J138" s="1" t="s">
        <v>51</v>
      </c>
      <c r="K138" s="1">
        <v>79</v>
      </c>
      <c r="L138" s="1">
        <v>25.707702125180798</v>
      </c>
      <c r="M138" s="1" t="s">
        <v>45</v>
      </c>
      <c r="N138" s="1" t="s">
        <v>45</v>
      </c>
      <c r="O138" s="1" t="s">
        <v>45</v>
      </c>
      <c r="P138" s="1" t="s">
        <v>45</v>
      </c>
      <c r="Q138" s="1" t="s">
        <v>45</v>
      </c>
      <c r="R138" s="1" t="s">
        <v>45</v>
      </c>
      <c r="S138" s="1" t="s">
        <v>45</v>
      </c>
      <c r="T138" s="1" t="s">
        <v>45</v>
      </c>
      <c r="U138" s="1" t="s">
        <v>45</v>
      </c>
      <c r="V138" s="1" t="s">
        <v>45</v>
      </c>
      <c r="W138" s="1" t="s">
        <v>45</v>
      </c>
      <c r="X138" s="1" t="s">
        <v>45</v>
      </c>
      <c r="Y138" s="1" t="s">
        <v>45</v>
      </c>
      <c r="Z138" s="1" t="s">
        <v>45</v>
      </c>
      <c r="AA138" s="1" t="s">
        <v>45</v>
      </c>
      <c r="AB138" s="1" t="s">
        <v>45</v>
      </c>
      <c r="AC138" s="1" t="s">
        <v>45</v>
      </c>
      <c r="AD138" s="1" t="s">
        <v>45</v>
      </c>
      <c r="AE138" s="1" t="s">
        <v>45</v>
      </c>
      <c r="AF138" s="32">
        <v>43159</v>
      </c>
      <c r="AG138" s="1">
        <v>37.073998781631303</v>
      </c>
      <c r="AH138" s="1" t="s">
        <v>1526</v>
      </c>
      <c r="AI138" s="1" t="s">
        <v>1527</v>
      </c>
      <c r="AJ138" s="1" t="s">
        <v>45</v>
      </c>
      <c r="AK138" s="1" t="s">
        <v>51</v>
      </c>
      <c r="AL138" s="1" t="s">
        <v>45</v>
      </c>
      <c r="AM138" s="1" t="s">
        <v>45</v>
      </c>
      <c r="AN138" s="1" t="s">
        <v>45</v>
      </c>
      <c r="AO138" s="1" t="s">
        <v>45</v>
      </c>
      <c r="AP138" s="1" t="s">
        <v>45</v>
      </c>
      <c r="AQ138" s="1" t="s">
        <v>45</v>
      </c>
      <c r="AR138" s="1" t="s">
        <v>45</v>
      </c>
      <c r="AT138" s="1" t="s">
        <v>1560</v>
      </c>
      <c r="AW138" s="33" t="s">
        <v>1464</v>
      </c>
      <c r="AX138" s="3"/>
      <c r="AY138" s="3" t="s">
        <v>1560</v>
      </c>
      <c r="AZ138" s="1">
        <v>2</v>
      </c>
      <c r="BA138" s="1" t="s">
        <v>1821</v>
      </c>
      <c r="BB138" s="1" t="s">
        <v>1530</v>
      </c>
      <c r="BC138" s="1" t="s">
        <v>1531</v>
      </c>
      <c r="BD138" s="1" t="s">
        <v>1532</v>
      </c>
      <c r="BE138" s="1" t="s">
        <v>1533</v>
      </c>
      <c r="BF138" s="1" t="s">
        <v>1534</v>
      </c>
      <c r="BG138" s="1" t="s">
        <v>51</v>
      </c>
      <c r="BH138" s="1" t="s">
        <v>46</v>
      </c>
      <c r="BI138" s="1" t="s">
        <v>1599</v>
      </c>
      <c r="BJ138" s="1" t="s">
        <v>45</v>
      </c>
      <c r="BK138" s="1" t="s">
        <v>1536</v>
      </c>
      <c r="BL138" s="32">
        <v>43159</v>
      </c>
      <c r="BM138" s="1" t="s">
        <v>1954</v>
      </c>
      <c r="BO138" s="1" t="s">
        <v>1537</v>
      </c>
      <c r="BP138" s="1" t="s">
        <v>1538</v>
      </c>
      <c r="BQ138" s="1" t="s">
        <v>1539</v>
      </c>
      <c r="BR138" s="1" t="s">
        <v>1552</v>
      </c>
      <c r="BS138" s="1" t="s">
        <v>50</v>
      </c>
      <c r="BW138" s="1" t="s">
        <v>1563</v>
      </c>
      <c r="BX138" s="32">
        <v>43300</v>
      </c>
      <c r="BY138" s="1">
        <v>12</v>
      </c>
      <c r="BZ138" s="1" t="s">
        <v>1955</v>
      </c>
      <c r="CA138" s="1" t="s">
        <v>51</v>
      </c>
      <c r="CB138" s="1" t="s">
        <v>51</v>
      </c>
      <c r="CC138" s="32">
        <v>43227</v>
      </c>
      <c r="CD138" s="1">
        <v>54</v>
      </c>
      <c r="CE138" s="1">
        <v>30</v>
      </c>
      <c r="CJ138" s="1" t="s">
        <v>51</v>
      </c>
      <c r="CK138" s="32">
        <v>44816</v>
      </c>
      <c r="CL138" s="1" t="s">
        <v>51</v>
      </c>
      <c r="CM138" s="32">
        <v>45132</v>
      </c>
      <c r="CN138" s="1">
        <v>5.4017764453297001</v>
      </c>
      <c r="CO138" s="1" t="s">
        <v>1537</v>
      </c>
      <c r="CP138" s="1" t="s">
        <v>1566</v>
      </c>
      <c r="CQ138" s="1" t="s">
        <v>1539</v>
      </c>
      <c r="CR138" s="1" t="s">
        <v>1552</v>
      </c>
      <c r="CS138" s="1" t="s">
        <v>106</v>
      </c>
      <c r="CT138" s="1" t="s">
        <v>1528</v>
      </c>
      <c r="CW138" s="1">
        <v>4</v>
      </c>
      <c r="CX138" s="1" t="s">
        <v>1529</v>
      </c>
      <c r="CY138" s="1" t="s">
        <v>1530</v>
      </c>
      <c r="CZ138" s="1" t="s">
        <v>1531</v>
      </c>
      <c r="DA138" s="1" t="s">
        <v>1532</v>
      </c>
      <c r="DB138" s="1" t="s">
        <v>1533</v>
      </c>
      <c r="DC138" s="1" t="s">
        <v>1534</v>
      </c>
      <c r="DD138" s="1" t="s">
        <v>45</v>
      </c>
      <c r="DE138" s="1" t="s">
        <v>46</v>
      </c>
      <c r="DF138" s="1" t="s">
        <v>68</v>
      </c>
      <c r="DG138" s="1" t="s">
        <v>45</v>
      </c>
      <c r="DH138" s="1" t="s">
        <v>51</v>
      </c>
      <c r="DI138" s="1" t="s">
        <v>1956</v>
      </c>
      <c r="DJ138" s="32">
        <v>44818</v>
      </c>
      <c r="DK138" s="1" t="s">
        <v>1569</v>
      </c>
      <c r="DM138" s="1" t="s">
        <v>45</v>
      </c>
      <c r="DO138" s="1" t="s">
        <v>51</v>
      </c>
      <c r="DP138" s="1" t="s">
        <v>1957</v>
      </c>
      <c r="DQ138" s="1" t="s">
        <v>51</v>
      </c>
      <c r="DR138" s="1" t="s">
        <v>1958</v>
      </c>
      <c r="DT138" s="32">
        <v>45316</v>
      </c>
      <c r="DU138" s="1" t="s">
        <v>1543</v>
      </c>
      <c r="DV138" s="1">
        <v>70.8607095926412</v>
      </c>
      <c r="DW138" s="1" t="s">
        <v>45</v>
      </c>
      <c r="DY138" s="32">
        <v>45711</v>
      </c>
      <c r="DZ138" s="1" t="s">
        <v>1544</v>
      </c>
    </row>
    <row r="139" spans="1:130" ht="15.75" customHeight="1" x14ac:dyDescent="0.2">
      <c r="A139" s="8" t="s">
        <v>926</v>
      </c>
      <c r="B139" s="32">
        <v>23955</v>
      </c>
      <c r="C139" s="32">
        <v>45126</v>
      </c>
      <c r="D139" s="1">
        <v>57.9642292449536</v>
      </c>
      <c r="E139" s="1" t="s">
        <v>1523</v>
      </c>
      <c r="F139" s="1" t="s">
        <v>1524</v>
      </c>
      <c r="G139" s="1" t="s">
        <v>1574</v>
      </c>
      <c r="H139" s="1" t="s">
        <v>51</v>
      </c>
      <c r="I139" s="1">
        <v>1.645</v>
      </c>
      <c r="J139" s="1" t="s">
        <v>51</v>
      </c>
      <c r="K139" s="1">
        <v>54.7</v>
      </c>
      <c r="L139" s="1">
        <v>20.214151753956401</v>
      </c>
      <c r="M139" s="1" t="s">
        <v>45</v>
      </c>
      <c r="N139" s="1" t="s">
        <v>45</v>
      </c>
      <c r="O139" s="1" t="s">
        <v>45</v>
      </c>
      <c r="P139" s="1" t="s">
        <v>45</v>
      </c>
      <c r="Q139" s="1" t="s">
        <v>45</v>
      </c>
      <c r="R139" s="1" t="s">
        <v>45</v>
      </c>
      <c r="S139" s="1" t="s">
        <v>45</v>
      </c>
      <c r="T139" s="1" t="s">
        <v>45</v>
      </c>
      <c r="U139" s="1" t="s">
        <v>45</v>
      </c>
      <c r="V139" s="1" t="s">
        <v>45</v>
      </c>
      <c r="W139" s="1" t="s">
        <v>45</v>
      </c>
      <c r="X139" s="1" t="s">
        <v>45</v>
      </c>
      <c r="Y139" s="1" t="s">
        <v>45</v>
      </c>
      <c r="Z139" s="1" t="s">
        <v>45</v>
      </c>
      <c r="AA139" s="1" t="s">
        <v>45</v>
      </c>
      <c r="AB139" s="1" t="s">
        <v>45</v>
      </c>
      <c r="AC139" s="1" t="s">
        <v>45</v>
      </c>
      <c r="AD139" s="1" t="s">
        <v>45</v>
      </c>
      <c r="AE139" s="1" t="s">
        <v>45</v>
      </c>
      <c r="AF139" s="32">
        <v>45127</v>
      </c>
      <c r="AG139" s="1">
        <v>57.966967151960603</v>
      </c>
      <c r="AH139" s="1" t="s">
        <v>1526</v>
      </c>
      <c r="AI139" s="1" t="s">
        <v>1527</v>
      </c>
      <c r="AJ139" s="1" t="s">
        <v>45</v>
      </c>
      <c r="AK139" s="1" t="s">
        <v>45</v>
      </c>
      <c r="AL139" s="1" t="s">
        <v>51</v>
      </c>
      <c r="AM139" s="1" t="s">
        <v>51</v>
      </c>
      <c r="AN139" s="1" t="s">
        <v>45</v>
      </c>
      <c r="AO139" s="1" t="s">
        <v>51</v>
      </c>
      <c r="AP139" s="1" t="s">
        <v>45</v>
      </c>
      <c r="AQ139" s="1" t="s">
        <v>51</v>
      </c>
      <c r="AR139" s="1" t="s">
        <v>45</v>
      </c>
      <c r="AT139" s="1" t="s">
        <v>1528</v>
      </c>
      <c r="AW139" s="33" t="s">
        <v>1463</v>
      </c>
      <c r="AX139" s="3" t="s">
        <v>1528</v>
      </c>
      <c r="AY139" s="3"/>
      <c r="AZ139" s="1">
        <v>4</v>
      </c>
      <c r="BA139" s="1" t="s">
        <v>1529</v>
      </c>
      <c r="BB139" s="1" t="s">
        <v>1530</v>
      </c>
      <c r="BC139" s="1" t="s">
        <v>1531</v>
      </c>
      <c r="BD139" s="1" t="s">
        <v>1532</v>
      </c>
      <c r="BE139" s="1" t="s">
        <v>1533</v>
      </c>
      <c r="BF139" s="1" t="s">
        <v>1534</v>
      </c>
      <c r="BG139" s="1" t="s">
        <v>45</v>
      </c>
      <c r="BH139" s="1" t="s">
        <v>46</v>
      </c>
      <c r="BI139" s="1" t="s">
        <v>1535</v>
      </c>
      <c r="BJ139" s="1" t="s">
        <v>45</v>
      </c>
      <c r="BK139" s="1" t="s">
        <v>1536</v>
      </c>
      <c r="BL139" s="32">
        <v>45134</v>
      </c>
      <c r="BM139" s="1" t="s">
        <v>927</v>
      </c>
      <c r="BN139" s="1" t="s">
        <v>45</v>
      </c>
      <c r="BO139" s="1" t="s">
        <v>1537</v>
      </c>
      <c r="BP139" s="1" t="s">
        <v>1538</v>
      </c>
      <c r="BQ139" s="1" t="s">
        <v>1539</v>
      </c>
      <c r="BR139" s="1" t="s">
        <v>1540</v>
      </c>
      <c r="BS139" s="1" t="s">
        <v>106</v>
      </c>
      <c r="BU139" s="1" t="s">
        <v>51</v>
      </c>
      <c r="BV139" s="1" t="s">
        <v>1541</v>
      </c>
      <c r="BW139" s="1" t="s">
        <v>1561</v>
      </c>
      <c r="CA139" s="1" t="s">
        <v>51</v>
      </c>
      <c r="CB139" s="1" t="s">
        <v>51</v>
      </c>
      <c r="CC139" s="32">
        <v>45156</v>
      </c>
      <c r="CD139" s="1">
        <v>60</v>
      </c>
      <c r="CE139" s="1">
        <v>30</v>
      </c>
      <c r="CJ139" s="1" t="s">
        <v>51</v>
      </c>
      <c r="CL139" s="1" t="s">
        <v>45</v>
      </c>
      <c r="DH139" s="1" t="s">
        <v>45</v>
      </c>
      <c r="DM139" s="1" t="s">
        <v>45</v>
      </c>
      <c r="DO139" s="1" t="s">
        <v>45</v>
      </c>
      <c r="DQ139" s="1" t="s">
        <v>45</v>
      </c>
      <c r="DT139" s="32">
        <v>45344</v>
      </c>
      <c r="DU139" s="1" t="s">
        <v>1543</v>
      </c>
      <c r="DV139" s="1">
        <v>7.1287779237844902</v>
      </c>
      <c r="DW139" s="1" t="s">
        <v>51</v>
      </c>
      <c r="DX139" s="1" t="s">
        <v>1959</v>
      </c>
      <c r="DY139" s="32">
        <v>45854</v>
      </c>
      <c r="DZ139" s="1" t="s">
        <v>1544</v>
      </c>
    </row>
    <row r="140" spans="1:130" ht="15.75" customHeight="1" x14ac:dyDescent="0.2">
      <c r="A140" s="8" t="s">
        <v>825</v>
      </c>
      <c r="B140" s="32">
        <v>28734</v>
      </c>
      <c r="C140" s="32">
        <v>42900</v>
      </c>
      <c r="D140" s="1">
        <v>38.785190660999199</v>
      </c>
      <c r="E140" s="1" t="s">
        <v>1523</v>
      </c>
      <c r="F140" s="1" t="s">
        <v>1524</v>
      </c>
      <c r="G140" s="1" t="s">
        <v>1574</v>
      </c>
      <c r="H140" s="1" t="s">
        <v>51</v>
      </c>
      <c r="I140" s="1">
        <v>1.91</v>
      </c>
      <c r="J140" s="1" t="s">
        <v>51</v>
      </c>
      <c r="K140" s="1">
        <v>127</v>
      </c>
      <c r="L140" s="1">
        <v>34.812642197308101</v>
      </c>
      <c r="M140" s="1" t="s">
        <v>45</v>
      </c>
      <c r="N140" s="1" t="s">
        <v>45</v>
      </c>
      <c r="O140" s="1" t="s">
        <v>45</v>
      </c>
      <c r="P140" s="1" t="s">
        <v>45</v>
      </c>
      <c r="Q140" s="1" t="s">
        <v>45</v>
      </c>
      <c r="R140" s="1" t="s">
        <v>45</v>
      </c>
      <c r="S140" s="1" t="s">
        <v>45</v>
      </c>
      <c r="T140" s="1" t="s">
        <v>45</v>
      </c>
      <c r="U140" s="1" t="s">
        <v>45</v>
      </c>
      <c r="V140" s="1" t="s">
        <v>45</v>
      </c>
      <c r="W140" s="1" t="s">
        <v>45</v>
      </c>
      <c r="X140" s="1" t="s">
        <v>45</v>
      </c>
      <c r="Y140" s="1" t="s">
        <v>45</v>
      </c>
      <c r="Z140" s="1" t="s">
        <v>45</v>
      </c>
      <c r="AA140" s="1" t="s">
        <v>45</v>
      </c>
      <c r="AB140" s="1" t="s">
        <v>45</v>
      </c>
      <c r="AC140" s="1" t="s">
        <v>45</v>
      </c>
      <c r="AD140" s="1" t="s">
        <v>45</v>
      </c>
      <c r="AE140" s="1" t="s">
        <v>45</v>
      </c>
      <c r="AF140" s="32">
        <v>37749</v>
      </c>
      <c r="AG140" s="1">
        <v>24.6822316680013</v>
      </c>
      <c r="AH140" s="1" t="s">
        <v>1526</v>
      </c>
      <c r="AI140" s="1" t="s">
        <v>1527</v>
      </c>
      <c r="AJ140" s="1" t="s">
        <v>45</v>
      </c>
      <c r="AK140" s="1" t="s">
        <v>51</v>
      </c>
      <c r="AL140" s="1" t="s">
        <v>45</v>
      </c>
      <c r="AM140" s="1" t="s">
        <v>45</v>
      </c>
      <c r="AN140" s="1" t="s">
        <v>45</v>
      </c>
      <c r="AO140" s="1" t="s">
        <v>45</v>
      </c>
      <c r="AP140" s="1" t="s">
        <v>45</v>
      </c>
      <c r="AQ140" s="1" t="s">
        <v>45</v>
      </c>
      <c r="AR140" s="1" t="s">
        <v>45</v>
      </c>
      <c r="AT140" s="1" t="s">
        <v>1560</v>
      </c>
      <c r="AW140" s="33" t="s">
        <v>1463</v>
      </c>
      <c r="AX140" s="3" t="s">
        <v>1560</v>
      </c>
      <c r="AY140" s="3"/>
      <c r="AZ140" s="1">
        <v>4</v>
      </c>
      <c r="BA140" s="1" t="s">
        <v>1529</v>
      </c>
      <c r="BB140" s="1" t="s">
        <v>1567</v>
      </c>
      <c r="BC140" s="1" t="s">
        <v>1531</v>
      </c>
      <c r="BD140" s="1" t="s">
        <v>1822</v>
      </c>
      <c r="BE140" s="1" t="s">
        <v>1603</v>
      </c>
      <c r="BF140" s="1" t="s">
        <v>1534</v>
      </c>
      <c r="BG140" s="1" t="s">
        <v>51</v>
      </c>
      <c r="BH140" s="1" t="s">
        <v>46</v>
      </c>
      <c r="BI140" s="1" t="s">
        <v>1599</v>
      </c>
      <c r="BJ140" s="1" t="s">
        <v>45</v>
      </c>
      <c r="BK140" s="1" t="s">
        <v>1536</v>
      </c>
      <c r="BL140" s="32">
        <v>37749</v>
      </c>
      <c r="BO140" s="1" t="s">
        <v>1537</v>
      </c>
      <c r="BP140" s="1" t="s">
        <v>1538</v>
      </c>
      <c r="BQ140" s="1" t="s">
        <v>1539</v>
      </c>
      <c r="BR140" s="1" t="s">
        <v>1540</v>
      </c>
      <c r="BS140" s="1" t="s">
        <v>50</v>
      </c>
      <c r="BU140" s="1" t="s">
        <v>51</v>
      </c>
      <c r="BV140" s="1" t="s">
        <v>1541</v>
      </c>
      <c r="BW140" s="1" t="s">
        <v>1563</v>
      </c>
      <c r="BX140" s="32">
        <v>38732</v>
      </c>
      <c r="BY140" s="1">
        <v>7</v>
      </c>
      <c r="BZ140" s="1" t="s">
        <v>1960</v>
      </c>
      <c r="CA140" s="1" t="s">
        <v>51</v>
      </c>
      <c r="CB140" s="1" t="s">
        <v>51</v>
      </c>
      <c r="CC140" s="32">
        <v>42380</v>
      </c>
      <c r="CD140" s="1">
        <v>60</v>
      </c>
      <c r="CE140" s="1">
        <v>30</v>
      </c>
      <c r="CJ140" s="1" t="s">
        <v>51</v>
      </c>
      <c r="CK140" s="32">
        <v>44998</v>
      </c>
      <c r="CL140" s="1" t="s">
        <v>51</v>
      </c>
      <c r="CM140" s="32">
        <v>45135</v>
      </c>
      <c r="CN140" s="1">
        <v>20.2221811536171</v>
      </c>
      <c r="CO140" s="1" t="s">
        <v>1537</v>
      </c>
      <c r="CP140" s="1" t="s">
        <v>1566</v>
      </c>
      <c r="CQ140" s="1" t="s">
        <v>1539</v>
      </c>
      <c r="CR140" s="1" t="s">
        <v>1540</v>
      </c>
      <c r="CS140" s="1" t="s">
        <v>50</v>
      </c>
      <c r="CT140" s="1" t="s">
        <v>1560</v>
      </c>
      <c r="CW140" s="1">
        <v>4</v>
      </c>
      <c r="CX140" s="1" t="s">
        <v>1529</v>
      </c>
      <c r="CY140" s="1" t="s">
        <v>1567</v>
      </c>
      <c r="CZ140" s="1" t="s">
        <v>1531</v>
      </c>
      <c r="DA140" s="1" t="s">
        <v>1822</v>
      </c>
      <c r="DB140" s="1" t="s">
        <v>1525</v>
      </c>
      <c r="DC140" s="1" t="s">
        <v>1534</v>
      </c>
      <c r="DD140" s="1" t="s">
        <v>51</v>
      </c>
      <c r="DE140" s="1" t="s">
        <v>46</v>
      </c>
      <c r="DF140" s="1" t="s">
        <v>46</v>
      </c>
      <c r="DG140" s="1" t="s">
        <v>45</v>
      </c>
      <c r="DH140" s="1" t="s">
        <v>51</v>
      </c>
      <c r="DI140" s="1" t="s">
        <v>1961</v>
      </c>
      <c r="DJ140" s="32">
        <v>45238</v>
      </c>
      <c r="DM140" s="1" t="s">
        <v>51</v>
      </c>
      <c r="DN140" s="1" t="s">
        <v>1962</v>
      </c>
      <c r="DO140" s="1" t="s">
        <v>45</v>
      </c>
      <c r="DQ140" s="1" t="s">
        <v>45</v>
      </c>
      <c r="DS140" s="1" t="s">
        <v>1963</v>
      </c>
      <c r="DT140" s="32">
        <v>45512</v>
      </c>
      <c r="DU140" s="1" t="s">
        <v>1598</v>
      </c>
      <c r="DV140" s="1">
        <v>255.02628120893499</v>
      </c>
      <c r="DW140" s="1" t="s">
        <v>51</v>
      </c>
      <c r="DX140" s="1" t="s">
        <v>1964</v>
      </c>
      <c r="DY140" s="32">
        <v>45698</v>
      </c>
      <c r="DZ140" s="1" t="s">
        <v>1544</v>
      </c>
    </row>
    <row r="141" spans="1:130" ht="15.75" customHeight="1" x14ac:dyDescent="0.2">
      <c r="A141" s="8" t="s">
        <v>929</v>
      </c>
      <c r="B141" s="32">
        <v>33390</v>
      </c>
      <c r="C141" s="32">
        <v>45135</v>
      </c>
      <c r="D141" s="1">
        <v>32.156717797079999</v>
      </c>
      <c r="E141" s="1" t="s">
        <v>1587</v>
      </c>
      <c r="F141" s="1" t="s">
        <v>1524</v>
      </c>
      <c r="G141" s="1" t="s">
        <v>1574</v>
      </c>
      <c r="H141" s="1" t="s">
        <v>51</v>
      </c>
      <c r="I141" s="1">
        <v>1.46</v>
      </c>
      <c r="J141" s="1" t="s">
        <v>51</v>
      </c>
      <c r="K141" s="1">
        <v>86</v>
      </c>
      <c r="L141" s="1">
        <v>40.345280540439099</v>
      </c>
      <c r="M141" s="1" t="s">
        <v>45</v>
      </c>
      <c r="N141" s="1" t="s">
        <v>45</v>
      </c>
      <c r="O141" s="1" t="s">
        <v>45</v>
      </c>
      <c r="P141" s="1" t="s">
        <v>45</v>
      </c>
      <c r="Q141" s="1" t="s">
        <v>45</v>
      </c>
      <c r="R141" s="1" t="s">
        <v>45</v>
      </c>
      <c r="S141" s="1" t="s">
        <v>45</v>
      </c>
      <c r="T141" s="1" t="s">
        <v>45</v>
      </c>
      <c r="U141" s="1" t="s">
        <v>45</v>
      </c>
      <c r="V141" s="1" t="s">
        <v>45</v>
      </c>
      <c r="W141" s="1" t="s">
        <v>45</v>
      </c>
      <c r="X141" s="1" t="s">
        <v>45</v>
      </c>
      <c r="Y141" s="1" t="s">
        <v>45</v>
      </c>
      <c r="Z141" s="1" t="s">
        <v>45</v>
      </c>
      <c r="AA141" s="1" t="s">
        <v>45</v>
      </c>
      <c r="AB141" s="1" t="s">
        <v>45</v>
      </c>
      <c r="AC141" s="1" t="s">
        <v>45</v>
      </c>
      <c r="AD141" s="1" t="s">
        <v>45</v>
      </c>
      <c r="AE141" s="1" t="s">
        <v>45</v>
      </c>
      <c r="AF141" s="32">
        <v>45136</v>
      </c>
      <c r="AG141" s="1">
        <v>32.159455704087001</v>
      </c>
      <c r="AH141" s="1" t="s">
        <v>1526</v>
      </c>
      <c r="AI141" s="1" t="s">
        <v>1527</v>
      </c>
      <c r="AJ141" s="1" t="s">
        <v>45</v>
      </c>
      <c r="AK141" s="1" t="s">
        <v>45</v>
      </c>
      <c r="AL141" s="1" t="s">
        <v>45</v>
      </c>
      <c r="AM141" s="1" t="s">
        <v>51</v>
      </c>
      <c r="AN141" s="1" t="s">
        <v>45</v>
      </c>
      <c r="AO141" s="1" t="s">
        <v>45</v>
      </c>
      <c r="AP141" s="1" t="s">
        <v>45</v>
      </c>
      <c r="AQ141" s="1" t="s">
        <v>45</v>
      </c>
      <c r="AR141" s="1" t="s">
        <v>51</v>
      </c>
      <c r="AS141" s="1" t="s">
        <v>1965</v>
      </c>
      <c r="AT141" s="1" t="s">
        <v>1546</v>
      </c>
      <c r="AV141" s="1" t="s">
        <v>1966</v>
      </c>
      <c r="AW141" s="33" t="s">
        <v>1464</v>
      </c>
      <c r="AX141" s="3"/>
      <c r="AY141" s="33" t="s">
        <v>1621</v>
      </c>
      <c r="AZ141" s="1">
        <v>1</v>
      </c>
      <c r="BA141" s="1" t="s">
        <v>1814</v>
      </c>
      <c r="BB141" s="1" t="s">
        <v>1530</v>
      </c>
      <c r="BC141" s="1" t="s">
        <v>1531</v>
      </c>
      <c r="BD141" s="1" t="s">
        <v>1532</v>
      </c>
      <c r="BE141" s="1" t="s">
        <v>1525</v>
      </c>
      <c r="BF141" s="1" t="s">
        <v>1534</v>
      </c>
      <c r="BG141" s="1" t="s">
        <v>45</v>
      </c>
      <c r="BH141" s="1" t="s">
        <v>1525</v>
      </c>
      <c r="BI141" s="1" t="s">
        <v>1535</v>
      </c>
      <c r="BJ141" s="1" t="s">
        <v>45</v>
      </c>
      <c r="BK141" s="1" t="s">
        <v>1536</v>
      </c>
      <c r="BL141" s="32">
        <v>45136</v>
      </c>
      <c r="BM141" s="1" t="s">
        <v>930</v>
      </c>
      <c r="BO141" s="1" t="s">
        <v>1537</v>
      </c>
      <c r="BP141" s="1" t="s">
        <v>1538</v>
      </c>
      <c r="BQ141" s="1" t="s">
        <v>1647</v>
      </c>
      <c r="BR141" s="1" t="s">
        <v>1540</v>
      </c>
      <c r="BS141" s="1" t="s">
        <v>99</v>
      </c>
      <c r="BU141" s="1" t="s">
        <v>51</v>
      </c>
      <c r="BV141" s="1" t="s">
        <v>1541</v>
      </c>
      <c r="BW141" s="1" t="s">
        <v>1542</v>
      </c>
      <c r="CA141" s="1" t="s">
        <v>45</v>
      </c>
      <c r="CB141" s="1" t="s">
        <v>45</v>
      </c>
      <c r="CJ141" s="1" t="s">
        <v>45</v>
      </c>
      <c r="DH141" s="1" t="s">
        <v>45</v>
      </c>
      <c r="DM141" s="1" t="s">
        <v>45</v>
      </c>
      <c r="DO141" s="1" t="s">
        <v>45</v>
      </c>
      <c r="DQ141" s="1" t="s">
        <v>45</v>
      </c>
      <c r="DT141" s="32">
        <v>45405</v>
      </c>
      <c r="DU141" s="1" t="s">
        <v>1598</v>
      </c>
      <c r="DV141" s="1">
        <v>8.8370565045992109</v>
      </c>
      <c r="DW141" s="1" t="s">
        <v>45</v>
      </c>
      <c r="DY141" s="32">
        <v>45698</v>
      </c>
      <c r="DZ141" s="1" t="s">
        <v>1544</v>
      </c>
    </row>
    <row r="142" spans="1:130" ht="15.75" customHeight="1" x14ac:dyDescent="0.2">
      <c r="A142" s="8" t="s">
        <v>595</v>
      </c>
      <c r="B142" s="32">
        <v>34414</v>
      </c>
      <c r="C142" s="32">
        <v>45135</v>
      </c>
      <c r="D142" s="1">
        <v>29.352986942465101</v>
      </c>
      <c r="E142" s="1" t="s">
        <v>1587</v>
      </c>
      <c r="F142" s="1" t="s">
        <v>1578</v>
      </c>
      <c r="G142" s="1" t="s">
        <v>1574</v>
      </c>
      <c r="H142" s="1" t="s">
        <v>51</v>
      </c>
      <c r="I142" s="1">
        <v>1.623</v>
      </c>
      <c r="J142" s="1" t="s">
        <v>51</v>
      </c>
      <c r="K142" s="1">
        <v>51.2</v>
      </c>
      <c r="L142" s="1">
        <v>19.437164998373198</v>
      </c>
      <c r="M142" s="1" t="s">
        <v>45</v>
      </c>
      <c r="N142" s="1" t="s">
        <v>45</v>
      </c>
      <c r="O142" s="1" t="s">
        <v>45</v>
      </c>
      <c r="P142" s="1" t="s">
        <v>45</v>
      </c>
      <c r="Q142" s="1" t="s">
        <v>45</v>
      </c>
      <c r="R142" s="1" t="s">
        <v>45</v>
      </c>
      <c r="S142" s="1" t="s">
        <v>45</v>
      </c>
      <c r="T142" s="1" t="s">
        <v>45</v>
      </c>
      <c r="U142" s="1" t="s">
        <v>45</v>
      </c>
      <c r="V142" s="1" t="s">
        <v>45</v>
      </c>
      <c r="W142" s="1" t="s">
        <v>45</v>
      </c>
      <c r="X142" s="1" t="s">
        <v>45</v>
      </c>
      <c r="Y142" s="1" t="s">
        <v>45</v>
      </c>
      <c r="Z142" s="1" t="s">
        <v>45</v>
      </c>
      <c r="AA142" s="1" t="s">
        <v>45</v>
      </c>
      <c r="AB142" s="1" t="s">
        <v>45</v>
      </c>
      <c r="AC142" s="1" t="s">
        <v>45</v>
      </c>
      <c r="AD142" s="1" t="s">
        <v>45</v>
      </c>
      <c r="AE142" s="1" t="s">
        <v>45</v>
      </c>
      <c r="AF142" s="32">
        <v>45136</v>
      </c>
      <c r="AG142" s="1">
        <v>29.3557248494721</v>
      </c>
      <c r="AH142" s="1" t="s">
        <v>1526</v>
      </c>
      <c r="AI142" s="1" t="s">
        <v>1527</v>
      </c>
      <c r="AJ142" s="1" t="s">
        <v>45</v>
      </c>
      <c r="AK142" s="1" t="s">
        <v>51</v>
      </c>
      <c r="AL142" s="1" t="s">
        <v>45</v>
      </c>
      <c r="AM142" s="1" t="s">
        <v>45</v>
      </c>
      <c r="AN142" s="1" t="s">
        <v>45</v>
      </c>
      <c r="AO142" s="1" t="s">
        <v>45</v>
      </c>
      <c r="AP142" s="1" t="s">
        <v>45</v>
      </c>
      <c r="AQ142" s="1" t="s">
        <v>45</v>
      </c>
      <c r="AR142" s="1" t="s">
        <v>45</v>
      </c>
      <c r="AT142" s="1" t="s">
        <v>1560</v>
      </c>
      <c r="AW142" s="33" t="s">
        <v>1463</v>
      </c>
      <c r="AX142" s="3" t="s">
        <v>1560</v>
      </c>
      <c r="AY142" s="3"/>
      <c r="AZ142" s="1">
        <v>3</v>
      </c>
      <c r="BB142" s="1" t="s">
        <v>1567</v>
      </c>
      <c r="BC142" s="1" t="s">
        <v>1531</v>
      </c>
      <c r="BE142" s="1" t="s">
        <v>1525</v>
      </c>
      <c r="BG142" s="1" t="s">
        <v>45</v>
      </c>
      <c r="BH142" s="1" t="s">
        <v>46</v>
      </c>
      <c r="BI142" s="1" t="s">
        <v>1599</v>
      </c>
      <c r="BJ142" s="1" t="s">
        <v>45</v>
      </c>
      <c r="BK142" s="1" t="s">
        <v>1549</v>
      </c>
      <c r="BL142" s="32">
        <v>45136</v>
      </c>
      <c r="BM142" s="1" t="s">
        <v>596</v>
      </c>
      <c r="BO142" s="1" t="s">
        <v>1537</v>
      </c>
      <c r="BP142" s="1" t="s">
        <v>1551</v>
      </c>
      <c r="BQ142" s="1" t="s">
        <v>1539</v>
      </c>
      <c r="BR142" s="1" t="s">
        <v>1589</v>
      </c>
      <c r="BS142" s="1" t="s">
        <v>1581</v>
      </c>
      <c r="BU142" s="1" t="s">
        <v>51</v>
      </c>
      <c r="BW142" s="1" t="s">
        <v>1563</v>
      </c>
      <c r="BX142" s="32">
        <v>45259</v>
      </c>
      <c r="BY142" s="1">
        <v>12</v>
      </c>
      <c r="BZ142" s="1" t="s">
        <v>1591</v>
      </c>
      <c r="CA142" s="1" t="s">
        <v>51</v>
      </c>
      <c r="CB142" s="1" t="s">
        <v>51</v>
      </c>
      <c r="CC142" s="32">
        <v>45176</v>
      </c>
      <c r="CD142" s="1">
        <v>59.4</v>
      </c>
      <c r="CE142" s="1">
        <v>33</v>
      </c>
      <c r="CJ142" s="1" t="s">
        <v>45</v>
      </c>
      <c r="DH142" s="1" t="s">
        <v>45</v>
      </c>
      <c r="DM142" s="1" t="s">
        <v>45</v>
      </c>
      <c r="DO142" s="1" t="s">
        <v>45</v>
      </c>
      <c r="DQ142" s="1" t="s">
        <v>45</v>
      </c>
      <c r="DT142" s="32">
        <v>45728</v>
      </c>
      <c r="DU142" s="1" t="s">
        <v>1598</v>
      </c>
      <c r="DV142" s="1">
        <v>19.448094612352101</v>
      </c>
      <c r="DW142" s="1" t="s">
        <v>45</v>
      </c>
    </row>
    <row r="143" spans="1:130" ht="15.75" customHeight="1" x14ac:dyDescent="0.2">
      <c r="A143" s="8" t="s">
        <v>598</v>
      </c>
      <c r="B143" s="32">
        <v>25636</v>
      </c>
      <c r="C143" s="32">
        <v>40836</v>
      </c>
      <c r="D143" s="1">
        <v>41.6160724267666</v>
      </c>
      <c r="E143" s="1" t="s">
        <v>1523</v>
      </c>
      <c r="F143" s="1" t="s">
        <v>1524</v>
      </c>
      <c r="G143" s="1" t="s">
        <v>1525</v>
      </c>
      <c r="H143" s="1" t="s">
        <v>51</v>
      </c>
      <c r="I143" s="1">
        <v>1.86</v>
      </c>
      <c r="J143" s="1" t="s">
        <v>51</v>
      </c>
      <c r="K143" s="1">
        <v>81.2</v>
      </c>
      <c r="L143" s="1">
        <v>23.470921493814298</v>
      </c>
      <c r="M143" s="1" t="s">
        <v>45</v>
      </c>
      <c r="N143" s="1" t="s">
        <v>45</v>
      </c>
      <c r="O143" s="1" t="s">
        <v>51</v>
      </c>
      <c r="P143" s="1" t="s">
        <v>45</v>
      </c>
      <c r="Q143" s="1" t="s">
        <v>45</v>
      </c>
      <c r="R143" s="1" t="s">
        <v>45</v>
      </c>
      <c r="S143" s="1" t="s">
        <v>45</v>
      </c>
      <c r="T143" s="1" t="s">
        <v>45</v>
      </c>
      <c r="U143" s="1" t="s">
        <v>45</v>
      </c>
      <c r="V143" s="1" t="s">
        <v>45</v>
      </c>
      <c r="W143" s="1" t="s">
        <v>45</v>
      </c>
      <c r="X143" s="1" t="s">
        <v>45</v>
      </c>
      <c r="Y143" s="1" t="s">
        <v>45</v>
      </c>
      <c r="Z143" s="1" t="s">
        <v>45</v>
      </c>
      <c r="AA143" s="1" t="s">
        <v>45</v>
      </c>
      <c r="AB143" s="1" t="s">
        <v>45</v>
      </c>
      <c r="AC143" s="1" t="s">
        <v>45</v>
      </c>
      <c r="AD143" s="1" t="s">
        <v>45</v>
      </c>
      <c r="AE143" s="1" t="s">
        <v>45</v>
      </c>
      <c r="AF143" s="32">
        <v>40836</v>
      </c>
      <c r="AG143" s="1">
        <v>41.6160724267666</v>
      </c>
      <c r="AH143" s="1" t="s">
        <v>1526</v>
      </c>
      <c r="AI143" s="1" t="s">
        <v>1527</v>
      </c>
      <c r="AJ143" s="1" t="s">
        <v>45</v>
      </c>
      <c r="AK143" s="1" t="s">
        <v>51</v>
      </c>
      <c r="AL143" s="1" t="s">
        <v>45</v>
      </c>
      <c r="AM143" s="1" t="s">
        <v>45</v>
      </c>
      <c r="AN143" s="1" t="s">
        <v>45</v>
      </c>
      <c r="AO143" s="1" t="s">
        <v>45</v>
      </c>
      <c r="AP143" s="1" t="s">
        <v>45</v>
      </c>
      <c r="AQ143" s="1" t="s">
        <v>45</v>
      </c>
      <c r="AR143" s="1" t="s">
        <v>45</v>
      </c>
      <c r="AT143" s="1" t="s">
        <v>1601</v>
      </c>
      <c r="AW143" s="33" t="s">
        <v>1464</v>
      </c>
      <c r="AX143" s="3"/>
      <c r="AY143" s="3" t="s">
        <v>1601</v>
      </c>
      <c r="AZ143" s="1">
        <v>2</v>
      </c>
      <c r="BB143" s="1" t="s">
        <v>1567</v>
      </c>
      <c r="BC143" s="1" t="s">
        <v>1602</v>
      </c>
      <c r="BE143" s="1" t="s">
        <v>1525</v>
      </c>
      <c r="BG143" s="1" t="s">
        <v>1525</v>
      </c>
      <c r="BH143" s="1" t="s">
        <v>1525</v>
      </c>
      <c r="BI143" s="1" t="s">
        <v>1535</v>
      </c>
      <c r="BJ143" s="1" t="s">
        <v>1525</v>
      </c>
      <c r="BK143" s="1" t="s">
        <v>1549</v>
      </c>
      <c r="BL143" s="32">
        <v>40836</v>
      </c>
      <c r="BM143" s="1" t="s">
        <v>1967</v>
      </c>
      <c r="BO143" s="1" t="s">
        <v>1537</v>
      </c>
      <c r="BP143" s="1" t="s">
        <v>1551</v>
      </c>
      <c r="BQ143" s="1" t="s">
        <v>1539</v>
      </c>
      <c r="BR143" s="1" t="s">
        <v>1580</v>
      </c>
      <c r="BS143" s="1" t="s">
        <v>1581</v>
      </c>
      <c r="BU143" s="1" t="s">
        <v>51</v>
      </c>
      <c r="BW143" s="1" t="s">
        <v>1563</v>
      </c>
      <c r="BX143" s="32">
        <v>40884</v>
      </c>
      <c r="BY143" s="1">
        <v>12</v>
      </c>
      <c r="CA143" s="1" t="s">
        <v>45</v>
      </c>
      <c r="CB143" s="1" t="s">
        <v>45</v>
      </c>
      <c r="CI143" s="1" t="s">
        <v>1968</v>
      </c>
      <c r="CJ143" s="1" t="s">
        <v>51</v>
      </c>
      <c r="CK143" s="32">
        <v>42048</v>
      </c>
      <c r="CL143" s="1" t="s">
        <v>51</v>
      </c>
      <c r="CM143" s="32">
        <v>45137</v>
      </c>
      <c r="CN143" s="1">
        <v>11.775738037057501</v>
      </c>
      <c r="CO143" s="1" t="s">
        <v>1537</v>
      </c>
      <c r="CP143" s="1" t="s">
        <v>1566</v>
      </c>
      <c r="CQ143" s="1" t="s">
        <v>1539</v>
      </c>
      <c r="CR143" s="1" t="s">
        <v>1580</v>
      </c>
      <c r="CS143" s="1" t="s">
        <v>1581</v>
      </c>
      <c r="CT143" s="1" t="s">
        <v>1601</v>
      </c>
      <c r="CW143" s="1">
        <v>3</v>
      </c>
      <c r="CY143" s="1" t="s">
        <v>1567</v>
      </c>
      <c r="CZ143" s="1" t="s">
        <v>1602</v>
      </c>
      <c r="DB143" s="1" t="s">
        <v>1525</v>
      </c>
      <c r="DD143" s="1" t="s">
        <v>45</v>
      </c>
      <c r="DE143" s="1" t="s">
        <v>46</v>
      </c>
      <c r="DF143" s="1" t="s">
        <v>68</v>
      </c>
      <c r="DG143" s="1" t="s">
        <v>45</v>
      </c>
      <c r="DH143" s="1" t="s">
        <v>51</v>
      </c>
      <c r="DI143" s="1" t="s">
        <v>1969</v>
      </c>
      <c r="DJ143" s="32">
        <v>42067</v>
      </c>
      <c r="DK143" s="1" t="s">
        <v>1583</v>
      </c>
      <c r="DL143" s="1" t="s">
        <v>1970</v>
      </c>
      <c r="DM143" s="1" t="s">
        <v>51</v>
      </c>
      <c r="DN143" s="1" t="s">
        <v>1971</v>
      </c>
      <c r="DO143" s="1" t="s">
        <v>51</v>
      </c>
      <c r="DP143" s="1" t="s">
        <v>1972</v>
      </c>
      <c r="DQ143" s="1" t="s">
        <v>45</v>
      </c>
      <c r="DS143" s="1" t="s">
        <v>1973</v>
      </c>
      <c r="DT143" s="32">
        <v>45751</v>
      </c>
      <c r="DU143" s="1" t="s">
        <v>1598</v>
      </c>
      <c r="DV143" s="1">
        <v>161.46517739815999</v>
      </c>
      <c r="DW143" s="1" t="s">
        <v>51</v>
      </c>
      <c r="DX143" s="1" t="s">
        <v>1974</v>
      </c>
    </row>
    <row r="144" spans="1:130" ht="15.75" customHeight="1" x14ac:dyDescent="0.2">
      <c r="A144" s="8" t="s">
        <v>935</v>
      </c>
      <c r="B144" s="32">
        <v>22647</v>
      </c>
      <c r="C144" s="32">
        <v>45149</v>
      </c>
      <c r="D144" s="1">
        <v>61.608383471255401</v>
      </c>
      <c r="E144" s="1" t="s">
        <v>1523</v>
      </c>
      <c r="F144" s="1" t="s">
        <v>1524</v>
      </c>
      <c r="G144" s="1" t="s">
        <v>1574</v>
      </c>
      <c r="H144" s="1" t="s">
        <v>51</v>
      </c>
      <c r="I144" s="1">
        <v>1.665</v>
      </c>
      <c r="J144" s="1" t="s">
        <v>51</v>
      </c>
      <c r="K144" s="1">
        <v>98.4</v>
      </c>
      <c r="L144" s="1">
        <v>35.494954413873302</v>
      </c>
      <c r="M144" s="1" t="s">
        <v>45</v>
      </c>
      <c r="N144" s="1" t="s">
        <v>45</v>
      </c>
      <c r="O144" s="1" t="s">
        <v>45</v>
      </c>
      <c r="P144" s="1" t="s">
        <v>45</v>
      </c>
      <c r="Q144" s="1" t="s">
        <v>51</v>
      </c>
      <c r="R144" s="1" t="s">
        <v>45</v>
      </c>
      <c r="S144" s="1" t="s">
        <v>45</v>
      </c>
      <c r="T144" s="1" t="s">
        <v>45</v>
      </c>
      <c r="U144" s="1" t="s">
        <v>45</v>
      </c>
      <c r="V144" s="1" t="s">
        <v>45</v>
      </c>
      <c r="W144" s="1" t="s">
        <v>45</v>
      </c>
      <c r="X144" s="1" t="s">
        <v>45</v>
      </c>
      <c r="Y144" s="1" t="s">
        <v>45</v>
      </c>
      <c r="Z144" s="1" t="s">
        <v>45</v>
      </c>
      <c r="AA144" s="1" t="s">
        <v>45</v>
      </c>
      <c r="AB144" s="1" t="s">
        <v>45</v>
      </c>
      <c r="AC144" s="1" t="s">
        <v>45</v>
      </c>
      <c r="AD144" s="1" t="s">
        <v>45</v>
      </c>
      <c r="AE144" s="1" t="s">
        <v>45</v>
      </c>
      <c r="AF144" s="32">
        <v>45155</v>
      </c>
      <c r="AG144" s="1">
        <v>61.624810913297303</v>
      </c>
      <c r="AH144" s="1" t="s">
        <v>1526</v>
      </c>
      <c r="AI144" s="1" t="s">
        <v>1527</v>
      </c>
      <c r="AJ144" s="1" t="s">
        <v>45</v>
      </c>
      <c r="AK144" s="1" t="s">
        <v>51</v>
      </c>
      <c r="AL144" s="1" t="s">
        <v>45</v>
      </c>
      <c r="AM144" s="1" t="s">
        <v>45</v>
      </c>
      <c r="AN144" s="1" t="s">
        <v>45</v>
      </c>
      <c r="AO144" s="1" t="s">
        <v>45</v>
      </c>
      <c r="AP144" s="1" t="s">
        <v>45</v>
      </c>
      <c r="AQ144" s="1" t="s">
        <v>45</v>
      </c>
      <c r="AR144" s="1" t="s">
        <v>45</v>
      </c>
      <c r="AT144" s="1" t="s">
        <v>1528</v>
      </c>
      <c r="AW144" s="33" t="s">
        <v>1463</v>
      </c>
      <c r="AX144" s="3" t="s">
        <v>1528</v>
      </c>
      <c r="AY144" s="3"/>
      <c r="AZ144" s="1">
        <v>4</v>
      </c>
      <c r="BA144" s="1" t="s">
        <v>1529</v>
      </c>
      <c r="BB144" s="1" t="s">
        <v>1530</v>
      </c>
      <c r="BC144" s="1" t="s">
        <v>1531</v>
      </c>
      <c r="BD144" s="1" t="s">
        <v>1532</v>
      </c>
      <c r="BE144" s="1" t="s">
        <v>1525</v>
      </c>
      <c r="BG144" s="1" t="s">
        <v>1525</v>
      </c>
      <c r="BH144" s="1" t="s">
        <v>46</v>
      </c>
      <c r="BI144" s="1" t="s">
        <v>1535</v>
      </c>
      <c r="BJ144" s="1" t="s">
        <v>1525</v>
      </c>
      <c r="BK144" s="1" t="s">
        <v>1536</v>
      </c>
      <c r="BL144" s="32">
        <v>45155</v>
      </c>
      <c r="BM144" s="1" t="s">
        <v>936</v>
      </c>
      <c r="BN144" s="1" t="s">
        <v>45</v>
      </c>
      <c r="BO144" s="1" t="s">
        <v>1537</v>
      </c>
      <c r="BP144" s="1" t="s">
        <v>1551</v>
      </c>
      <c r="BQ144" s="1" t="s">
        <v>1605</v>
      </c>
      <c r="BR144" s="1" t="s">
        <v>1540</v>
      </c>
      <c r="BS144" s="1" t="s">
        <v>106</v>
      </c>
      <c r="BU144" s="1" t="s">
        <v>51</v>
      </c>
      <c r="BV144" s="1" t="s">
        <v>1541</v>
      </c>
      <c r="BW144" s="1" t="s">
        <v>1563</v>
      </c>
      <c r="BX144" s="32">
        <v>45273</v>
      </c>
      <c r="BY144" s="1">
        <v>7</v>
      </c>
      <c r="BZ144" s="1" t="s">
        <v>1975</v>
      </c>
      <c r="CA144" s="1" t="s">
        <v>51</v>
      </c>
      <c r="CB144" s="1" t="s">
        <v>51</v>
      </c>
      <c r="CC144" s="32">
        <v>45210</v>
      </c>
      <c r="CD144" s="1">
        <v>60</v>
      </c>
      <c r="CE144" s="1">
        <v>30</v>
      </c>
      <c r="CJ144" s="1" t="s">
        <v>51</v>
      </c>
      <c r="CK144" s="32">
        <v>45507</v>
      </c>
      <c r="CL144" s="1" t="s">
        <v>45</v>
      </c>
      <c r="DH144" s="1" t="s">
        <v>51</v>
      </c>
      <c r="DI144" s="1" t="s">
        <v>1976</v>
      </c>
      <c r="DJ144" s="32">
        <v>45518</v>
      </c>
      <c r="DM144" s="1" t="s">
        <v>45</v>
      </c>
      <c r="DO144" s="1" t="s">
        <v>45</v>
      </c>
      <c r="DQ144" s="1" t="s">
        <v>45</v>
      </c>
      <c r="DT144" s="32">
        <v>45606</v>
      </c>
      <c r="DU144" s="1" t="s">
        <v>1543</v>
      </c>
      <c r="DV144" s="1">
        <v>14.8160315374507</v>
      </c>
      <c r="DW144" s="1" t="s">
        <v>45</v>
      </c>
      <c r="DY144" s="32">
        <v>45854</v>
      </c>
      <c r="DZ144" s="1" t="s">
        <v>1544</v>
      </c>
    </row>
    <row r="145" spans="1:130" ht="15.75" customHeight="1" x14ac:dyDescent="0.2">
      <c r="A145" s="8" t="s">
        <v>940</v>
      </c>
      <c r="B145" s="32">
        <v>27120</v>
      </c>
      <c r="E145" s="1" t="s">
        <v>1587</v>
      </c>
      <c r="F145" s="1" t="s">
        <v>1524</v>
      </c>
      <c r="G145" s="1" t="s">
        <v>1574</v>
      </c>
      <c r="H145" s="1" t="s">
        <v>51</v>
      </c>
      <c r="I145" s="1">
        <v>1.69</v>
      </c>
      <c r="J145" s="1" t="s">
        <v>51</v>
      </c>
      <c r="K145" s="1">
        <v>70.3</v>
      </c>
      <c r="L145" s="1">
        <v>24.613984104198</v>
      </c>
      <c r="M145" s="1" t="s">
        <v>45</v>
      </c>
      <c r="N145" s="1" t="s">
        <v>45</v>
      </c>
      <c r="O145" s="1" t="s">
        <v>45</v>
      </c>
      <c r="P145" s="1" t="s">
        <v>45</v>
      </c>
      <c r="Q145" s="1" t="s">
        <v>51</v>
      </c>
      <c r="R145" s="1" t="s">
        <v>45</v>
      </c>
      <c r="S145" s="1" t="s">
        <v>45</v>
      </c>
      <c r="T145" s="1" t="s">
        <v>45</v>
      </c>
      <c r="U145" s="1" t="s">
        <v>45</v>
      </c>
      <c r="V145" s="1" t="s">
        <v>45</v>
      </c>
      <c r="W145" s="1" t="s">
        <v>45</v>
      </c>
      <c r="X145" s="1" t="s">
        <v>45</v>
      </c>
      <c r="Y145" s="1" t="s">
        <v>45</v>
      </c>
      <c r="Z145" s="1" t="s">
        <v>45</v>
      </c>
      <c r="AA145" s="1" t="s">
        <v>45</v>
      </c>
      <c r="AB145" s="1" t="s">
        <v>45</v>
      </c>
      <c r="AC145" s="1" t="s">
        <v>45</v>
      </c>
      <c r="AD145" s="1" t="s">
        <v>45</v>
      </c>
      <c r="AE145" s="1" t="s">
        <v>45</v>
      </c>
      <c r="AF145" s="32">
        <v>45167</v>
      </c>
      <c r="AG145" s="1">
        <v>49.411007755121503</v>
      </c>
      <c r="AH145" s="1" t="s">
        <v>1526</v>
      </c>
      <c r="AI145" s="1" t="s">
        <v>1527</v>
      </c>
      <c r="AJ145" s="1" t="s">
        <v>45</v>
      </c>
      <c r="AK145" s="1" t="s">
        <v>51</v>
      </c>
      <c r="AL145" s="1" t="s">
        <v>45</v>
      </c>
      <c r="AM145" s="1" t="s">
        <v>45</v>
      </c>
      <c r="AN145" s="1" t="s">
        <v>45</v>
      </c>
      <c r="AO145" s="1" t="s">
        <v>45</v>
      </c>
      <c r="AP145" s="1" t="s">
        <v>45</v>
      </c>
      <c r="AQ145" s="1" t="s">
        <v>45</v>
      </c>
      <c r="AR145" s="1" t="s">
        <v>45</v>
      </c>
      <c r="AT145" s="1" t="s">
        <v>1546</v>
      </c>
      <c r="AV145" s="1" t="s">
        <v>1889</v>
      </c>
      <c r="AW145" s="33" t="s">
        <v>1464</v>
      </c>
      <c r="AX145" s="3"/>
      <c r="AY145" s="33" t="s">
        <v>1889</v>
      </c>
      <c r="BB145" s="1" t="s">
        <v>1530</v>
      </c>
      <c r="BC145" s="1" t="s">
        <v>1561</v>
      </c>
      <c r="BD145" s="1" t="s">
        <v>1977</v>
      </c>
      <c r="BE145" s="1" t="s">
        <v>1525</v>
      </c>
      <c r="BG145" s="1" t="s">
        <v>1525</v>
      </c>
      <c r="BH145" s="1" t="s">
        <v>68</v>
      </c>
      <c r="BI145" s="1" t="s">
        <v>1535</v>
      </c>
      <c r="BJ145" s="1" t="s">
        <v>45</v>
      </c>
      <c r="BK145" s="1" t="s">
        <v>1536</v>
      </c>
      <c r="BL145" s="32">
        <v>45167</v>
      </c>
      <c r="BM145" s="1" t="s">
        <v>941</v>
      </c>
      <c r="BN145" s="1" t="s">
        <v>45</v>
      </c>
      <c r="BO145" s="1" t="s">
        <v>1537</v>
      </c>
      <c r="BP145" s="1" t="s">
        <v>1538</v>
      </c>
      <c r="BQ145" s="1" t="s">
        <v>1647</v>
      </c>
      <c r="BR145" s="1" t="s">
        <v>1540</v>
      </c>
      <c r="BS145" s="1" t="s">
        <v>106</v>
      </c>
      <c r="BU145" s="1" t="s">
        <v>51</v>
      </c>
      <c r="BV145" s="1" t="s">
        <v>1541</v>
      </c>
      <c r="BW145" s="1" t="s">
        <v>1542</v>
      </c>
      <c r="CA145" s="1" t="s">
        <v>45</v>
      </c>
      <c r="CB145" s="1" t="s">
        <v>45</v>
      </c>
      <c r="CJ145" s="1" t="s">
        <v>45</v>
      </c>
      <c r="DH145" s="1" t="s">
        <v>45</v>
      </c>
      <c r="DM145" s="1" t="s">
        <v>45</v>
      </c>
      <c r="DO145" s="1" t="s">
        <v>45</v>
      </c>
      <c r="DQ145" s="1" t="s">
        <v>45</v>
      </c>
      <c r="DT145" s="32">
        <v>45778</v>
      </c>
      <c r="DU145" s="1" t="s">
        <v>1598</v>
      </c>
      <c r="DV145" s="1">
        <v>20.072273324572901</v>
      </c>
      <c r="DW145" s="1" t="s">
        <v>45</v>
      </c>
      <c r="DY145" s="32">
        <v>45854</v>
      </c>
      <c r="DZ145" s="1" t="s">
        <v>1544</v>
      </c>
    </row>
    <row r="146" spans="1:130" ht="15.75" customHeight="1" x14ac:dyDescent="0.2">
      <c r="A146" s="8" t="s">
        <v>944</v>
      </c>
      <c r="B146" s="32">
        <v>37377</v>
      </c>
      <c r="C146" s="32">
        <v>45089</v>
      </c>
      <c r="D146" s="1">
        <v>21.114738837895299</v>
      </c>
      <c r="E146" s="1" t="s">
        <v>1523</v>
      </c>
      <c r="F146" s="1" t="s">
        <v>1524</v>
      </c>
      <c r="G146" s="1" t="s">
        <v>1686</v>
      </c>
      <c r="H146" s="1" t="s">
        <v>51</v>
      </c>
      <c r="I146" s="1">
        <v>1.72</v>
      </c>
      <c r="J146" s="1" t="s">
        <v>51</v>
      </c>
      <c r="K146" s="1">
        <v>59.4</v>
      </c>
      <c r="L146" s="1">
        <v>20.0784207679826</v>
      </c>
      <c r="M146" s="1" t="s">
        <v>45</v>
      </c>
      <c r="N146" s="1" t="s">
        <v>45</v>
      </c>
      <c r="O146" s="1" t="s">
        <v>45</v>
      </c>
      <c r="P146" s="1" t="s">
        <v>45</v>
      </c>
      <c r="Q146" s="1" t="s">
        <v>45</v>
      </c>
      <c r="R146" s="1" t="s">
        <v>45</v>
      </c>
      <c r="S146" s="1" t="s">
        <v>45</v>
      </c>
      <c r="T146" s="1" t="s">
        <v>45</v>
      </c>
      <c r="U146" s="1" t="s">
        <v>45</v>
      </c>
      <c r="V146" s="1" t="s">
        <v>45</v>
      </c>
      <c r="W146" s="1" t="s">
        <v>45</v>
      </c>
      <c r="X146" s="1" t="s">
        <v>45</v>
      </c>
      <c r="Y146" s="1" t="s">
        <v>45</v>
      </c>
      <c r="Z146" s="1" t="s">
        <v>45</v>
      </c>
      <c r="AA146" s="1" t="s">
        <v>45</v>
      </c>
      <c r="AB146" s="1" t="s">
        <v>45</v>
      </c>
      <c r="AC146" s="1" t="s">
        <v>45</v>
      </c>
      <c r="AD146" s="1" t="s">
        <v>45</v>
      </c>
      <c r="AE146" s="1" t="s">
        <v>45</v>
      </c>
      <c r="AF146" s="32">
        <v>45070</v>
      </c>
      <c r="AG146" s="1">
        <v>21.062718604762502</v>
      </c>
      <c r="AH146" s="1" t="s">
        <v>1526</v>
      </c>
      <c r="AI146" s="1" t="s">
        <v>1527</v>
      </c>
      <c r="AJ146" s="1" t="s">
        <v>45</v>
      </c>
      <c r="AK146" s="1" t="s">
        <v>51</v>
      </c>
      <c r="AL146" s="1" t="s">
        <v>45</v>
      </c>
      <c r="AM146" s="1" t="s">
        <v>45</v>
      </c>
      <c r="AN146" s="1" t="s">
        <v>45</v>
      </c>
      <c r="AO146" s="1" t="s">
        <v>45</v>
      </c>
      <c r="AP146" s="1" t="s">
        <v>45</v>
      </c>
      <c r="AQ146" s="1" t="s">
        <v>45</v>
      </c>
      <c r="AR146" s="1" t="s">
        <v>45</v>
      </c>
      <c r="AT146" s="1" t="s">
        <v>1560</v>
      </c>
      <c r="AW146" s="33" t="s">
        <v>1463</v>
      </c>
      <c r="AX146" s="3" t="s">
        <v>1560</v>
      </c>
      <c r="AY146" s="3"/>
      <c r="AZ146" s="1">
        <v>3</v>
      </c>
      <c r="BA146" s="1" t="s">
        <v>1978</v>
      </c>
      <c r="BB146" s="1" t="s">
        <v>1567</v>
      </c>
      <c r="BC146" s="1" t="s">
        <v>1531</v>
      </c>
      <c r="BD146" s="1" t="s">
        <v>1822</v>
      </c>
      <c r="BE146" s="1" t="s">
        <v>1603</v>
      </c>
      <c r="BF146" s="1" t="s">
        <v>1534</v>
      </c>
      <c r="BG146" s="1" t="s">
        <v>45</v>
      </c>
      <c r="BH146" s="1" t="s">
        <v>46</v>
      </c>
      <c r="BI146" s="1" t="s">
        <v>1599</v>
      </c>
      <c r="BJ146" s="1" t="s">
        <v>45</v>
      </c>
      <c r="BK146" s="1" t="s">
        <v>1536</v>
      </c>
      <c r="BL146" s="32">
        <v>45175</v>
      </c>
      <c r="BM146" s="1" t="s">
        <v>945</v>
      </c>
      <c r="BO146" s="1" t="s">
        <v>1537</v>
      </c>
      <c r="BP146" s="1" t="s">
        <v>1538</v>
      </c>
      <c r="BQ146" s="1" t="s">
        <v>1647</v>
      </c>
      <c r="BR146" s="1" t="s">
        <v>1540</v>
      </c>
      <c r="BS146" s="1" t="s">
        <v>50</v>
      </c>
      <c r="BU146" s="1" t="s">
        <v>51</v>
      </c>
      <c r="BV146" s="1" t="s">
        <v>1541</v>
      </c>
      <c r="BW146" s="1" t="s">
        <v>1563</v>
      </c>
      <c r="BX146" s="32">
        <v>45196</v>
      </c>
      <c r="BY146" s="1">
        <v>12</v>
      </c>
      <c r="BZ146" s="1" t="s">
        <v>1979</v>
      </c>
      <c r="CA146" s="1" t="s">
        <v>51</v>
      </c>
      <c r="CB146" s="1" t="s">
        <v>51</v>
      </c>
      <c r="CC146" s="32">
        <v>45209</v>
      </c>
      <c r="CD146" s="1">
        <v>59.4</v>
      </c>
      <c r="CE146" s="1">
        <v>33</v>
      </c>
      <c r="CJ146" s="1" t="s">
        <v>45</v>
      </c>
      <c r="DH146" s="1" t="s">
        <v>45</v>
      </c>
      <c r="DM146" s="1" t="s">
        <v>45</v>
      </c>
      <c r="DO146" s="1" t="s">
        <v>45</v>
      </c>
      <c r="DQ146" s="1" t="s">
        <v>45</v>
      </c>
      <c r="DT146" s="32">
        <v>45616</v>
      </c>
      <c r="DU146" s="1" t="s">
        <v>1598</v>
      </c>
      <c r="DV146" s="1">
        <v>17.938293911519899</v>
      </c>
      <c r="DW146" s="1" t="s">
        <v>45</v>
      </c>
      <c r="DY146" s="32">
        <v>45679</v>
      </c>
      <c r="DZ146" s="1" t="s">
        <v>1544</v>
      </c>
    </row>
    <row r="147" spans="1:130" ht="15.75" customHeight="1" x14ac:dyDescent="0.2">
      <c r="A147" s="8" t="s">
        <v>948</v>
      </c>
      <c r="B147" s="32">
        <v>24139</v>
      </c>
      <c r="C147" s="32">
        <v>45170</v>
      </c>
      <c r="D147" s="1">
        <v>57.580808184516599</v>
      </c>
      <c r="E147" s="1" t="s">
        <v>1523</v>
      </c>
      <c r="F147" s="1" t="s">
        <v>1578</v>
      </c>
      <c r="G147" s="1" t="s">
        <v>1574</v>
      </c>
      <c r="H147" s="1" t="s">
        <v>51</v>
      </c>
      <c r="I147" s="1">
        <v>1.78</v>
      </c>
      <c r="J147" s="1" t="s">
        <v>51</v>
      </c>
      <c r="K147" s="1">
        <v>58</v>
      </c>
      <c r="L147" s="1">
        <v>18.305769473551301</v>
      </c>
      <c r="M147" s="1" t="s">
        <v>45</v>
      </c>
      <c r="N147" s="1" t="s">
        <v>45</v>
      </c>
      <c r="O147" s="1" t="s">
        <v>45</v>
      </c>
      <c r="P147" s="1" t="s">
        <v>45</v>
      </c>
      <c r="Q147" s="1" t="s">
        <v>45</v>
      </c>
      <c r="R147" s="1" t="s">
        <v>45</v>
      </c>
      <c r="S147" s="1" t="s">
        <v>45</v>
      </c>
      <c r="T147" s="1" t="s">
        <v>45</v>
      </c>
      <c r="U147" s="1" t="s">
        <v>51</v>
      </c>
      <c r="V147" s="1" t="s">
        <v>45</v>
      </c>
      <c r="W147" s="1" t="s">
        <v>45</v>
      </c>
      <c r="X147" s="1" t="s">
        <v>45</v>
      </c>
      <c r="Y147" s="1" t="s">
        <v>45</v>
      </c>
      <c r="Z147" s="1" t="s">
        <v>45</v>
      </c>
      <c r="AA147" s="1" t="s">
        <v>45</v>
      </c>
      <c r="AB147" s="1" t="s">
        <v>45</v>
      </c>
      <c r="AC147" s="1" t="s">
        <v>45</v>
      </c>
      <c r="AD147" s="1" t="s">
        <v>45</v>
      </c>
      <c r="AE147" s="1" t="s">
        <v>45</v>
      </c>
      <c r="AF147" s="32">
        <v>45168</v>
      </c>
      <c r="AG147" s="1">
        <v>57.5753323705027</v>
      </c>
      <c r="AH147" s="1" t="s">
        <v>1526</v>
      </c>
      <c r="AI147" s="1" t="s">
        <v>1527</v>
      </c>
      <c r="AJ147" s="1" t="s">
        <v>45</v>
      </c>
      <c r="AK147" s="1" t="s">
        <v>45</v>
      </c>
      <c r="AL147" s="1" t="s">
        <v>45</v>
      </c>
      <c r="AM147" s="1" t="s">
        <v>45</v>
      </c>
      <c r="AN147" s="1" t="s">
        <v>45</v>
      </c>
      <c r="AO147" s="1" t="s">
        <v>45</v>
      </c>
      <c r="AP147" s="1" t="s">
        <v>45</v>
      </c>
      <c r="AQ147" s="1" t="s">
        <v>51</v>
      </c>
      <c r="AR147" s="1" t="s">
        <v>45</v>
      </c>
      <c r="AT147" s="1" t="s">
        <v>1528</v>
      </c>
      <c r="AW147" s="33" t="s">
        <v>1463</v>
      </c>
      <c r="AX147" s="3" t="s">
        <v>1528</v>
      </c>
      <c r="AY147" s="3"/>
      <c r="AZ147" s="1">
        <v>4</v>
      </c>
      <c r="BA147" s="1" t="s">
        <v>1529</v>
      </c>
      <c r="BB147" s="1" t="s">
        <v>1530</v>
      </c>
      <c r="BC147" s="1" t="s">
        <v>1531</v>
      </c>
      <c r="BD147" s="1" t="s">
        <v>1532</v>
      </c>
      <c r="BE147" s="1" t="s">
        <v>1533</v>
      </c>
      <c r="BF147" s="1" t="s">
        <v>1534</v>
      </c>
      <c r="BG147" s="1" t="s">
        <v>45</v>
      </c>
      <c r="BH147" s="1" t="s">
        <v>46</v>
      </c>
      <c r="BI147" s="1" t="s">
        <v>1535</v>
      </c>
      <c r="BJ147" s="1" t="s">
        <v>45</v>
      </c>
      <c r="BK147" s="1" t="s">
        <v>1536</v>
      </c>
      <c r="BL147" s="32">
        <v>45177</v>
      </c>
      <c r="BM147" s="1" t="s">
        <v>949</v>
      </c>
      <c r="BO147" s="1" t="s">
        <v>1537</v>
      </c>
      <c r="BP147" s="1" t="s">
        <v>1538</v>
      </c>
      <c r="BQ147" s="1" t="s">
        <v>1539</v>
      </c>
      <c r="BR147" s="1" t="s">
        <v>1540</v>
      </c>
      <c r="BS147" s="1" t="s">
        <v>106</v>
      </c>
      <c r="BU147" s="1" t="s">
        <v>51</v>
      </c>
      <c r="BV147" s="1" t="s">
        <v>1541</v>
      </c>
      <c r="BW147" s="1" t="s">
        <v>1563</v>
      </c>
      <c r="BX147" s="32">
        <v>45201</v>
      </c>
      <c r="BY147" s="1">
        <v>1</v>
      </c>
      <c r="BZ147" s="1" t="s">
        <v>1980</v>
      </c>
      <c r="CA147" s="1" t="s">
        <v>51</v>
      </c>
      <c r="CB147" s="1" t="s">
        <v>51</v>
      </c>
      <c r="CC147" s="32">
        <v>45202</v>
      </c>
      <c r="CD147" s="1">
        <v>40</v>
      </c>
      <c r="CE147" s="1">
        <v>15</v>
      </c>
      <c r="CI147" s="1" t="s">
        <v>1981</v>
      </c>
      <c r="CJ147" s="1" t="s">
        <v>45</v>
      </c>
      <c r="DH147" s="1" t="s">
        <v>45</v>
      </c>
      <c r="DM147" s="1" t="s">
        <v>45</v>
      </c>
      <c r="DO147" s="1" t="s">
        <v>45</v>
      </c>
      <c r="DQ147" s="1" t="s">
        <v>45</v>
      </c>
      <c r="DT147" s="32">
        <v>45300</v>
      </c>
      <c r="DU147" s="1" t="s">
        <v>1556</v>
      </c>
      <c r="DV147" s="1">
        <v>4.33776828734121</v>
      </c>
      <c r="DW147" s="1" t="s">
        <v>45</v>
      </c>
      <c r="DY147" s="32">
        <v>45679</v>
      </c>
      <c r="DZ147" s="1" t="s">
        <v>1544</v>
      </c>
    </row>
    <row r="148" spans="1:130" ht="15.75" customHeight="1" x14ac:dyDescent="0.2">
      <c r="A148" s="8" t="s">
        <v>601</v>
      </c>
      <c r="B148" s="32">
        <v>27582</v>
      </c>
      <c r="C148" s="32">
        <v>38813</v>
      </c>
      <c r="D148" s="1">
        <v>30.749433595487901</v>
      </c>
      <c r="E148" s="1" t="s">
        <v>1587</v>
      </c>
      <c r="F148" s="1" t="s">
        <v>1524</v>
      </c>
      <c r="G148" s="1" t="s">
        <v>1525</v>
      </c>
      <c r="H148" s="1" t="s">
        <v>51</v>
      </c>
      <c r="I148" s="1">
        <v>1.76</v>
      </c>
      <c r="J148" s="1" t="s">
        <v>51</v>
      </c>
      <c r="K148" s="1">
        <v>59.6</v>
      </c>
      <c r="L148" s="1">
        <v>19.2407024793388</v>
      </c>
      <c r="M148" s="1" t="s">
        <v>45</v>
      </c>
      <c r="N148" s="1" t="s">
        <v>45</v>
      </c>
      <c r="O148" s="1" t="s">
        <v>45</v>
      </c>
      <c r="P148" s="1" t="s">
        <v>45</v>
      </c>
      <c r="Q148" s="1" t="s">
        <v>45</v>
      </c>
      <c r="R148" s="1" t="s">
        <v>45</v>
      </c>
      <c r="S148" s="1" t="s">
        <v>45</v>
      </c>
      <c r="T148" s="1" t="s">
        <v>45</v>
      </c>
      <c r="U148" s="1" t="s">
        <v>45</v>
      </c>
      <c r="V148" s="1" t="s">
        <v>45</v>
      </c>
      <c r="W148" s="1" t="s">
        <v>45</v>
      </c>
      <c r="X148" s="1" t="s">
        <v>45</v>
      </c>
      <c r="Y148" s="1" t="s">
        <v>45</v>
      </c>
      <c r="Z148" s="1" t="s">
        <v>45</v>
      </c>
      <c r="AA148" s="1" t="s">
        <v>45</v>
      </c>
      <c r="AB148" s="1" t="s">
        <v>45</v>
      </c>
      <c r="AC148" s="1" t="s">
        <v>45</v>
      </c>
      <c r="AD148" s="1" t="s">
        <v>45</v>
      </c>
      <c r="AE148" s="1" t="s">
        <v>45</v>
      </c>
      <c r="AF148" s="32">
        <v>35894</v>
      </c>
      <c r="AG148" s="1">
        <v>22.757483042088399</v>
      </c>
      <c r="AH148" s="1" t="s">
        <v>1526</v>
      </c>
      <c r="AI148" s="1" t="s">
        <v>1618</v>
      </c>
      <c r="AJ148" s="1" t="s">
        <v>45</v>
      </c>
      <c r="AK148" s="1" t="s">
        <v>45</v>
      </c>
      <c r="AL148" s="1" t="s">
        <v>45</v>
      </c>
      <c r="AM148" s="1" t="s">
        <v>45</v>
      </c>
      <c r="AN148" s="1" t="s">
        <v>51</v>
      </c>
      <c r="AO148" s="1" t="s">
        <v>45</v>
      </c>
      <c r="AP148" s="1" t="s">
        <v>45</v>
      </c>
      <c r="AQ148" s="1" t="s">
        <v>45</v>
      </c>
      <c r="AR148" s="1" t="s">
        <v>45</v>
      </c>
      <c r="AT148" s="1" t="s">
        <v>1583</v>
      </c>
      <c r="AU148" s="1" t="s">
        <v>1982</v>
      </c>
      <c r="AW148" s="33" t="s">
        <v>1713</v>
      </c>
      <c r="AX148" s="3"/>
      <c r="AY148" s="3"/>
      <c r="AZ148" s="1">
        <v>2</v>
      </c>
      <c r="BE148" s="1" t="s">
        <v>1525</v>
      </c>
      <c r="BK148" s="1" t="s">
        <v>1549</v>
      </c>
      <c r="BL148" s="32">
        <v>38814</v>
      </c>
      <c r="BM148" s="1" t="s">
        <v>602</v>
      </c>
      <c r="BP148" s="1" t="s">
        <v>1551</v>
      </c>
      <c r="BQ148" s="1" t="s">
        <v>1647</v>
      </c>
      <c r="BR148" s="1" t="s">
        <v>1983</v>
      </c>
      <c r="BS148" s="1" t="s">
        <v>1984</v>
      </c>
      <c r="BU148" s="1" t="s">
        <v>45</v>
      </c>
      <c r="BW148" s="1" t="s">
        <v>1561</v>
      </c>
      <c r="CA148" s="1" t="s">
        <v>45</v>
      </c>
      <c r="CB148" s="1" t="s">
        <v>45</v>
      </c>
      <c r="CI148" s="1" t="s">
        <v>1985</v>
      </c>
      <c r="CJ148" s="1" t="s">
        <v>51</v>
      </c>
      <c r="CK148" s="32">
        <v>38813</v>
      </c>
      <c r="CL148" s="1" t="s">
        <v>45</v>
      </c>
      <c r="DH148" s="1" t="s">
        <v>45</v>
      </c>
      <c r="DM148" s="1" t="s">
        <v>51</v>
      </c>
      <c r="DN148" s="1" t="s">
        <v>1986</v>
      </c>
      <c r="DO148" s="1" t="s">
        <v>45</v>
      </c>
      <c r="DQ148" s="1" t="s">
        <v>45</v>
      </c>
      <c r="DS148" s="1" t="s">
        <v>1987</v>
      </c>
      <c r="DT148" s="32">
        <v>45685</v>
      </c>
      <c r="DU148" s="1" t="s">
        <v>1598</v>
      </c>
      <c r="DV148" s="1">
        <v>321.65051467367499</v>
      </c>
      <c r="DW148" s="1" t="s">
        <v>45</v>
      </c>
    </row>
    <row r="149" spans="1:130" ht="15.75" customHeight="1" x14ac:dyDescent="0.2">
      <c r="A149" s="8" t="s">
        <v>603</v>
      </c>
      <c r="B149" s="32">
        <v>37947</v>
      </c>
      <c r="C149" s="32">
        <v>45114</v>
      </c>
      <c r="D149" s="1">
        <v>19.622465439628002</v>
      </c>
      <c r="E149" s="1" t="s">
        <v>1523</v>
      </c>
      <c r="F149" s="1" t="s">
        <v>1524</v>
      </c>
      <c r="G149" s="1" t="s">
        <v>1525</v>
      </c>
      <c r="H149" s="1" t="s">
        <v>51</v>
      </c>
      <c r="I149" s="1">
        <v>1.73</v>
      </c>
      <c r="J149" s="1" t="s">
        <v>51</v>
      </c>
      <c r="K149" s="1">
        <v>69.400000000000006</v>
      </c>
      <c r="L149" s="1">
        <v>23.188212101974599</v>
      </c>
      <c r="M149" s="1" t="s">
        <v>45</v>
      </c>
      <c r="N149" s="1" t="s">
        <v>45</v>
      </c>
      <c r="O149" s="1" t="s">
        <v>45</v>
      </c>
      <c r="P149" s="1" t="s">
        <v>45</v>
      </c>
      <c r="Q149" s="1" t="s">
        <v>45</v>
      </c>
      <c r="R149" s="1" t="s">
        <v>45</v>
      </c>
      <c r="S149" s="1" t="s">
        <v>45</v>
      </c>
      <c r="T149" s="1" t="s">
        <v>45</v>
      </c>
      <c r="U149" s="1" t="s">
        <v>45</v>
      </c>
      <c r="V149" s="1" t="s">
        <v>45</v>
      </c>
      <c r="W149" s="1" t="s">
        <v>45</v>
      </c>
      <c r="X149" s="1" t="s">
        <v>45</v>
      </c>
      <c r="Y149" s="1" t="s">
        <v>45</v>
      </c>
      <c r="Z149" s="1" t="s">
        <v>45</v>
      </c>
      <c r="AA149" s="1" t="s">
        <v>45</v>
      </c>
      <c r="AB149" s="1" t="s">
        <v>45</v>
      </c>
      <c r="AC149" s="1" t="s">
        <v>45</v>
      </c>
      <c r="AD149" s="1" t="s">
        <v>45</v>
      </c>
      <c r="AE149" s="1" t="s">
        <v>45</v>
      </c>
      <c r="AF149" s="32">
        <v>45195</v>
      </c>
      <c r="AG149" s="1">
        <v>19.844235907194001</v>
      </c>
      <c r="AH149" s="1" t="s">
        <v>1526</v>
      </c>
      <c r="AI149" s="1" t="s">
        <v>1527</v>
      </c>
      <c r="AJ149" s="1" t="s">
        <v>45</v>
      </c>
      <c r="AK149" s="1" t="s">
        <v>51</v>
      </c>
      <c r="AL149" s="1" t="s">
        <v>45</v>
      </c>
      <c r="AM149" s="1" t="s">
        <v>45</v>
      </c>
      <c r="AN149" s="1" t="s">
        <v>45</v>
      </c>
      <c r="AO149" s="1" t="s">
        <v>45</v>
      </c>
      <c r="AP149" s="1" t="s">
        <v>45</v>
      </c>
      <c r="AQ149" s="1" t="s">
        <v>45</v>
      </c>
      <c r="AR149" s="1" t="s">
        <v>45</v>
      </c>
      <c r="AT149" s="1" t="s">
        <v>1560</v>
      </c>
      <c r="AW149" s="33" t="s">
        <v>1464</v>
      </c>
      <c r="AX149" s="3"/>
      <c r="AY149" s="3" t="s">
        <v>1560</v>
      </c>
      <c r="AZ149" s="1">
        <v>2</v>
      </c>
      <c r="BB149" s="1" t="s">
        <v>1567</v>
      </c>
      <c r="BC149" s="1" t="s">
        <v>1531</v>
      </c>
      <c r="BE149" s="1" t="s">
        <v>1525</v>
      </c>
      <c r="BG149" s="1" t="s">
        <v>45</v>
      </c>
      <c r="BH149" s="1" t="s">
        <v>46</v>
      </c>
      <c r="BI149" s="1" t="s">
        <v>1599</v>
      </c>
      <c r="BJ149" s="1" t="s">
        <v>45</v>
      </c>
      <c r="BK149" s="1" t="s">
        <v>1549</v>
      </c>
      <c r="BL149" s="32">
        <v>45195</v>
      </c>
      <c r="BM149" s="1" t="s">
        <v>604</v>
      </c>
      <c r="BO149" s="1" t="s">
        <v>1537</v>
      </c>
      <c r="BP149" s="1" t="s">
        <v>1551</v>
      </c>
      <c r="BQ149" s="1" t="s">
        <v>1539</v>
      </c>
      <c r="BR149" s="1" t="s">
        <v>1589</v>
      </c>
      <c r="BS149" s="1" t="s">
        <v>1581</v>
      </c>
      <c r="BU149" s="1" t="s">
        <v>51</v>
      </c>
      <c r="BW149" s="1" t="s">
        <v>1542</v>
      </c>
      <c r="CA149" s="1" t="s">
        <v>45</v>
      </c>
      <c r="CB149" s="1" t="s">
        <v>45</v>
      </c>
      <c r="CG149" s="1" t="s">
        <v>1988</v>
      </c>
      <c r="CJ149" s="1" t="s">
        <v>45</v>
      </c>
      <c r="DH149" s="1" t="s">
        <v>45</v>
      </c>
      <c r="DM149" s="1" t="s">
        <v>45</v>
      </c>
      <c r="DO149" s="1" t="s">
        <v>45</v>
      </c>
      <c r="DQ149" s="1" t="s">
        <v>45</v>
      </c>
      <c r="DT149" s="32">
        <v>45769</v>
      </c>
      <c r="DU149" s="1" t="s">
        <v>1598</v>
      </c>
      <c r="DV149" s="1">
        <v>18.856767411300901</v>
      </c>
    </row>
    <row r="150" spans="1:130" ht="15.75" customHeight="1" x14ac:dyDescent="0.2">
      <c r="A150" s="8" t="s">
        <v>953</v>
      </c>
      <c r="B150" s="32">
        <v>26877</v>
      </c>
      <c r="C150" s="32">
        <v>43608</v>
      </c>
      <c r="D150" s="1">
        <v>45.807922133924698</v>
      </c>
      <c r="E150" s="1" t="s">
        <v>1523</v>
      </c>
      <c r="F150" s="1" t="s">
        <v>1524</v>
      </c>
      <c r="G150" s="1" t="s">
        <v>1545</v>
      </c>
      <c r="H150" s="1" t="s">
        <v>51</v>
      </c>
      <c r="I150" s="1">
        <v>1.8</v>
      </c>
      <c r="J150" s="1" t="s">
        <v>51</v>
      </c>
      <c r="K150" s="1">
        <v>88.5</v>
      </c>
      <c r="L150" s="1">
        <v>27.314814814814799</v>
      </c>
      <c r="M150" s="1" t="s">
        <v>45</v>
      </c>
      <c r="N150" s="1" t="s">
        <v>45</v>
      </c>
      <c r="O150" s="1" t="s">
        <v>45</v>
      </c>
      <c r="P150" s="1" t="s">
        <v>45</v>
      </c>
      <c r="Q150" s="1" t="s">
        <v>45</v>
      </c>
      <c r="R150" s="1" t="s">
        <v>45</v>
      </c>
      <c r="S150" s="1" t="s">
        <v>45</v>
      </c>
      <c r="T150" s="1" t="s">
        <v>45</v>
      </c>
      <c r="U150" s="1" t="s">
        <v>45</v>
      </c>
      <c r="V150" s="1" t="s">
        <v>45</v>
      </c>
      <c r="W150" s="1" t="s">
        <v>45</v>
      </c>
      <c r="X150" s="1" t="s">
        <v>45</v>
      </c>
      <c r="Y150" s="1" t="s">
        <v>45</v>
      </c>
      <c r="Z150" s="1" t="s">
        <v>45</v>
      </c>
      <c r="AA150" s="1" t="s">
        <v>45</v>
      </c>
      <c r="AB150" s="1" t="s">
        <v>45</v>
      </c>
      <c r="AC150" s="1" t="s">
        <v>45</v>
      </c>
      <c r="AD150" s="1" t="s">
        <v>45</v>
      </c>
      <c r="AE150" s="1" t="s">
        <v>45</v>
      </c>
      <c r="AF150" s="32">
        <v>41440</v>
      </c>
      <c r="AG150" s="1">
        <v>39.872139742773598</v>
      </c>
      <c r="AH150" s="1" t="s">
        <v>1526</v>
      </c>
      <c r="AI150" s="1" t="s">
        <v>1527</v>
      </c>
      <c r="AJ150" s="1" t="s">
        <v>45</v>
      </c>
      <c r="AK150" s="1" t="s">
        <v>51</v>
      </c>
      <c r="AL150" s="1" t="s">
        <v>45</v>
      </c>
      <c r="AM150" s="1" t="s">
        <v>45</v>
      </c>
      <c r="AN150" s="1" t="s">
        <v>45</v>
      </c>
      <c r="AO150" s="1" t="s">
        <v>45</v>
      </c>
      <c r="AP150" s="1" t="s">
        <v>45</v>
      </c>
      <c r="AQ150" s="1" t="s">
        <v>45</v>
      </c>
      <c r="AR150" s="1" t="s">
        <v>45</v>
      </c>
      <c r="AT150" s="1" t="s">
        <v>1601</v>
      </c>
      <c r="AV150" s="1" t="s">
        <v>1989</v>
      </c>
      <c r="AW150" s="33" t="s">
        <v>1463</v>
      </c>
      <c r="AX150" s="3" t="s">
        <v>1601</v>
      </c>
      <c r="AY150" s="3"/>
      <c r="AZ150" s="1">
        <v>3</v>
      </c>
      <c r="BA150" s="1" t="s">
        <v>1978</v>
      </c>
      <c r="BB150" s="1" t="s">
        <v>1567</v>
      </c>
      <c r="BC150" s="1" t="s">
        <v>1602</v>
      </c>
      <c r="BD150" s="1" t="s">
        <v>1990</v>
      </c>
      <c r="BE150" s="1" t="s">
        <v>1603</v>
      </c>
      <c r="BF150" s="1" t="s">
        <v>1534</v>
      </c>
      <c r="BG150" s="1" t="s">
        <v>45</v>
      </c>
      <c r="BH150" s="1" t="s">
        <v>46</v>
      </c>
      <c r="BI150" s="1" t="s">
        <v>1535</v>
      </c>
      <c r="BJ150" s="1" t="s">
        <v>45</v>
      </c>
      <c r="BK150" s="1" t="s">
        <v>1536</v>
      </c>
      <c r="BL150" s="32">
        <v>41440</v>
      </c>
      <c r="BO150" s="1" t="s">
        <v>1537</v>
      </c>
      <c r="BP150" s="1" t="s">
        <v>1538</v>
      </c>
      <c r="BQ150" s="1" t="s">
        <v>1539</v>
      </c>
      <c r="BR150" s="1" t="s">
        <v>1540</v>
      </c>
      <c r="BS150" s="1" t="s">
        <v>50</v>
      </c>
      <c r="BU150" s="1" t="s">
        <v>1525</v>
      </c>
      <c r="BW150" s="1" t="s">
        <v>1542</v>
      </c>
      <c r="CA150" s="1" t="s">
        <v>45</v>
      </c>
      <c r="CB150" s="1" t="s">
        <v>51</v>
      </c>
      <c r="CD150" s="1">
        <v>1.8</v>
      </c>
      <c r="CE150" s="1">
        <v>33</v>
      </c>
      <c r="CF150" s="1" t="s">
        <v>1991</v>
      </c>
      <c r="CG150" s="1" t="s">
        <v>1992</v>
      </c>
      <c r="CI150" s="1" t="s">
        <v>1993</v>
      </c>
      <c r="CJ150" s="1" t="s">
        <v>51</v>
      </c>
      <c r="CL150" s="1" t="s">
        <v>51</v>
      </c>
      <c r="CM150" s="32">
        <v>45197</v>
      </c>
      <c r="CN150" s="1">
        <v>10.2863166252558</v>
      </c>
      <c r="CO150" s="1" t="s">
        <v>1537</v>
      </c>
      <c r="CP150" s="1" t="s">
        <v>1566</v>
      </c>
      <c r="CQ150" s="1" t="s">
        <v>1539</v>
      </c>
      <c r="CR150" s="1" t="s">
        <v>1540</v>
      </c>
      <c r="CS150" s="1" t="s">
        <v>50</v>
      </c>
      <c r="CT150" s="1" t="s">
        <v>1601</v>
      </c>
      <c r="CV150" s="1" t="s">
        <v>1989</v>
      </c>
      <c r="CY150" s="1" t="s">
        <v>1530</v>
      </c>
      <c r="CZ150" s="1" t="s">
        <v>1602</v>
      </c>
      <c r="DA150" s="1" t="s">
        <v>1990</v>
      </c>
      <c r="DB150" s="1" t="s">
        <v>1603</v>
      </c>
      <c r="DC150" s="1" t="s">
        <v>1534</v>
      </c>
      <c r="DD150" s="1" t="s">
        <v>45</v>
      </c>
      <c r="DE150" s="1" t="s">
        <v>46</v>
      </c>
      <c r="DF150" s="1" t="s">
        <v>68</v>
      </c>
      <c r="DG150" s="1" t="s">
        <v>51</v>
      </c>
      <c r="DH150" s="1" t="s">
        <v>45</v>
      </c>
      <c r="DM150" s="1" t="s">
        <v>51</v>
      </c>
      <c r="DN150" s="1" t="s">
        <v>1994</v>
      </c>
      <c r="DO150" s="1" t="s">
        <v>45</v>
      </c>
      <c r="DQ150" s="1" t="s">
        <v>45</v>
      </c>
      <c r="DS150" s="1" t="s">
        <v>1995</v>
      </c>
      <c r="DT150" s="32">
        <v>45666</v>
      </c>
      <c r="DU150" s="1" t="s">
        <v>1598</v>
      </c>
      <c r="DV150" s="1">
        <v>138.83185501533001</v>
      </c>
      <c r="DW150" s="1" t="s">
        <v>45</v>
      </c>
      <c r="DY150" s="32">
        <v>45674</v>
      </c>
      <c r="DZ150" s="1" t="s">
        <v>1544</v>
      </c>
    </row>
    <row r="151" spans="1:130" ht="15.75" customHeight="1" x14ac:dyDescent="0.2">
      <c r="A151" s="8" t="s">
        <v>605</v>
      </c>
      <c r="B151" s="32">
        <v>30245</v>
      </c>
      <c r="C151" s="32">
        <v>45188</v>
      </c>
      <c r="D151" s="1">
        <v>40.912544405429202</v>
      </c>
      <c r="E151" s="1" t="s">
        <v>1523</v>
      </c>
      <c r="F151" s="1" t="s">
        <v>1524</v>
      </c>
      <c r="G151" s="1" t="s">
        <v>1574</v>
      </c>
      <c r="H151" s="1" t="s">
        <v>51</v>
      </c>
      <c r="I151" s="1">
        <v>1.7</v>
      </c>
      <c r="J151" s="1" t="s">
        <v>51</v>
      </c>
      <c r="K151" s="1">
        <v>58.1</v>
      </c>
      <c r="L151" s="1">
        <v>20.103806228373699</v>
      </c>
      <c r="M151" s="1" t="s">
        <v>45</v>
      </c>
      <c r="N151" s="1" t="s">
        <v>45</v>
      </c>
      <c r="O151" s="1" t="s">
        <v>45</v>
      </c>
      <c r="P151" s="1" t="s">
        <v>45</v>
      </c>
      <c r="Q151" s="1" t="s">
        <v>45</v>
      </c>
      <c r="R151" s="1" t="s">
        <v>45</v>
      </c>
      <c r="S151" s="1" t="s">
        <v>45</v>
      </c>
      <c r="T151" s="1" t="s">
        <v>45</v>
      </c>
      <c r="U151" s="1" t="s">
        <v>45</v>
      </c>
      <c r="V151" s="1" t="s">
        <v>45</v>
      </c>
      <c r="W151" s="1" t="s">
        <v>45</v>
      </c>
      <c r="X151" s="1" t="s">
        <v>45</v>
      </c>
      <c r="Y151" s="1" t="s">
        <v>45</v>
      </c>
      <c r="Z151" s="1" t="s">
        <v>45</v>
      </c>
      <c r="AA151" s="1" t="s">
        <v>45</v>
      </c>
      <c r="AB151" s="1" t="s">
        <v>45</v>
      </c>
      <c r="AC151" s="1" t="s">
        <v>51</v>
      </c>
      <c r="AD151" s="1" t="s">
        <v>45</v>
      </c>
      <c r="AE151" s="1" t="s">
        <v>45</v>
      </c>
      <c r="AF151" s="32">
        <v>45202</v>
      </c>
      <c r="AG151" s="1">
        <v>40.950875103527103</v>
      </c>
      <c r="AH151" s="1" t="s">
        <v>1526</v>
      </c>
      <c r="AI151" s="1" t="s">
        <v>1527</v>
      </c>
      <c r="AJ151" s="1" t="s">
        <v>45</v>
      </c>
      <c r="AK151" s="1" t="s">
        <v>51</v>
      </c>
      <c r="AL151" s="1" t="s">
        <v>45</v>
      </c>
      <c r="AM151" s="1" t="s">
        <v>45</v>
      </c>
      <c r="AN151" s="1" t="s">
        <v>45</v>
      </c>
      <c r="AO151" s="1" t="s">
        <v>45</v>
      </c>
      <c r="AP151" s="1" t="s">
        <v>45</v>
      </c>
      <c r="AQ151" s="1" t="s">
        <v>45</v>
      </c>
      <c r="AR151" s="1" t="s">
        <v>45</v>
      </c>
      <c r="AT151" s="1" t="s">
        <v>1601</v>
      </c>
      <c r="AW151" s="33" t="s">
        <v>1463</v>
      </c>
      <c r="AX151" s="3" t="s">
        <v>1601</v>
      </c>
      <c r="AY151" s="3"/>
      <c r="AZ151" s="1">
        <v>3</v>
      </c>
      <c r="BB151" s="1" t="s">
        <v>1567</v>
      </c>
      <c r="BC151" s="1" t="s">
        <v>1602</v>
      </c>
      <c r="BE151" s="1" t="s">
        <v>1525</v>
      </c>
      <c r="BG151" s="1" t="s">
        <v>1525</v>
      </c>
      <c r="BH151" s="1" t="s">
        <v>46</v>
      </c>
      <c r="BI151" s="1" t="s">
        <v>1535</v>
      </c>
      <c r="BJ151" s="1" t="s">
        <v>51</v>
      </c>
      <c r="BK151" s="1" t="s">
        <v>1549</v>
      </c>
      <c r="BL151" s="32">
        <v>45202</v>
      </c>
      <c r="BM151" s="1" t="s">
        <v>606</v>
      </c>
      <c r="BO151" s="1" t="s">
        <v>1537</v>
      </c>
      <c r="BP151" s="1" t="s">
        <v>1551</v>
      </c>
      <c r="BQ151" s="1" t="s">
        <v>1539</v>
      </c>
      <c r="BR151" s="1" t="s">
        <v>1580</v>
      </c>
      <c r="BS151" s="1" t="s">
        <v>1581</v>
      </c>
      <c r="BU151" s="1" t="s">
        <v>51</v>
      </c>
      <c r="BW151" s="1" t="s">
        <v>1542</v>
      </c>
      <c r="CA151" s="1" t="s">
        <v>45</v>
      </c>
      <c r="CB151" s="1" t="s">
        <v>51</v>
      </c>
      <c r="CC151" s="32">
        <v>45320</v>
      </c>
      <c r="CD151" s="1">
        <v>54</v>
      </c>
      <c r="CE151" s="1">
        <v>30</v>
      </c>
      <c r="CI151" s="1" t="s">
        <v>1996</v>
      </c>
      <c r="CJ151" s="1" t="s">
        <v>45</v>
      </c>
      <c r="DH151" s="1" t="s">
        <v>45</v>
      </c>
      <c r="DM151" s="1" t="s">
        <v>45</v>
      </c>
      <c r="DO151" s="1" t="s">
        <v>45</v>
      </c>
      <c r="DQ151" s="1" t="s">
        <v>45</v>
      </c>
      <c r="DT151" s="32">
        <v>45758</v>
      </c>
      <c r="DU151" s="1" t="s">
        <v>1598</v>
      </c>
      <c r="DV151" s="1">
        <v>18.265440210249601</v>
      </c>
    </row>
    <row r="152" spans="1:130" ht="15.75" customHeight="1" x14ac:dyDescent="0.2">
      <c r="A152" s="8" t="s">
        <v>609</v>
      </c>
      <c r="B152" s="32">
        <v>37547</v>
      </c>
      <c r="C152" s="32">
        <v>44935</v>
      </c>
      <c r="D152" s="1">
        <v>20.2277710470897</v>
      </c>
      <c r="E152" s="1" t="s">
        <v>1523</v>
      </c>
      <c r="F152" s="1" t="s">
        <v>1524</v>
      </c>
      <c r="G152" s="1" t="s">
        <v>1545</v>
      </c>
      <c r="H152" s="1" t="s">
        <v>51</v>
      </c>
      <c r="I152" s="1">
        <v>1.73</v>
      </c>
      <c r="J152" s="1" t="s">
        <v>51</v>
      </c>
      <c r="K152" s="1">
        <v>120.2</v>
      </c>
      <c r="L152" s="1">
        <v>40.161716061345103</v>
      </c>
      <c r="M152" s="1" t="s">
        <v>45</v>
      </c>
      <c r="N152" s="1" t="s">
        <v>45</v>
      </c>
      <c r="O152" s="1" t="s">
        <v>45</v>
      </c>
      <c r="P152" s="1" t="s">
        <v>45</v>
      </c>
      <c r="Q152" s="1" t="s">
        <v>45</v>
      </c>
      <c r="R152" s="1" t="s">
        <v>45</v>
      </c>
      <c r="S152" s="1" t="s">
        <v>45</v>
      </c>
      <c r="T152" s="1" t="s">
        <v>45</v>
      </c>
      <c r="U152" s="1" t="s">
        <v>45</v>
      </c>
      <c r="V152" s="1" t="s">
        <v>45</v>
      </c>
      <c r="W152" s="1" t="s">
        <v>45</v>
      </c>
      <c r="X152" s="1" t="s">
        <v>45</v>
      </c>
      <c r="Y152" s="1" t="s">
        <v>45</v>
      </c>
      <c r="Z152" s="1" t="s">
        <v>45</v>
      </c>
      <c r="AA152" s="1" t="s">
        <v>45</v>
      </c>
      <c r="AB152" s="1" t="s">
        <v>45</v>
      </c>
      <c r="AC152" s="1" t="s">
        <v>45</v>
      </c>
      <c r="AD152" s="1" t="s">
        <v>45</v>
      </c>
      <c r="AE152" s="1" t="s">
        <v>45</v>
      </c>
      <c r="AF152" s="32">
        <v>45203</v>
      </c>
      <c r="AG152" s="1">
        <v>20.961416045503999</v>
      </c>
      <c r="AH152" s="1" t="s">
        <v>1558</v>
      </c>
      <c r="AI152" s="1" t="s">
        <v>1527</v>
      </c>
      <c r="AJ152" s="1" t="s">
        <v>45</v>
      </c>
      <c r="AK152" s="1" t="s">
        <v>51</v>
      </c>
      <c r="AL152" s="1" t="s">
        <v>45</v>
      </c>
      <c r="AM152" s="1" t="s">
        <v>45</v>
      </c>
      <c r="AN152" s="1" t="s">
        <v>45</v>
      </c>
      <c r="AO152" s="1" t="s">
        <v>45</v>
      </c>
      <c r="AP152" s="1" t="s">
        <v>45</v>
      </c>
      <c r="AQ152" s="1" t="s">
        <v>45</v>
      </c>
      <c r="AR152" s="1" t="s">
        <v>45</v>
      </c>
      <c r="AT152" s="1" t="s">
        <v>1560</v>
      </c>
      <c r="AW152" s="33" t="s">
        <v>1464</v>
      </c>
      <c r="AX152" s="3"/>
      <c r="AY152" s="3" t="s">
        <v>1560</v>
      </c>
      <c r="AZ152" s="1">
        <v>2</v>
      </c>
      <c r="BB152" s="1" t="s">
        <v>1567</v>
      </c>
      <c r="BC152" s="1" t="s">
        <v>1531</v>
      </c>
      <c r="BE152" s="1" t="s">
        <v>1525</v>
      </c>
      <c r="BG152" s="1" t="s">
        <v>1525</v>
      </c>
      <c r="BH152" s="1" t="s">
        <v>46</v>
      </c>
      <c r="BI152" s="1" t="s">
        <v>1599</v>
      </c>
      <c r="BJ152" s="1" t="s">
        <v>45</v>
      </c>
      <c r="BK152" s="1" t="s">
        <v>1549</v>
      </c>
      <c r="BL152" s="32">
        <v>45203</v>
      </c>
      <c r="BM152" s="1" t="s">
        <v>610</v>
      </c>
      <c r="BO152" s="1" t="s">
        <v>1537</v>
      </c>
      <c r="BP152" s="1" t="s">
        <v>1551</v>
      </c>
      <c r="BQ152" s="1" t="s">
        <v>1539</v>
      </c>
      <c r="BR152" s="1" t="s">
        <v>1589</v>
      </c>
      <c r="BS152" s="1" t="s">
        <v>1640</v>
      </c>
      <c r="BU152" s="1" t="s">
        <v>51</v>
      </c>
      <c r="BW152" s="1" t="s">
        <v>1563</v>
      </c>
      <c r="BX152" s="32">
        <v>45322</v>
      </c>
      <c r="BY152" s="1">
        <v>12</v>
      </c>
      <c r="BZ152" s="1" t="s">
        <v>1591</v>
      </c>
      <c r="CA152" s="1" t="s">
        <v>51</v>
      </c>
      <c r="CB152" s="1" t="s">
        <v>51</v>
      </c>
      <c r="CC152" s="32">
        <v>45243</v>
      </c>
      <c r="CD152" s="1">
        <v>54</v>
      </c>
      <c r="CE152" s="1">
        <v>30</v>
      </c>
      <c r="CJ152" s="1" t="s">
        <v>45</v>
      </c>
      <c r="DH152" s="1" t="s">
        <v>45</v>
      </c>
      <c r="DM152" s="1" t="s">
        <v>45</v>
      </c>
      <c r="DO152" s="1" t="s">
        <v>45</v>
      </c>
      <c r="DQ152" s="1" t="s">
        <v>45</v>
      </c>
      <c r="DT152" s="32">
        <v>45740</v>
      </c>
      <c r="DU152" s="1" t="s">
        <v>1598</v>
      </c>
      <c r="DV152" s="1">
        <v>17.6412614980289</v>
      </c>
    </row>
    <row r="153" spans="1:130" ht="15.75" customHeight="1" x14ac:dyDescent="0.2">
      <c r="A153" s="8" t="s">
        <v>611</v>
      </c>
      <c r="B153" s="32">
        <v>23779</v>
      </c>
      <c r="C153" s="32">
        <v>45201</v>
      </c>
      <c r="D153" s="1">
        <v>58.651329824249103</v>
      </c>
      <c r="E153" s="1" t="s">
        <v>1523</v>
      </c>
      <c r="F153" s="1" t="s">
        <v>1524</v>
      </c>
      <c r="G153" s="1" t="s">
        <v>1686</v>
      </c>
      <c r="H153" s="1" t="s">
        <v>51</v>
      </c>
      <c r="I153" s="1">
        <v>1.804</v>
      </c>
      <c r="J153" s="1" t="s">
        <v>51</v>
      </c>
      <c r="K153" s="1">
        <v>84.8</v>
      </c>
      <c r="L153" s="1">
        <v>26.0569023751112</v>
      </c>
      <c r="M153" s="1" t="s">
        <v>45</v>
      </c>
      <c r="N153" s="1" t="s">
        <v>45</v>
      </c>
      <c r="O153" s="1" t="s">
        <v>45</v>
      </c>
      <c r="P153" s="1" t="s">
        <v>45</v>
      </c>
      <c r="Q153" s="1" t="s">
        <v>45</v>
      </c>
      <c r="R153" s="1" t="s">
        <v>45</v>
      </c>
      <c r="S153" s="1" t="s">
        <v>45</v>
      </c>
      <c r="T153" s="1" t="s">
        <v>45</v>
      </c>
      <c r="U153" s="1" t="s">
        <v>45</v>
      </c>
      <c r="V153" s="1" t="s">
        <v>45</v>
      </c>
      <c r="W153" s="1" t="s">
        <v>45</v>
      </c>
      <c r="X153" s="1" t="s">
        <v>45</v>
      </c>
      <c r="Y153" s="1" t="s">
        <v>45</v>
      </c>
      <c r="Z153" s="1" t="s">
        <v>45</v>
      </c>
      <c r="AA153" s="1" t="s">
        <v>45</v>
      </c>
      <c r="AB153" s="1" t="s">
        <v>45</v>
      </c>
      <c r="AC153" s="1" t="s">
        <v>45</v>
      </c>
      <c r="AD153" s="1" t="s">
        <v>45</v>
      </c>
      <c r="AE153" s="1" t="s">
        <v>45</v>
      </c>
      <c r="AF153" s="32">
        <v>45209</v>
      </c>
      <c r="AG153" s="1">
        <v>58.673233080305003</v>
      </c>
      <c r="AH153" s="1" t="s">
        <v>1558</v>
      </c>
      <c r="AI153" s="1" t="s">
        <v>1527</v>
      </c>
      <c r="AJ153" s="1" t="s">
        <v>45</v>
      </c>
      <c r="AK153" s="1" t="s">
        <v>51</v>
      </c>
      <c r="AL153" s="1" t="s">
        <v>45</v>
      </c>
      <c r="AM153" s="1" t="s">
        <v>45</v>
      </c>
      <c r="AN153" s="1" t="s">
        <v>45</v>
      </c>
      <c r="AO153" s="1" t="s">
        <v>45</v>
      </c>
      <c r="AP153" s="1" t="s">
        <v>45</v>
      </c>
      <c r="AQ153" s="1" t="s">
        <v>45</v>
      </c>
      <c r="AR153" s="1" t="s">
        <v>45</v>
      </c>
      <c r="AT153" s="1" t="s">
        <v>1601</v>
      </c>
      <c r="AW153" s="33" t="s">
        <v>1464</v>
      </c>
      <c r="AX153" s="3"/>
      <c r="AY153" s="3" t="s">
        <v>1601</v>
      </c>
      <c r="AZ153" s="1">
        <v>2</v>
      </c>
      <c r="BB153" s="1" t="s">
        <v>1567</v>
      </c>
      <c r="BC153" s="1" t="s">
        <v>1602</v>
      </c>
      <c r="BE153" s="1" t="s">
        <v>1525</v>
      </c>
      <c r="BG153" s="1" t="s">
        <v>1525</v>
      </c>
      <c r="BH153" s="1" t="s">
        <v>1525</v>
      </c>
      <c r="BI153" s="1" t="s">
        <v>1535</v>
      </c>
      <c r="BJ153" s="1" t="s">
        <v>45</v>
      </c>
      <c r="BK153" s="1" t="s">
        <v>1549</v>
      </c>
      <c r="BL153" s="32">
        <v>45201</v>
      </c>
      <c r="BM153" s="1" t="s">
        <v>612</v>
      </c>
      <c r="BO153" s="1" t="s">
        <v>1537</v>
      </c>
      <c r="BP153" s="1" t="s">
        <v>1551</v>
      </c>
      <c r="BQ153" s="1" t="s">
        <v>1539</v>
      </c>
      <c r="BR153" s="1" t="s">
        <v>1580</v>
      </c>
      <c r="BS153" s="1" t="s">
        <v>1581</v>
      </c>
      <c r="BU153" s="1" t="s">
        <v>51</v>
      </c>
      <c r="BW153" s="1" t="s">
        <v>1542</v>
      </c>
      <c r="CA153" s="1" t="s">
        <v>45</v>
      </c>
      <c r="CB153" s="1" t="s">
        <v>45</v>
      </c>
      <c r="CG153" s="1" t="s">
        <v>1997</v>
      </c>
      <c r="CJ153" s="1" t="s">
        <v>45</v>
      </c>
      <c r="DH153" s="1" t="s">
        <v>45</v>
      </c>
      <c r="DM153" s="1" t="s">
        <v>45</v>
      </c>
      <c r="DO153" s="1" t="s">
        <v>45</v>
      </c>
      <c r="DQ153" s="1" t="s">
        <v>45</v>
      </c>
      <c r="DT153" s="32">
        <v>45769</v>
      </c>
      <c r="DU153" s="1" t="s">
        <v>1598</v>
      </c>
      <c r="DV153" s="1">
        <v>18.396846254927699</v>
      </c>
      <c r="DW153" s="1" t="s">
        <v>45</v>
      </c>
    </row>
    <row r="154" spans="1:130" ht="15.75" customHeight="1" x14ac:dyDescent="0.2">
      <c r="A154" s="8" t="s">
        <v>957</v>
      </c>
      <c r="B154" s="32">
        <v>24532</v>
      </c>
      <c r="C154" s="32">
        <v>42822</v>
      </c>
      <c r="D154" s="1">
        <v>50.076205078361099</v>
      </c>
      <c r="E154" s="1" t="s">
        <v>1587</v>
      </c>
      <c r="F154" s="1" t="s">
        <v>1524</v>
      </c>
      <c r="G154" s="1" t="s">
        <v>1545</v>
      </c>
      <c r="H154" s="1" t="s">
        <v>51</v>
      </c>
      <c r="I154" s="1">
        <v>1.57</v>
      </c>
      <c r="J154" s="1" t="s">
        <v>51</v>
      </c>
      <c r="K154" s="1">
        <v>73.3</v>
      </c>
      <c r="L154" s="1">
        <v>29.737514706478901</v>
      </c>
      <c r="M154" s="1" t="s">
        <v>45</v>
      </c>
      <c r="N154" s="1" t="s">
        <v>45</v>
      </c>
      <c r="O154" s="1" t="s">
        <v>45</v>
      </c>
      <c r="P154" s="1" t="s">
        <v>51</v>
      </c>
      <c r="Q154" s="1" t="s">
        <v>45</v>
      </c>
      <c r="R154" s="1" t="s">
        <v>45</v>
      </c>
      <c r="S154" s="1" t="s">
        <v>45</v>
      </c>
      <c r="T154" s="1" t="s">
        <v>45</v>
      </c>
      <c r="U154" s="1" t="s">
        <v>51</v>
      </c>
      <c r="V154" s="1" t="s">
        <v>45</v>
      </c>
      <c r="W154" s="1" t="s">
        <v>45</v>
      </c>
      <c r="X154" s="1" t="s">
        <v>51</v>
      </c>
      <c r="Y154" s="1" t="s">
        <v>45</v>
      </c>
      <c r="Z154" s="1" t="s">
        <v>45</v>
      </c>
      <c r="AA154" s="1" t="s">
        <v>45</v>
      </c>
      <c r="AB154" s="1" t="s">
        <v>45</v>
      </c>
      <c r="AC154" s="1" t="s">
        <v>45</v>
      </c>
      <c r="AD154" s="1" t="s">
        <v>45</v>
      </c>
      <c r="AE154" s="1" t="s">
        <v>45</v>
      </c>
      <c r="AF154" s="32">
        <v>43033</v>
      </c>
      <c r="AG154" s="1">
        <v>50.6539034568357</v>
      </c>
      <c r="AH154" s="1" t="s">
        <v>1526</v>
      </c>
      <c r="AI154" s="1" t="s">
        <v>1527</v>
      </c>
      <c r="AJ154" s="1" t="s">
        <v>45</v>
      </c>
      <c r="AK154" s="1" t="s">
        <v>51</v>
      </c>
      <c r="AL154" s="1" t="s">
        <v>45</v>
      </c>
      <c r="AM154" s="1" t="s">
        <v>51</v>
      </c>
      <c r="AN154" s="1" t="s">
        <v>45</v>
      </c>
      <c r="AO154" s="1" t="s">
        <v>45</v>
      </c>
      <c r="AP154" s="1" t="s">
        <v>45</v>
      </c>
      <c r="AQ154" s="1" t="s">
        <v>45</v>
      </c>
      <c r="AR154" s="1" t="s">
        <v>45</v>
      </c>
      <c r="AT154" s="1" t="s">
        <v>1528</v>
      </c>
      <c r="AV154" s="1" t="s">
        <v>1998</v>
      </c>
      <c r="AW154" s="33" t="s">
        <v>1463</v>
      </c>
      <c r="AX154" s="3" t="s">
        <v>1528</v>
      </c>
      <c r="AY154" s="3"/>
      <c r="AZ154" s="1">
        <v>4</v>
      </c>
      <c r="BA154" s="1" t="s">
        <v>1529</v>
      </c>
      <c r="BB154" s="1" t="s">
        <v>1530</v>
      </c>
      <c r="BC154" s="1" t="s">
        <v>1531</v>
      </c>
      <c r="BD154" s="1" t="s">
        <v>1532</v>
      </c>
      <c r="BE154" s="1" t="s">
        <v>1603</v>
      </c>
      <c r="BF154" s="1" t="s">
        <v>1534</v>
      </c>
      <c r="BG154" s="1" t="s">
        <v>45</v>
      </c>
      <c r="BH154" s="1" t="s">
        <v>1525</v>
      </c>
      <c r="BI154" s="1" t="s">
        <v>1535</v>
      </c>
      <c r="BJ154" s="1" t="s">
        <v>51</v>
      </c>
      <c r="BK154" s="1" t="s">
        <v>1536</v>
      </c>
      <c r="BL154" s="32">
        <v>43033</v>
      </c>
      <c r="BO154" s="1" t="s">
        <v>1537</v>
      </c>
      <c r="BP154" s="1" t="s">
        <v>1538</v>
      </c>
      <c r="BQ154" s="1" t="s">
        <v>1539</v>
      </c>
      <c r="BR154" s="1" t="s">
        <v>1552</v>
      </c>
      <c r="BS154" s="1" t="s">
        <v>50</v>
      </c>
      <c r="BU154" s="1" t="s">
        <v>51</v>
      </c>
      <c r="BV154" s="1" t="s">
        <v>1541</v>
      </c>
      <c r="BW154" s="1" t="s">
        <v>1563</v>
      </c>
      <c r="BX154" s="32">
        <v>43068</v>
      </c>
      <c r="BY154" s="1">
        <v>12</v>
      </c>
      <c r="BZ154" s="1" t="s">
        <v>1999</v>
      </c>
      <c r="CA154" s="1" t="s">
        <v>51</v>
      </c>
      <c r="CB154" s="1" t="s">
        <v>51</v>
      </c>
      <c r="CC154" s="32">
        <v>43068</v>
      </c>
      <c r="CD154" s="1">
        <v>60</v>
      </c>
      <c r="CE154" s="1">
        <v>30</v>
      </c>
      <c r="CF154" s="1" t="s">
        <v>2000</v>
      </c>
      <c r="CG154" s="1" t="s">
        <v>2001</v>
      </c>
      <c r="CI154" s="1" t="s">
        <v>2002</v>
      </c>
      <c r="CJ154" s="1" t="s">
        <v>51</v>
      </c>
      <c r="CK154" s="32">
        <v>45177</v>
      </c>
      <c r="CL154" s="1" t="s">
        <v>51</v>
      </c>
      <c r="CM154" s="32">
        <v>45210</v>
      </c>
      <c r="CN154" s="1">
        <v>5.9604235542139801</v>
      </c>
      <c r="CO154" s="1" t="s">
        <v>1537</v>
      </c>
      <c r="CP154" s="1" t="s">
        <v>1566</v>
      </c>
      <c r="CQ154" s="1" t="s">
        <v>1539</v>
      </c>
      <c r="CR154" s="1" t="s">
        <v>1552</v>
      </c>
      <c r="CS154" s="1" t="s">
        <v>50</v>
      </c>
      <c r="CT154" s="1" t="s">
        <v>1528</v>
      </c>
      <c r="CV154" s="1" t="s">
        <v>1998</v>
      </c>
      <c r="CW154" s="1">
        <v>4</v>
      </c>
      <c r="CX154" s="1" t="s">
        <v>1529</v>
      </c>
      <c r="CY154" s="1" t="s">
        <v>1530</v>
      </c>
      <c r="CZ154" s="1" t="s">
        <v>1531</v>
      </c>
      <c r="DA154" s="1" t="s">
        <v>1532</v>
      </c>
      <c r="DB154" s="1" t="s">
        <v>1603</v>
      </c>
      <c r="DC154" s="1" t="s">
        <v>1534</v>
      </c>
      <c r="DD154" s="1" t="s">
        <v>45</v>
      </c>
      <c r="DE154" s="1" t="s">
        <v>46</v>
      </c>
      <c r="DF154" s="1" t="s">
        <v>68</v>
      </c>
      <c r="DG154" s="1" t="s">
        <v>51</v>
      </c>
      <c r="DH154" s="1" t="s">
        <v>45</v>
      </c>
      <c r="DM154" s="1" t="s">
        <v>45</v>
      </c>
      <c r="DO154" s="1" t="s">
        <v>45</v>
      </c>
      <c r="DQ154" s="1" t="s">
        <v>45</v>
      </c>
      <c r="DT154" s="32">
        <v>45346</v>
      </c>
      <c r="DU154" s="1" t="s">
        <v>1543</v>
      </c>
      <c r="DV154" s="1">
        <v>75.986914148050801</v>
      </c>
      <c r="DW154" s="1" t="s">
        <v>45</v>
      </c>
      <c r="DY154" s="32">
        <v>45674</v>
      </c>
      <c r="DZ154" s="1" t="s">
        <v>1544</v>
      </c>
    </row>
    <row r="155" spans="1:130" ht="15.75" customHeight="1" x14ac:dyDescent="0.2">
      <c r="A155" s="8" t="s">
        <v>960</v>
      </c>
      <c r="B155" s="32">
        <v>19115</v>
      </c>
      <c r="C155" s="32">
        <v>45203</v>
      </c>
      <c r="D155" s="1">
        <v>71.4265179983161</v>
      </c>
      <c r="E155" s="1" t="s">
        <v>1523</v>
      </c>
      <c r="F155" s="1" t="s">
        <v>1524</v>
      </c>
      <c r="G155" s="1" t="s">
        <v>1686</v>
      </c>
      <c r="H155" s="1" t="s">
        <v>51</v>
      </c>
      <c r="I155" s="1">
        <v>1.7</v>
      </c>
      <c r="J155" s="1" t="s">
        <v>51</v>
      </c>
      <c r="K155" s="1">
        <v>58.4</v>
      </c>
      <c r="L155" s="1">
        <v>20.207612456747398</v>
      </c>
      <c r="M155" s="1" t="s">
        <v>45</v>
      </c>
      <c r="N155" s="1" t="s">
        <v>45</v>
      </c>
      <c r="O155" s="1" t="s">
        <v>51</v>
      </c>
      <c r="P155" s="1" t="s">
        <v>51</v>
      </c>
      <c r="Q155" s="1" t="s">
        <v>45</v>
      </c>
      <c r="R155" s="1" t="s">
        <v>45</v>
      </c>
      <c r="S155" s="1" t="s">
        <v>45</v>
      </c>
      <c r="T155" s="1" t="s">
        <v>45</v>
      </c>
      <c r="U155" s="1" t="s">
        <v>45</v>
      </c>
      <c r="V155" s="1" t="s">
        <v>45</v>
      </c>
      <c r="W155" s="1" t="s">
        <v>45</v>
      </c>
      <c r="X155" s="1" t="s">
        <v>45</v>
      </c>
      <c r="Y155" s="1" t="s">
        <v>45</v>
      </c>
      <c r="Z155" s="1" t="s">
        <v>45</v>
      </c>
      <c r="AA155" s="1" t="s">
        <v>51</v>
      </c>
      <c r="AB155" s="1" t="s">
        <v>45</v>
      </c>
      <c r="AC155" s="1" t="s">
        <v>45</v>
      </c>
      <c r="AD155" s="1" t="s">
        <v>45</v>
      </c>
      <c r="AE155" s="1" t="s">
        <v>45</v>
      </c>
      <c r="AF155" s="32">
        <v>45203</v>
      </c>
      <c r="AG155" s="1">
        <v>71.4265179983161</v>
      </c>
      <c r="AH155" s="1" t="s">
        <v>1613</v>
      </c>
      <c r="AI155" s="1" t="s">
        <v>1527</v>
      </c>
      <c r="AJ155" s="1" t="s">
        <v>45</v>
      </c>
      <c r="AK155" s="1" t="s">
        <v>45</v>
      </c>
      <c r="AL155" s="1" t="s">
        <v>51</v>
      </c>
      <c r="AM155" s="1" t="s">
        <v>45</v>
      </c>
      <c r="AN155" s="1" t="s">
        <v>51</v>
      </c>
      <c r="AO155" s="1" t="s">
        <v>45</v>
      </c>
      <c r="AP155" s="1" t="s">
        <v>51</v>
      </c>
      <c r="AQ155" s="1" t="s">
        <v>51</v>
      </c>
      <c r="AR155" s="1" t="s">
        <v>51</v>
      </c>
      <c r="AS155" s="1" t="s">
        <v>2003</v>
      </c>
      <c r="AT155" s="1" t="s">
        <v>1528</v>
      </c>
      <c r="AW155" s="33" t="s">
        <v>1463</v>
      </c>
      <c r="AX155" s="3" t="s">
        <v>1528</v>
      </c>
      <c r="AY155" s="3"/>
      <c r="AZ155" s="1">
        <v>4</v>
      </c>
      <c r="BA155" s="1" t="s">
        <v>1529</v>
      </c>
      <c r="BB155" s="1" t="s">
        <v>1530</v>
      </c>
      <c r="BC155" s="1" t="s">
        <v>1531</v>
      </c>
      <c r="BD155" s="1" t="s">
        <v>1532</v>
      </c>
      <c r="BE155" s="1" t="s">
        <v>1603</v>
      </c>
      <c r="BF155" s="1" t="s">
        <v>1534</v>
      </c>
      <c r="BG155" s="1" t="s">
        <v>45</v>
      </c>
      <c r="BH155" s="1" t="s">
        <v>46</v>
      </c>
      <c r="BI155" s="1" t="s">
        <v>1535</v>
      </c>
      <c r="BJ155" s="1" t="s">
        <v>51</v>
      </c>
      <c r="BK155" s="1" t="s">
        <v>1536</v>
      </c>
      <c r="BL155" s="32">
        <v>45211</v>
      </c>
      <c r="BM155" s="1" t="s">
        <v>961</v>
      </c>
      <c r="BO155" s="1" t="s">
        <v>1537</v>
      </c>
      <c r="BP155" s="1" t="s">
        <v>1538</v>
      </c>
      <c r="BQ155" s="1" t="s">
        <v>1539</v>
      </c>
      <c r="BR155" s="1" t="s">
        <v>1540</v>
      </c>
      <c r="BS155" s="1" t="s">
        <v>106</v>
      </c>
      <c r="BU155" s="1" t="s">
        <v>51</v>
      </c>
      <c r="BV155" s="1" t="s">
        <v>1541</v>
      </c>
      <c r="BW155" s="1" t="s">
        <v>1542</v>
      </c>
      <c r="CA155" s="1" t="s">
        <v>45</v>
      </c>
      <c r="CB155" s="1" t="s">
        <v>45</v>
      </c>
      <c r="CJ155" s="1" t="s">
        <v>45</v>
      </c>
      <c r="DH155" s="1" t="s">
        <v>45</v>
      </c>
      <c r="DM155" s="1" t="s">
        <v>45</v>
      </c>
      <c r="DO155" s="1" t="s">
        <v>45</v>
      </c>
      <c r="DQ155" s="1" t="s">
        <v>45</v>
      </c>
      <c r="DT155" s="32">
        <v>45241</v>
      </c>
      <c r="DU155" s="1" t="s">
        <v>1543</v>
      </c>
      <c r="DV155" s="1">
        <v>1.24972623740692</v>
      </c>
      <c r="DW155" s="1" t="s">
        <v>45</v>
      </c>
      <c r="DY155" s="32">
        <v>45672</v>
      </c>
      <c r="DZ155" s="1" t="s">
        <v>1544</v>
      </c>
    </row>
    <row r="156" spans="1:130" ht="15.75" customHeight="1" x14ac:dyDescent="0.2">
      <c r="A156" s="8" t="s">
        <v>614</v>
      </c>
      <c r="B156" s="32">
        <v>29179</v>
      </c>
      <c r="C156" s="32">
        <v>45168</v>
      </c>
      <c r="D156" s="1">
        <v>43.776281055280599</v>
      </c>
      <c r="E156" s="1" t="s">
        <v>1587</v>
      </c>
      <c r="F156" s="1" t="s">
        <v>1578</v>
      </c>
      <c r="G156" s="1" t="s">
        <v>1574</v>
      </c>
      <c r="H156" s="1" t="s">
        <v>51</v>
      </c>
      <c r="I156" s="1">
        <v>1.756</v>
      </c>
      <c r="J156" s="1" t="s">
        <v>51</v>
      </c>
      <c r="K156" s="1">
        <v>81.099999999999994</v>
      </c>
      <c r="L156" s="1">
        <v>26.300973946793501</v>
      </c>
      <c r="M156" s="1" t="s">
        <v>45</v>
      </c>
      <c r="N156" s="1" t="s">
        <v>45</v>
      </c>
      <c r="O156" s="1" t="s">
        <v>45</v>
      </c>
      <c r="P156" s="1" t="s">
        <v>45</v>
      </c>
      <c r="Q156" s="1" t="s">
        <v>45</v>
      </c>
      <c r="R156" s="1" t="s">
        <v>45</v>
      </c>
      <c r="S156" s="1" t="s">
        <v>45</v>
      </c>
      <c r="T156" s="1" t="s">
        <v>45</v>
      </c>
      <c r="U156" s="1" t="s">
        <v>45</v>
      </c>
      <c r="V156" s="1" t="s">
        <v>45</v>
      </c>
      <c r="W156" s="1" t="s">
        <v>45</v>
      </c>
      <c r="X156" s="1" t="s">
        <v>45</v>
      </c>
      <c r="Y156" s="1" t="s">
        <v>45</v>
      </c>
      <c r="Z156" s="1" t="s">
        <v>45</v>
      </c>
      <c r="AA156" s="1" t="s">
        <v>45</v>
      </c>
      <c r="AB156" s="1" t="s">
        <v>45</v>
      </c>
      <c r="AC156" s="1" t="s">
        <v>45</v>
      </c>
      <c r="AD156" s="1" t="s">
        <v>45</v>
      </c>
      <c r="AE156" s="1" t="s">
        <v>45</v>
      </c>
      <c r="AF156" s="32">
        <v>45216</v>
      </c>
      <c r="AG156" s="1">
        <v>43.907700591615999</v>
      </c>
      <c r="AH156" s="1" t="s">
        <v>1526</v>
      </c>
      <c r="AI156" s="1" t="s">
        <v>1527</v>
      </c>
      <c r="AJ156" s="1" t="s">
        <v>45</v>
      </c>
      <c r="AK156" s="1" t="s">
        <v>51</v>
      </c>
      <c r="AL156" s="1" t="s">
        <v>45</v>
      </c>
      <c r="AM156" s="1" t="s">
        <v>45</v>
      </c>
      <c r="AN156" s="1" t="s">
        <v>45</v>
      </c>
      <c r="AO156" s="1" t="s">
        <v>45</v>
      </c>
      <c r="AP156" s="1" t="s">
        <v>45</v>
      </c>
      <c r="AQ156" s="1" t="s">
        <v>45</v>
      </c>
      <c r="AR156" s="1" t="s">
        <v>45</v>
      </c>
      <c r="AT156" s="1" t="s">
        <v>1560</v>
      </c>
      <c r="AW156" s="33" t="s">
        <v>1464</v>
      </c>
      <c r="AX156" s="3"/>
      <c r="AY156" s="3" t="s">
        <v>1560</v>
      </c>
      <c r="AZ156" s="1">
        <v>2</v>
      </c>
      <c r="BB156" s="1" t="s">
        <v>1567</v>
      </c>
      <c r="BC156" s="1" t="s">
        <v>1531</v>
      </c>
      <c r="BE156" s="1" t="s">
        <v>1525</v>
      </c>
      <c r="BG156" s="1" t="s">
        <v>1525</v>
      </c>
      <c r="BH156" s="1" t="s">
        <v>46</v>
      </c>
      <c r="BI156" s="1" t="s">
        <v>1599</v>
      </c>
      <c r="BJ156" s="1" t="s">
        <v>45</v>
      </c>
      <c r="BK156" s="1" t="s">
        <v>1549</v>
      </c>
      <c r="BL156" s="32">
        <v>45216</v>
      </c>
      <c r="BM156" s="1" t="s">
        <v>615</v>
      </c>
      <c r="BO156" s="1" t="s">
        <v>1537</v>
      </c>
      <c r="BP156" s="1" t="s">
        <v>1551</v>
      </c>
      <c r="BQ156" s="1" t="s">
        <v>1539</v>
      </c>
      <c r="BR156" s="1" t="s">
        <v>1589</v>
      </c>
      <c r="BS156" s="1" t="s">
        <v>2004</v>
      </c>
      <c r="BU156" s="1" t="s">
        <v>51</v>
      </c>
      <c r="BW156" s="1" t="s">
        <v>1563</v>
      </c>
      <c r="BX156" s="32">
        <v>45399</v>
      </c>
      <c r="BY156" s="1">
        <v>11</v>
      </c>
      <c r="BZ156" s="1" t="s">
        <v>2005</v>
      </c>
      <c r="CA156" s="1" t="s">
        <v>51</v>
      </c>
      <c r="CB156" s="1" t="s">
        <v>51</v>
      </c>
      <c r="CC156" s="32">
        <v>45313</v>
      </c>
      <c r="CD156" s="1">
        <v>54</v>
      </c>
      <c r="CE156" s="1">
        <v>30</v>
      </c>
      <c r="CJ156" s="1" t="s">
        <v>45</v>
      </c>
      <c r="DH156" s="1" t="s">
        <v>45</v>
      </c>
      <c r="DM156" s="1" t="s">
        <v>45</v>
      </c>
      <c r="DO156" s="1" t="s">
        <v>45</v>
      </c>
      <c r="DQ156" s="1" t="s">
        <v>45</v>
      </c>
      <c r="DT156" s="32">
        <v>45698</v>
      </c>
      <c r="DU156" s="1" t="s">
        <v>1598</v>
      </c>
      <c r="DV156" s="1">
        <v>15.835797196671001</v>
      </c>
      <c r="DW156" s="1" t="s">
        <v>45</v>
      </c>
    </row>
    <row r="157" spans="1:130" ht="15.75" customHeight="1" x14ac:dyDescent="0.2">
      <c r="A157" s="8" t="s">
        <v>616</v>
      </c>
      <c r="B157" s="32">
        <v>31508</v>
      </c>
      <c r="C157" s="32">
        <v>45212</v>
      </c>
      <c r="D157" s="1">
        <v>37.520163544311799</v>
      </c>
      <c r="E157" s="1" t="s">
        <v>1587</v>
      </c>
      <c r="F157" s="1" t="s">
        <v>1524</v>
      </c>
      <c r="G157" s="1" t="s">
        <v>1525</v>
      </c>
      <c r="H157" s="1" t="s">
        <v>51</v>
      </c>
      <c r="I157" s="1">
        <v>1.528</v>
      </c>
      <c r="J157" s="1" t="s">
        <v>51</v>
      </c>
      <c r="K157" s="1">
        <v>70</v>
      </c>
      <c r="L157" s="1">
        <v>29.981360160083302</v>
      </c>
      <c r="M157" s="1" t="s">
        <v>45</v>
      </c>
      <c r="N157" s="1" t="s">
        <v>45</v>
      </c>
      <c r="O157" s="1" t="s">
        <v>45</v>
      </c>
      <c r="P157" s="1" t="s">
        <v>45</v>
      </c>
      <c r="Q157" s="1" t="s">
        <v>45</v>
      </c>
      <c r="R157" s="1" t="s">
        <v>45</v>
      </c>
      <c r="S157" s="1" t="s">
        <v>45</v>
      </c>
      <c r="T157" s="1" t="s">
        <v>45</v>
      </c>
      <c r="U157" s="1" t="s">
        <v>45</v>
      </c>
      <c r="V157" s="1" t="s">
        <v>45</v>
      </c>
      <c r="W157" s="1" t="s">
        <v>45</v>
      </c>
      <c r="X157" s="1" t="s">
        <v>45</v>
      </c>
      <c r="Y157" s="1" t="s">
        <v>45</v>
      </c>
      <c r="Z157" s="1" t="s">
        <v>45</v>
      </c>
      <c r="AA157" s="1" t="s">
        <v>45</v>
      </c>
      <c r="AB157" s="1" t="s">
        <v>45</v>
      </c>
      <c r="AC157" s="1" t="s">
        <v>45</v>
      </c>
      <c r="AD157" s="1" t="s">
        <v>45</v>
      </c>
      <c r="AE157" s="1" t="s">
        <v>45</v>
      </c>
      <c r="AF157" s="32">
        <v>45216</v>
      </c>
      <c r="AG157" s="1">
        <v>37.531115172339803</v>
      </c>
      <c r="AH157" s="1" t="s">
        <v>1526</v>
      </c>
      <c r="AI157" s="1" t="s">
        <v>1527</v>
      </c>
      <c r="AJ157" s="1" t="s">
        <v>45</v>
      </c>
      <c r="AK157" s="1" t="s">
        <v>45</v>
      </c>
      <c r="AL157" s="1" t="s">
        <v>45</v>
      </c>
      <c r="AM157" s="1" t="s">
        <v>51</v>
      </c>
      <c r="AN157" s="1" t="s">
        <v>45</v>
      </c>
      <c r="AO157" s="1" t="s">
        <v>45</v>
      </c>
      <c r="AP157" s="1" t="s">
        <v>45</v>
      </c>
      <c r="AQ157" s="1" t="s">
        <v>45</v>
      </c>
      <c r="AR157" s="1" t="s">
        <v>45</v>
      </c>
      <c r="AT157" s="1" t="s">
        <v>1601</v>
      </c>
      <c r="AW157" s="33" t="s">
        <v>1463</v>
      </c>
      <c r="AX157" s="3" t="s">
        <v>1601</v>
      </c>
      <c r="AY157" s="3"/>
      <c r="AZ157" s="1">
        <v>3</v>
      </c>
      <c r="BB157" s="1" t="s">
        <v>1567</v>
      </c>
      <c r="BC157" s="1" t="s">
        <v>1602</v>
      </c>
      <c r="BE157" s="1" t="s">
        <v>1525</v>
      </c>
      <c r="BG157" s="1" t="s">
        <v>45</v>
      </c>
      <c r="BH157" s="1" t="s">
        <v>46</v>
      </c>
      <c r="BI157" s="1" t="s">
        <v>1535</v>
      </c>
      <c r="BJ157" s="1" t="s">
        <v>1525</v>
      </c>
      <c r="BK157" s="1" t="s">
        <v>1549</v>
      </c>
      <c r="BL157" s="32">
        <v>45216</v>
      </c>
      <c r="BM157" s="1" t="s">
        <v>617</v>
      </c>
      <c r="BO157" s="1" t="s">
        <v>1537</v>
      </c>
      <c r="BP157" s="1" t="s">
        <v>1551</v>
      </c>
      <c r="BQ157" s="1" t="s">
        <v>1539</v>
      </c>
      <c r="BR157" s="1" t="s">
        <v>1580</v>
      </c>
      <c r="BS157" s="1" t="s">
        <v>1581</v>
      </c>
      <c r="BU157" s="1" t="s">
        <v>51</v>
      </c>
      <c r="BW157" s="1" t="s">
        <v>1563</v>
      </c>
      <c r="BX157" s="32">
        <v>45324</v>
      </c>
      <c r="BY157" s="1">
        <v>12</v>
      </c>
      <c r="BZ157" s="1" t="s">
        <v>1591</v>
      </c>
      <c r="CA157" s="1" t="s">
        <v>51</v>
      </c>
      <c r="CB157" s="1" t="s">
        <v>51</v>
      </c>
      <c r="CC157" s="32">
        <v>45252</v>
      </c>
      <c r="CD157" s="1">
        <v>59.4</v>
      </c>
      <c r="CE157" s="1">
        <v>33</v>
      </c>
      <c r="CJ157" s="1" t="s">
        <v>45</v>
      </c>
      <c r="DH157" s="1" t="s">
        <v>45</v>
      </c>
      <c r="DM157" s="1" t="s">
        <v>45</v>
      </c>
      <c r="DO157" s="1" t="s">
        <v>45</v>
      </c>
      <c r="DQ157" s="1" t="s">
        <v>45</v>
      </c>
      <c r="DT157" s="32">
        <v>45763</v>
      </c>
      <c r="DU157" s="1" t="s">
        <v>1598</v>
      </c>
      <c r="DV157" s="1">
        <v>17.969776609724001</v>
      </c>
      <c r="DW157" s="1" t="s">
        <v>45</v>
      </c>
    </row>
    <row r="158" spans="1:130" ht="15.75" customHeight="1" x14ac:dyDescent="0.2">
      <c r="A158" s="8" t="s">
        <v>963</v>
      </c>
      <c r="B158" s="32">
        <v>37895</v>
      </c>
      <c r="E158" s="1" t="s">
        <v>1523</v>
      </c>
      <c r="F158" s="1" t="s">
        <v>1524</v>
      </c>
      <c r="G158" s="1" t="s">
        <v>1545</v>
      </c>
      <c r="H158" s="1" t="s">
        <v>51</v>
      </c>
      <c r="I158" s="1">
        <v>1.7</v>
      </c>
      <c r="J158" s="1" t="s">
        <v>51</v>
      </c>
      <c r="K158" s="1">
        <v>63.7</v>
      </c>
      <c r="L158" s="1">
        <v>22.041522491349401</v>
      </c>
      <c r="M158" s="1" t="s">
        <v>45</v>
      </c>
      <c r="N158" s="1" t="s">
        <v>45</v>
      </c>
      <c r="O158" s="1" t="s">
        <v>45</v>
      </c>
      <c r="P158" s="1" t="s">
        <v>51</v>
      </c>
      <c r="Q158" s="1" t="s">
        <v>45</v>
      </c>
      <c r="R158" s="1" t="s">
        <v>45</v>
      </c>
      <c r="S158" s="1" t="s">
        <v>45</v>
      </c>
      <c r="T158" s="1" t="s">
        <v>45</v>
      </c>
      <c r="U158" s="1" t="s">
        <v>45</v>
      </c>
      <c r="V158" s="1" t="s">
        <v>45</v>
      </c>
      <c r="W158" s="1" t="s">
        <v>45</v>
      </c>
      <c r="X158" s="1" t="s">
        <v>45</v>
      </c>
      <c r="Y158" s="1" t="s">
        <v>45</v>
      </c>
      <c r="Z158" s="1" t="s">
        <v>45</v>
      </c>
      <c r="AA158" s="1" t="s">
        <v>45</v>
      </c>
      <c r="AB158" s="1" t="s">
        <v>45</v>
      </c>
      <c r="AC158" s="1" t="s">
        <v>45</v>
      </c>
      <c r="AD158" s="1" t="s">
        <v>45</v>
      </c>
      <c r="AE158" s="1" t="s">
        <v>45</v>
      </c>
      <c r="AF158" s="32">
        <v>41440</v>
      </c>
      <c r="AG158" s="1">
        <v>9.7058803397742501</v>
      </c>
      <c r="AH158" s="1" t="s">
        <v>1526</v>
      </c>
      <c r="AI158" s="1" t="s">
        <v>1527</v>
      </c>
      <c r="AJ158" s="1" t="s">
        <v>45</v>
      </c>
      <c r="AK158" s="1" t="s">
        <v>45</v>
      </c>
      <c r="AL158" s="1" t="s">
        <v>45</v>
      </c>
      <c r="AM158" s="1" t="s">
        <v>45</v>
      </c>
      <c r="AN158" s="1" t="s">
        <v>45</v>
      </c>
      <c r="AO158" s="1" t="s">
        <v>45</v>
      </c>
      <c r="AP158" s="1" t="s">
        <v>45</v>
      </c>
      <c r="AQ158" s="1" t="s">
        <v>45</v>
      </c>
      <c r="AR158" s="1" t="s">
        <v>45</v>
      </c>
      <c r="AT158" s="1" t="s">
        <v>1583</v>
      </c>
      <c r="AU158" s="1" t="s">
        <v>1668</v>
      </c>
      <c r="AW158" s="33" t="s">
        <v>1464</v>
      </c>
      <c r="AX158" s="3"/>
      <c r="AY158" s="33" t="s">
        <v>1668</v>
      </c>
      <c r="AZ158" s="1">
        <v>1</v>
      </c>
      <c r="BA158" s="1" t="s">
        <v>1814</v>
      </c>
      <c r="BB158" s="1" t="s">
        <v>1530</v>
      </c>
      <c r="BC158" s="1" t="s">
        <v>1561</v>
      </c>
      <c r="BD158" s="1" t="s">
        <v>1977</v>
      </c>
      <c r="BE158" s="1" t="s">
        <v>1525</v>
      </c>
      <c r="BG158" s="1" t="s">
        <v>45</v>
      </c>
      <c r="BH158" s="1" t="s">
        <v>46</v>
      </c>
      <c r="BI158" s="1" t="s">
        <v>1535</v>
      </c>
      <c r="BJ158" s="1" t="s">
        <v>45</v>
      </c>
      <c r="BK158" s="1" t="s">
        <v>1536</v>
      </c>
      <c r="BL158" s="32">
        <v>44331</v>
      </c>
      <c r="BM158" s="1" t="s">
        <v>964</v>
      </c>
      <c r="BN158" s="1" t="s">
        <v>45</v>
      </c>
      <c r="BO158" s="1" t="s">
        <v>1537</v>
      </c>
      <c r="BP158" s="1" t="s">
        <v>1566</v>
      </c>
      <c r="BQ158" s="1" t="s">
        <v>1539</v>
      </c>
      <c r="BS158" s="1" t="s">
        <v>2006</v>
      </c>
      <c r="BU158" s="1" t="s">
        <v>1525</v>
      </c>
      <c r="BW158" s="1" t="s">
        <v>1542</v>
      </c>
      <c r="CA158" s="1" t="s">
        <v>45</v>
      </c>
      <c r="CB158" s="1" t="s">
        <v>45</v>
      </c>
      <c r="CJ158" s="1" t="s">
        <v>51</v>
      </c>
      <c r="CK158" s="32">
        <v>45217</v>
      </c>
      <c r="CL158" s="1" t="s">
        <v>51</v>
      </c>
      <c r="CM158" s="32">
        <v>45217</v>
      </c>
      <c r="CN158" s="1">
        <v>2.4257856081918101</v>
      </c>
      <c r="CO158" s="1" t="s">
        <v>1537</v>
      </c>
      <c r="CP158" s="1" t="s">
        <v>1796</v>
      </c>
      <c r="CQ158" s="1" t="s">
        <v>1539</v>
      </c>
      <c r="CS158" s="1" t="s">
        <v>2007</v>
      </c>
      <c r="CT158" s="1" t="s">
        <v>1583</v>
      </c>
      <c r="CU158" s="1" t="s">
        <v>1667</v>
      </c>
      <c r="CW158" s="1">
        <v>1</v>
      </c>
      <c r="CX158" s="1" t="s">
        <v>1814</v>
      </c>
      <c r="CY158" s="1" t="s">
        <v>1530</v>
      </c>
      <c r="CZ158" s="1" t="s">
        <v>1561</v>
      </c>
      <c r="DA158" s="1" t="s">
        <v>1977</v>
      </c>
      <c r="DB158" s="1" t="s">
        <v>1525</v>
      </c>
      <c r="DD158" s="1" t="s">
        <v>45</v>
      </c>
      <c r="DE158" s="1" t="s">
        <v>46</v>
      </c>
      <c r="DF158" s="1" t="s">
        <v>68</v>
      </c>
      <c r="DG158" s="1" t="s">
        <v>45</v>
      </c>
      <c r="DH158" s="1" t="s">
        <v>51</v>
      </c>
      <c r="DI158" s="1" t="s">
        <v>2008</v>
      </c>
      <c r="DJ158" s="32">
        <v>45566</v>
      </c>
      <c r="DM158" s="1" t="s">
        <v>45</v>
      </c>
      <c r="DO158" s="1" t="s">
        <v>45</v>
      </c>
      <c r="DQ158" s="1" t="s">
        <v>45</v>
      </c>
      <c r="DT158" s="32">
        <v>45832</v>
      </c>
      <c r="DU158" s="1" t="s">
        <v>1598</v>
      </c>
      <c r="DV158" s="1">
        <v>144.28383705650401</v>
      </c>
      <c r="DW158" s="1" t="s">
        <v>45</v>
      </c>
      <c r="DY158" s="32">
        <v>45854</v>
      </c>
      <c r="DZ158" s="1" t="s">
        <v>1544</v>
      </c>
    </row>
    <row r="159" spans="1:130" ht="15.75" customHeight="1" x14ac:dyDescent="0.2">
      <c r="A159" s="8" t="s">
        <v>967</v>
      </c>
      <c r="B159" s="32">
        <v>34274</v>
      </c>
      <c r="C159" s="32">
        <v>44945</v>
      </c>
      <c r="D159" s="1">
        <v>29.216205671574301</v>
      </c>
      <c r="E159" s="1" t="s">
        <v>1587</v>
      </c>
      <c r="F159" s="1" t="s">
        <v>1524</v>
      </c>
      <c r="G159" s="1" t="s">
        <v>1574</v>
      </c>
      <c r="H159" s="1" t="s">
        <v>51</v>
      </c>
      <c r="I159" s="1">
        <v>1.65</v>
      </c>
      <c r="J159" s="1" t="s">
        <v>51</v>
      </c>
      <c r="K159" s="1">
        <v>52.6</v>
      </c>
      <c r="L159" s="1">
        <v>19.320477502295599</v>
      </c>
      <c r="M159" s="1" t="s">
        <v>45</v>
      </c>
      <c r="N159" s="1" t="s">
        <v>45</v>
      </c>
      <c r="O159" s="1" t="s">
        <v>45</v>
      </c>
      <c r="P159" s="1" t="s">
        <v>45</v>
      </c>
      <c r="Q159" s="1" t="s">
        <v>45</v>
      </c>
      <c r="R159" s="1" t="s">
        <v>45</v>
      </c>
      <c r="S159" s="1" t="s">
        <v>45</v>
      </c>
      <c r="T159" s="1" t="s">
        <v>45</v>
      </c>
      <c r="U159" s="1" t="s">
        <v>45</v>
      </c>
      <c r="V159" s="1" t="s">
        <v>45</v>
      </c>
      <c r="W159" s="1" t="s">
        <v>45</v>
      </c>
      <c r="X159" s="1" t="s">
        <v>45</v>
      </c>
      <c r="Y159" s="1" t="s">
        <v>45</v>
      </c>
      <c r="Z159" s="1" t="s">
        <v>45</v>
      </c>
      <c r="AA159" s="1" t="s">
        <v>45</v>
      </c>
      <c r="AB159" s="1" t="s">
        <v>45</v>
      </c>
      <c r="AC159" s="1" t="s">
        <v>45</v>
      </c>
      <c r="AD159" s="1" t="s">
        <v>45</v>
      </c>
      <c r="AE159" s="1" t="s">
        <v>45</v>
      </c>
      <c r="AF159" s="32">
        <v>43631</v>
      </c>
      <c r="AG159" s="1">
        <v>25.618481784932801</v>
      </c>
      <c r="AH159" s="1" t="s">
        <v>1526</v>
      </c>
      <c r="AI159" s="1" t="s">
        <v>1527</v>
      </c>
      <c r="AJ159" s="1" t="s">
        <v>45</v>
      </c>
      <c r="AK159" s="1" t="s">
        <v>51</v>
      </c>
      <c r="AL159" s="1" t="s">
        <v>45</v>
      </c>
      <c r="AM159" s="1" t="s">
        <v>45</v>
      </c>
      <c r="AN159" s="1" t="s">
        <v>45</v>
      </c>
      <c r="AO159" s="1" t="s">
        <v>45</v>
      </c>
      <c r="AP159" s="1" t="s">
        <v>45</v>
      </c>
      <c r="AQ159" s="1" t="s">
        <v>45</v>
      </c>
      <c r="AR159" s="1" t="s">
        <v>45</v>
      </c>
      <c r="AT159" s="1" t="s">
        <v>1583</v>
      </c>
      <c r="AU159" s="1" t="s">
        <v>237</v>
      </c>
      <c r="AW159" s="33" t="s">
        <v>1464</v>
      </c>
      <c r="AX159" s="3"/>
      <c r="AY159" s="33" t="s">
        <v>1621</v>
      </c>
      <c r="AZ159" s="1">
        <v>1</v>
      </c>
      <c r="BA159" s="1" t="s">
        <v>1814</v>
      </c>
      <c r="BB159" s="1" t="s">
        <v>1530</v>
      </c>
      <c r="BC159" s="1" t="s">
        <v>1531</v>
      </c>
      <c r="BD159" s="1" t="s">
        <v>1532</v>
      </c>
      <c r="BE159" s="1" t="s">
        <v>1525</v>
      </c>
      <c r="BG159" s="1" t="s">
        <v>45</v>
      </c>
      <c r="BH159" s="1" t="s">
        <v>46</v>
      </c>
      <c r="BI159" s="1" t="s">
        <v>1535</v>
      </c>
      <c r="BJ159" s="1" t="s">
        <v>45</v>
      </c>
      <c r="BK159" s="1" t="s">
        <v>1536</v>
      </c>
      <c r="BL159" s="32">
        <v>45218</v>
      </c>
      <c r="BM159" s="1" t="s">
        <v>968</v>
      </c>
      <c r="BO159" s="1" t="s">
        <v>1537</v>
      </c>
      <c r="BP159" s="1" t="s">
        <v>1538</v>
      </c>
      <c r="BQ159" s="1" t="s">
        <v>1647</v>
      </c>
      <c r="BR159" s="1" t="s">
        <v>1540</v>
      </c>
      <c r="BS159" s="1" t="s">
        <v>106</v>
      </c>
      <c r="BU159" s="1" t="s">
        <v>51</v>
      </c>
      <c r="BV159" s="1" t="s">
        <v>1541</v>
      </c>
      <c r="BW159" s="1" t="s">
        <v>1542</v>
      </c>
      <c r="CA159" s="1" t="s">
        <v>45</v>
      </c>
      <c r="CB159" s="1" t="s">
        <v>45</v>
      </c>
      <c r="CJ159" s="1" t="s">
        <v>45</v>
      </c>
      <c r="DH159" s="1" t="s">
        <v>45</v>
      </c>
      <c r="DM159" s="1" t="s">
        <v>45</v>
      </c>
      <c r="DO159" s="1" t="s">
        <v>45</v>
      </c>
      <c r="DQ159" s="1" t="s">
        <v>45</v>
      </c>
      <c r="DT159" s="32">
        <v>45636</v>
      </c>
      <c r="DU159" s="1" t="s">
        <v>1598</v>
      </c>
      <c r="DV159" s="1">
        <v>65.868648707840507</v>
      </c>
      <c r="DW159" s="1" t="s">
        <v>51</v>
      </c>
      <c r="DY159" s="32">
        <v>45672</v>
      </c>
      <c r="DZ159" s="1" t="s">
        <v>1544</v>
      </c>
    </row>
    <row r="160" spans="1:130" ht="15.75" customHeight="1" x14ac:dyDescent="0.2">
      <c r="A160" s="8" t="s">
        <v>971</v>
      </c>
      <c r="B160" s="32">
        <v>25842</v>
      </c>
      <c r="C160" s="32">
        <v>45202</v>
      </c>
      <c r="D160" s="1">
        <v>53.005879655297498</v>
      </c>
      <c r="E160" s="1" t="s">
        <v>1587</v>
      </c>
      <c r="F160" s="1" t="s">
        <v>1524</v>
      </c>
      <c r="G160" s="1" t="s">
        <v>1686</v>
      </c>
      <c r="H160" s="1" t="s">
        <v>51</v>
      </c>
      <c r="I160" s="1">
        <v>1.702</v>
      </c>
      <c r="J160" s="1" t="s">
        <v>51</v>
      </c>
      <c r="K160" s="1">
        <v>99.6</v>
      </c>
      <c r="L160" s="1">
        <v>34.382719714554298</v>
      </c>
      <c r="M160" s="1" t="s">
        <v>45</v>
      </c>
      <c r="N160" s="1" t="s">
        <v>45</v>
      </c>
      <c r="O160" s="1" t="s">
        <v>45</v>
      </c>
      <c r="P160" s="1" t="s">
        <v>45</v>
      </c>
      <c r="Q160" s="1" t="s">
        <v>45</v>
      </c>
      <c r="R160" s="1" t="s">
        <v>45</v>
      </c>
      <c r="S160" s="1" t="s">
        <v>45</v>
      </c>
      <c r="T160" s="1" t="s">
        <v>45</v>
      </c>
      <c r="U160" s="1" t="s">
        <v>45</v>
      </c>
      <c r="V160" s="1" t="s">
        <v>45</v>
      </c>
      <c r="W160" s="1" t="s">
        <v>45</v>
      </c>
      <c r="X160" s="1" t="s">
        <v>45</v>
      </c>
      <c r="Y160" s="1" t="s">
        <v>45</v>
      </c>
      <c r="Z160" s="1" t="s">
        <v>45</v>
      </c>
      <c r="AA160" s="1" t="s">
        <v>45</v>
      </c>
      <c r="AB160" s="1" t="s">
        <v>45</v>
      </c>
      <c r="AC160" s="1" t="s">
        <v>45</v>
      </c>
      <c r="AD160" s="1" t="s">
        <v>45</v>
      </c>
      <c r="AE160" s="1" t="s">
        <v>45</v>
      </c>
      <c r="AF160" s="32">
        <v>45203</v>
      </c>
      <c r="AG160" s="1">
        <v>53.008617562304401</v>
      </c>
      <c r="AH160" s="1" t="s">
        <v>1526</v>
      </c>
      <c r="AI160" s="1" t="s">
        <v>1527</v>
      </c>
      <c r="AJ160" s="1" t="s">
        <v>45</v>
      </c>
      <c r="AK160" s="1" t="s">
        <v>45</v>
      </c>
      <c r="AL160" s="1" t="s">
        <v>51</v>
      </c>
      <c r="AM160" s="1" t="s">
        <v>51</v>
      </c>
      <c r="AN160" s="1" t="s">
        <v>45</v>
      </c>
      <c r="AO160" s="1" t="s">
        <v>45</v>
      </c>
      <c r="AP160" s="1" t="s">
        <v>45</v>
      </c>
      <c r="AQ160" s="1" t="s">
        <v>51</v>
      </c>
      <c r="AR160" s="1" t="s">
        <v>45</v>
      </c>
      <c r="AT160" s="1" t="s">
        <v>1528</v>
      </c>
      <c r="AW160" s="33" t="s">
        <v>1463</v>
      </c>
      <c r="AX160" s="3" t="s">
        <v>1528</v>
      </c>
      <c r="AY160" s="3"/>
      <c r="AZ160" s="1">
        <v>4</v>
      </c>
      <c r="BA160" s="1" t="s">
        <v>1529</v>
      </c>
      <c r="BB160" s="1" t="s">
        <v>1530</v>
      </c>
      <c r="BC160" s="1" t="s">
        <v>1531</v>
      </c>
      <c r="BD160" s="1" t="s">
        <v>1532</v>
      </c>
      <c r="BE160" s="1" t="s">
        <v>1603</v>
      </c>
      <c r="BF160" s="1" t="s">
        <v>1534</v>
      </c>
      <c r="BG160" s="1" t="s">
        <v>45</v>
      </c>
      <c r="BH160" s="1" t="s">
        <v>46</v>
      </c>
      <c r="BI160" s="1" t="s">
        <v>1525</v>
      </c>
      <c r="BJ160" s="1" t="s">
        <v>45</v>
      </c>
      <c r="BK160" s="1" t="s">
        <v>1536</v>
      </c>
      <c r="BL160" s="32">
        <v>45218</v>
      </c>
      <c r="BM160" s="1" t="s">
        <v>972</v>
      </c>
      <c r="BO160" s="1" t="s">
        <v>1537</v>
      </c>
      <c r="BP160" s="1" t="s">
        <v>1538</v>
      </c>
      <c r="BQ160" s="1" t="s">
        <v>1647</v>
      </c>
      <c r="BR160" s="1" t="s">
        <v>1540</v>
      </c>
      <c r="BS160" s="1" t="s">
        <v>177</v>
      </c>
      <c r="BU160" s="1" t="s">
        <v>51</v>
      </c>
      <c r="BV160" s="1" t="s">
        <v>1541</v>
      </c>
      <c r="BW160" s="1" t="s">
        <v>1563</v>
      </c>
      <c r="BX160" s="32">
        <v>45315</v>
      </c>
      <c r="BY160" s="1">
        <v>12</v>
      </c>
      <c r="BZ160" s="1" t="s">
        <v>2009</v>
      </c>
      <c r="CA160" s="1" t="s">
        <v>51</v>
      </c>
      <c r="CB160" s="1" t="s">
        <v>51</v>
      </c>
      <c r="CC160" s="32">
        <v>45243</v>
      </c>
      <c r="CD160" s="1">
        <v>60</v>
      </c>
      <c r="CE160" s="1">
        <v>30</v>
      </c>
      <c r="CJ160" s="1" t="s">
        <v>45</v>
      </c>
      <c r="DH160" s="1" t="s">
        <v>45</v>
      </c>
      <c r="DM160" s="1" t="s">
        <v>45</v>
      </c>
      <c r="DO160" s="1" t="s">
        <v>45</v>
      </c>
      <c r="DQ160" s="1" t="s">
        <v>45</v>
      </c>
      <c r="DT160" s="32">
        <v>45667</v>
      </c>
      <c r="DU160" s="1" t="s">
        <v>1598</v>
      </c>
      <c r="DV160" s="1">
        <v>15.244469995619699</v>
      </c>
      <c r="DW160" s="1" t="s">
        <v>45</v>
      </c>
      <c r="DY160" s="32">
        <v>45671</v>
      </c>
      <c r="DZ160" s="1" t="s">
        <v>1544</v>
      </c>
    </row>
    <row r="161" spans="1:130" ht="15.75" customHeight="1" x14ac:dyDescent="0.2">
      <c r="A161" s="8" t="s">
        <v>976</v>
      </c>
      <c r="B161" s="32">
        <v>25873</v>
      </c>
      <c r="C161" s="32">
        <v>45218</v>
      </c>
      <c r="D161" s="1">
        <v>52.964696970734003</v>
      </c>
      <c r="E161" s="1" t="s">
        <v>1523</v>
      </c>
      <c r="F161" s="1" t="s">
        <v>1524</v>
      </c>
      <c r="G161" s="1" t="s">
        <v>1574</v>
      </c>
      <c r="H161" s="1" t="s">
        <v>51</v>
      </c>
      <c r="I161" s="1">
        <v>1.8280000000000001</v>
      </c>
      <c r="J161" s="1" t="s">
        <v>51</v>
      </c>
      <c r="K161" s="1">
        <v>77.099999999999994</v>
      </c>
      <c r="L161" s="1">
        <v>23.072889982714699</v>
      </c>
      <c r="M161" s="1" t="s">
        <v>45</v>
      </c>
      <c r="N161" s="1" t="s">
        <v>45</v>
      </c>
      <c r="O161" s="1" t="s">
        <v>45</v>
      </c>
      <c r="P161" s="1" t="s">
        <v>45</v>
      </c>
      <c r="Q161" s="1" t="s">
        <v>45</v>
      </c>
      <c r="R161" s="1" t="s">
        <v>45</v>
      </c>
      <c r="S161" s="1" t="s">
        <v>45</v>
      </c>
      <c r="T161" s="1" t="s">
        <v>45</v>
      </c>
      <c r="U161" s="1" t="s">
        <v>45</v>
      </c>
      <c r="V161" s="1" t="s">
        <v>45</v>
      </c>
      <c r="W161" s="1" t="s">
        <v>45</v>
      </c>
      <c r="X161" s="1" t="s">
        <v>45</v>
      </c>
      <c r="Y161" s="1" t="s">
        <v>45</v>
      </c>
      <c r="Z161" s="1" t="s">
        <v>45</v>
      </c>
      <c r="AA161" s="1" t="s">
        <v>51</v>
      </c>
      <c r="AB161" s="1" t="s">
        <v>45</v>
      </c>
      <c r="AC161" s="1" t="s">
        <v>45</v>
      </c>
      <c r="AD161" s="1" t="s">
        <v>45</v>
      </c>
      <c r="AE161" s="1" t="s">
        <v>45</v>
      </c>
      <c r="AF161" s="32">
        <v>45218</v>
      </c>
      <c r="AG161" s="1">
        <v>52.964811050192601</v>
      </c>
      <c r="AH161" s="1" t="s">
        <v>1526</v>
      </c>
      <c r="AI161" s="1" t="s">
        <v>1527</v>
      </c>
      <c r="AJ161" s="1" t="s">
        <v>45</v>
      </c>
      <c r="AK161" s="1" t="s">
        <v>51</v>
      </c>
      <c r="AL161" s="1" t="s">
        <v>45</v>
      </c>
      <c r="AM161" s="1" t="s">
        <v>45</v>
      </c>
      <c r="AN161" s="1" t="s">
        <v>45</v>
      </c>
      <c r="AO161" s="1" t="s">
        <v>45</v>
      </c>
      <c r="AP161" s="1" t="s">
        <v>45</v>
      </c>
      <c r="AQ161" s="1" t="s">
        <v>45</v>
      </c>
      <c r="AR161" s="1" t="s">
        <v>45</v>
      </c>
      <c r="AT161" s="1" t="s">
        <v>1528</v>
      </c>
      <c r="AW161" s="33" t="s">
        <v>1463</v>
      </c>
      <c r="AX161" s="3" t="s">
        <v>1528</v>
      </c>
      <c r="AY161" s="3"/>
      <c r="AZ161" s="1">
        <v>4</v>
      </c>
      <c r="BA161" s="1" t="s">
        <v>1529</v>
      </c>
      <c r="BB161" s="1" t="s">
        <v>1530</v>
      </c>
      <c r="BC161" s="1" t="s">
        <v>1531</v>
      </c>
      <c r="BD161" s="1" t="s">
        <v>1532</v>
      </c>
      <c r="BE161" s="1" t="s">
        <v>1533</v>
      </c>
      <c r="BF161" s="1" t="s">
        <v>1534</v>
      </c>
      <c r="BG161" s="1" t="s">
        <v>45</v>
      </c>
      <c r="BH161" s="1" t="s">
        <v>46</v>
      </c>
      <c r="BI161" s="1" t="s">
        <v>1535</v>
      </c>
      <c r="BJ161" s="1" t="s">
        <v>1525</v>
      </c>
      <c r="BK161" s="1" t="s">
        <v>1536</v>
      </c>
      <c r="BL161" s="32">
        <v>45223</v>
      </c>
      <c r="BM161" s="1" t="s">
        <v>977</v>
      </c>
      <c r="BN161" s="1" t="s">
        <v>45</v>
      </c>
      <c r="BO161" s="1" t="s">
        <v>1537</v>
      </c>
      <c r="BP161" s="1" t="s">
        <v>1538</v>
      </c>
      <c r="BQ161" s="1" t="s">
        <v>1647</v>
      </c>
      <c r="BR161" s="1" t="s">
        <v>1540</v>
      </c>
      <c r="BS161" s="1" t="s">
        <v>50</v>
      </c>
      <c r="BU161" s="1" t="s">
        <v>51</v>
      </c>
      <c r="BV161" s="1" t="s">
        <v>1541</v>
      </c>
      <c r="BW161" s="1" t="s">
        <v>1542</v>
      </c>
      <c r="CA161" s="1" t="s">
        <v>45</v>
      </c>
      <c r="CB161" s="1" t="s">
        <v>45</v>
      </c>
      <c r="CI161" s="1" t="s">
        <v>2010</v>
      </c>
      <c r="CJ161" s="1" t="s">
        <v>45</v>
      </c>
      <c r="DH161" s="1" t="s">
        <v>45</v>
      </c>
      <c r="DM161" s="1" t="s">
        <v>45</v>
      </c>
      <c r="DO161" s="1" t="s">
        <v>45</v>
      </c>
      <c r="DQ161" s="1" t="s">
        <v>45</v>
      </c>
      <c r="DT161" s="32">
        <v>45243</v>
      </c>
      <c r="DU161" s="1" t="s">
        <v>1556</v>
      </c>
      <c r="DV161" s="1">
        <v>0.82128777923784402</v>
      </c>
      <c r="DW161" s="1" t="s">
        <v>45</v>
      </c>
      <c r="DY161" s="32">
        <v>45852</v>
      </c>
      <c r="DZ161" s="1" t="s">
        <v>1544</v>
      </c>
    </row>
    <row r="162" spans="1:130" ht="15.75" customHeight="1" x14ac:dyDescent="0.2">
      <c r="A162" s="8" t="s">
        <v>984</v>
      </c>
      <c r="B162" s="32">
        <v>32752</v>
      </c>
      <c r="C162" s="32">
        <v>45229</v>
      </c>
      <c r="D162" s="1">
        <v>34.160865726195603</v>
      </c>
      <c r="E162" s="1" t="s">
        <v>1523</v>
      </c>
      <c r="F162" s="1" t="s">
        <v>1524</v>
      </c>
      <c r="G162" s="1" t="s">
        <v>1545</v>
      </c>
      <c r="H162" s="1" t="s">
        <v>51</v>
      </c>
      <c r="I162" s="1">
        <v>1.76</v>
      </c>
      <c r="J162" s="1" t="s">
        <v>51</v>
      </c>
      <c r="K162" s="1">
        <v>86.3</v>
      </c>
      <c r="L162" s="1">
        <v>27.860278925619799</v>
      </c>
      <c r="M162" s="1" t="s">
        <v>45</v>
      </c>
      <c r="N162" s="1" t="s">
        <v>45</v>
      </c>
      <c r="O162" s="1" t="s">
        <v>45</v>
      </c>
      <c r="P162" s="1" t="s">
        <v>45</v>
      </c>
      <c r="Q162" s="1" t="s">
        <v>45</v>
      </c>
      <c r="R162" s="1" t="s">
        <v>45</v>
      </c>
      <c r="S162" s="1" t="s">
        <v>45</v>
      </c>
      <c r="T162" s="1" t="s">
        <v>45</v>
      </c>
      <c r="U162" s="1" t="s">
        <v>45</v>
      </c>
      <c r="V162" s="1" t="s">
        <v>45</v>
      </c>
      <c r="W162" s="1" t="s">
        <v>45</v>
      </c>
      <c r="X162" s="1" t="s">
        <v>45</v>
      </c>
      <c r="Y162" s="1" t="s">
        <v>45</v>
      </c>
      <c r="Z162" s="1" t="s">
        <v>45</v>
      </c>
      <c r="AA162" s="1" t="s">
        <v>45</v>
      </c>
      <c r="AB162" s="1" t="s">
        <v>45</v>
      </c>
      <c r="AC162" s="1" t="s">
        <v>45</v>
      </c>
      <c r="AD162" s="1" t="s">
        <v>45</v>
      </c>
      <c r="AE162" s="1" t="s">
        <v>45</v>
      </c>
      <c r="AF162" s="32">
        <v>45167</v>
      </c>
      <c r="AG162" s="1">
        <v>33.991115491762301</v>
      </c>
      <c r="AH162" s="1" t="s">
        <v>1526</v>
      </c>
      <c r="AI162" s="1" t="s">
        <v>1527</v>
      </c>
      <c r="AJ162" s="1" t="s">
        <v>45</v>
      </c>
      <c r="AK162" s="1" t="s">
        <v>51</v>
      </c>
      <c r="AL162" s="1" t="s">
        <v>45</v>
      </c>
      <c r="AM162" s="1" t="s">
        <v>51</v>
      </c>
      <c r="AN162" s="1" t="s">
        <v>45</v>
      </c>
      <c r="AO162" s="1" t="s">
        <v>45</v>
      </c>
      <c r="AP162" s="1" t="s">
        <v>45</v>
      </c>
      <c r="AQ162" s="1" t="s">
        <v>45</v>
      </c>
      <c r="AR162" s="1" t="s">
        <v>51</v>
      </c>
      <c r="AS162" s="1" t="s">
        <v>2011</v>
      </c>
      <c r="AT162" s="1" t="s">
        <v>1560</v>
      </c>
      <c r="AW162" s="33" t="s">
        <v>1463</v>
      </c>
      <c r="AX162" s="3" t="s">
        <v>1560</v>
      </c>
      <c r="AY162" s="3"/>
      <c r="AZ162" s="1">
        <v>4</v>
      </c>
      <c r="BA162" s="1" t="s">
        <v>1529</v>
      </c>
      <c r="BB162" s="1" t="s">
        <v>1567</v>
      </c>
      <c r="BC162" s="1" t="s">
        <v>1531</v>
      </c>
      <c r="BD162" s="1" t="s">
        <v>1822</v>
      </c>
      <c r="BE162" s="1" t="s">
        <v>1603</v>
      </c>
      <c r="BF162" s="1" t="s">
        <v>1534</v>
      </c>
      <c r="BG162" s="1" t="s">
        <v>45</v>
      </c>
      <c r="BH162" s="1" t="s">
        <v>46</v>
      </c>
      <c r="BI162" s="1" t="s">
        <v>1599</v>
      </c>
      <c r="BJ162" s="1" t="s">
        <v>1525</v>
      </c>
      <c r="BK162" s="1" t="s">
        <v>1536</v>
      </c>
      <c r="BL162" s="32">
        <v>45167</v>
      </c>
      <c r="BN162" s="1" t="s">
        <v>45</v>
      </c>
      <c r="BO162" s="1" t="s">
        <v>1537</v>
      </c>
      <c r="BP162" s="1" t="s">
        <v>1538</v>
      </c>
      <c r="BQ162" s="1" t="s">
        <v>1539</v>
      </c>
      <c r="BR162" s="1" t="s">
        <v>1540</v>
      </c>
      <c r="BS162" s="1" t="s">
        <v>50</v>
      </c>
      <c r="BU162" s="1" t="s">
        <v>1525</v>
      </c>
      <c r="BW162" s="1" t="s">
        <v>1542</v>
      </c>
      <c r="CA162" s="1" t="s">
        <v>45</v>
      </c>
      <c r="CB162" s="1" t="s">
        <v>45</v>
      </c>
      <c r="CI162" s="1" t="s">
        <v>2012</v>
      </c>
      <c r="CJ162" s="1" t="s">
        <v>51</v>
      </c>
      <c r="CK162" s="32">
        <v>45244</v>
      </c>
      <c r="CL162" s="1" t="s">
        <v>51</v>
      </c>
      <c r="CM162" s="32">
        <v>45244</v>
      </c>
      <c r="CN162" s="1">
        <v>0.210818839538115</v>
      </c>
      <c r="CO162" s="1" t="s">
        <v>1537</v>
      </c>
      <c r="CP162" s="1" t="s">
        <v>1538</v>
      </c>
      <c r="CQ162" s="1" t="s">
        <v>1539</v>
      </c>
      <c r="CR162" s="1" t="s">
        <v>1540</v>
      </c>
      <c r="CS162" s="1" t="s">
        <v>50</v>
      </c>
      <c r="CT162" s="1" t="s">
        <v>1560</v>
      </c>
      <c r="CW162" s="1">
        <v>4</v>
      </c>
      <c r="CX162" s="1" t="s">
        <v>1529</v>
      </c>
      <c r="CY162" s="1" t="s">
        <v>1567</v>
      </c>
      <c r="CZ162" s="1" t="s">
        <v>1531</v>
      </c>
      <c r="DA162" s="1" t="s">
        <v>1822</v>
      </c>
      <c r="DB162" s="1" t="s">
        <v>1603</v>
      </c>
      <c r="DC162" s="1" t="s">
        <v>1534</v>
      </c>
      <c r="DD162" s="1" t="s">
        <v>45</v>
      </c>
      <c r="DE162" s="1" t="s">
        <v>46</v>
      </c>
      <c r="DF162" s="1" t="s">
        <v>46</v>
      </c>
      <c r="DG162" s="1" t="s">
        <v>51</v>
      </c>
      <c r="DH162" s="1" t="s">
        <v>51</v>
      </c>
      <c r="DI162" s="1" t="s">
        <v>2013</v>
      </c>
      <c r="DJ162" s="32">
        <v>45359</v>
      </c>
      <c r="DM162" s="1" t="s">
        <v>51</v>
      </c>
      <c r="DN162" s="1" t="s">
        <v>2014</v>
      </c>
      <c r="DO162" s="1" t="s">
        <v>45</v>
      </c>
      <c r="DQ162" s="1" t="s">
        <v>45</v>
      </c>
      <c r="DT162" s="32">
        <v>45712</v>
      </c>
      <c r="DU162" s="1" t="s">
        <v>1543</v>
      </c>
      <c r="DV162" s="1">
        <v>17.904073587385</v>
      </c>
      <c r="DW162" s="1" t="s">
        <v>45</v>
      </c>
      <c r="DY162" s="32">
        <v>45852</v>
      </c>
      <c r="DZ162" s="1" t="s">
        <v>1544</v>
      </c>
    </row>
    <row r="163" spans="1:130" ht="15.75" customHeight="1" x14ac:dyDescent="0.2">
      <c r="A163" s="8" t="s">
        <v>989</v>
      </c>
      <c r="B163" s="32">
        <v>22460</v>
      </c>
      <c r="C163" s="32">
        <v>45225</v>
      </c>
      <c r="D163" s="1">
        <v>62.328453014093299</v>
      </c>
      <c r="E163" s="1" t="s">
        <v>1523</v>
      </c>
      <c r="F163" s="1" t="s">
        <v>1524</v>
      </c>
      <c r="G163" s="1" t="s">
        <v>1574</v>
      </c>
      <c r="H163" s="1" t="s">
        <v>51</v>
      </c>
      <c r="I163" s="1">
        <v>1.82</v>
      </c>
      <c r="J163" s="1" t="s">
        <v>51</v>
      </c>
      <c r="K163" s="1">
        <v>85.7</v>
      </c>
      <c r="L163" s="1">
        <v>25.872479169182402</v>
      </c>
      <c r="M163" s="1" t="s">
        <v>45</v>
      </c>
      <c r="N163" s="1" t="s">
        <v>45</v>
      </c>
      <c r="O163" s="1" t="s">
        <v>45</v>
      </c>
      <c r="P163" s="1" t="s">
        <v>45</v>
      </c>
      <c r="Q163" s="1" t="s">
        <v>45</v>
      </c>
      <c r="R163" s="1" t="s">
        <v>45</v>
      </c>
      <c r="S163" s="1" t="s">
        <v>45</v>
      </c>
      <c r="T163" s="1" t="s">
        <v>45</v>
      </c>
      <c r="U163" s="1" t="s">
        <v>45</v>
      </c>
      <c r="V163" s="1" t="s">
        <v>45</v>
      </c>
      <c r="W163" s="1" t="s">
        <v>45</v>
      </c>
      <c r="X163" s="1" t="s">
        <v>45</v>
      </c>
      <c r="Y163" s="1" t="s">
        <v>45</v>
      </c>
      <c r="Z163" s="1" t="s">
        <v>45</v>
      </c>
      <c r="AA163" s="1" t="s">
        <v>45</v>
      </c>
      <c r="AB163" s="1" t="s">
        <v>45</v>
      </c>
      <c r="AC163" s="1" t="s">
        <v>45</v>
      </c>
      <c r="AD163" s="1" t="s">
        <v>45</v>
      </c>
      <c r="AE163" s="1" t="s">
        <v>45</v>
      </c>
      <c r="AF163" s="32">
        <v>45252</v>
      </c>
      <c r="AG163" s="1">
        <v>62.402376503281999</v>
      </c>
      <c r="AH163" s="1" t="s">
        <v>1526</v>
      </c>
      <c r="AI163" s="1" t="s">
        <v>1527</v>
      </c>
      <c r="AJ163" s="1" t="s">
        <v>45</v>
      </c>
      <c r="AK163" s="1" t="s">
        <v>51</v>
      </c>
      <c r="AL163" s="1" t="s">
        <v>45</v>
      </c>
      <c r="AM163" s="1" t="s">
        <v>45</v>
      </c>
      <c r="AN163" s="1" t="s">
        <v>45</v>
      </c>
      <c r="AO163" s="1" t="s">
        <v>51</v>
      </c>
      <c r="AP163" s="1" t="s">
        <v>45</v>
      </c>
      <c r="AQ163" s="1" t="s">
        <v>45</v>
      </c>
      <c r="AR163" s="1" t="s">
        <v>51</v>
      </c>
      <c r="AS163" s="1" t="s">
        <v>2015</v>
      </c>
      <c r="AT163" s="1" t="s">
        <v>1528</v>
      </c>
      <c r="AW163" s="33" t="s">
        <v>1463</v>
      </c>
      <c r="AX163" s="3" t="s">
        <v>1528</v>
      </c>
      <c r="AY163" s="3"/>
      <c r="AZ163" s="1">
        <v>4</v>
      </c>
      <c r="BA163" s="1" t="s">
        <v>1529</v>
      </c>
      <c r="BB163" s="1" t="s">
        <v>1530</v>
      </c>
      <c r="BC163" s="1" t="s">
        <v>1531</v>
      </c>
      <c r="BD163" s="1" t="s">
        <v>1532</v>
      </c>
      <c r="BE163" s="1" t="s">
        <v>1533</v>
      </c>
      <c r="BF163" s="1" t="s">
        <v>1534</v>
      </c>
      <c r="BG163" s="1" t="s">
        <v>45</v>
      </c>
      <c r="BH163" s="1" t="s">
        <v>46</v>
      </c>
      <c r="BI163" s="1" t="s">
        <v>1535</v>
      </c>
      <c r="BJ163" s="1" t="s">
        <v>45</v>
      </c>
      <c r="BK163" s="1" t="s">
        <v>1549</v>
      </c>
      <c r="BL163" s="32">
        <v>45252</v>
      </c>
      <c r="BM163" s="1" t="s">
        <v>990</v>
      </c>
      <c r="BO163" s="1" t="s">
        <v>1537</v>
      </c>
      <c r="BP163" s="1" t="s">
        <v>1538</v>
      </c>
      <c r="BQ163" s="1" t="s">
        <v>1539</v>
      </c>
      <c r="BR163" s="1" t="s">
        <v>1540</v>
      </c>
      <c r="BS163" s="1" t="s">
        <v>106</v>
      </c>
      <c r="BU163" s="1" t="s">
        <v>51</v>
      </c>
      <c r="BV163" s="1" t="s">
        <v>1541</v>
      </c>
      <c r="BW163" s="1" t="s">
        <v>1563</v>
      </c>
      <c r="BX163" s="32">
        <v>45371</v>
      </c>
      <c r="BY163" s="1">
        <v>4</v>
      </c>
      <c r="BZ163" s="1" t="s">
        <v>2016</v>
      </c>
      <c r="CA163" s="1" t="s">
        <v>51</v>
      </c>
      <c r="CB163" s="1" t="s">
        <v>51</v>
      </c>
      <c r="CC163" s="32">
        <v>45302</v>
      </c>
      <c r="CD163" s="1">
        <v>60</v>
      </c>
      <c r="CE163" s="1">
        <v>30</v>
      </c>
      <c r="CJ163" s="1" t="s">
        <v>51</v>
      </c>
      <c r="CK163" s="32">
        <v>45283</v>
      </c>
      <c r="CL163" s="1" t="s">
        <v>51</v>
      </c>
      <c r="CM163" s="32">
        <v>45283</v>
      </c>
      <c r="CN163" s="1">
        <v>8.4875117216643703E-2</v>
      </c>
      <c r="CO163" s="1" t="s">
        <v>1537</v>
      </c>
      <c r="CP163" s="1" t="s">
        <v>1566</v>
      </c>
      <c r="CQ163" s="1" t="s">
        <v>1539</v>
      </c>
      <c r="CR163" s="1" t="s">
        <v>1540</v>
      </c>
      <c r="CS163" s="1" t="s">
        <v>106</v>
      </c>
      <c r="CT163" s="1" t="s">
        <v>1528</v>
      </c>
      <c r="CW163" s="1">
        <v>4</v>
      </c>
      <c r="CX163" s="1" t="s">
        <v>1529</v>
      </c>
      <c r="CY163" s="1" t="s">
        <v>1530</v>
      </c>
      <c r="CZ163" s="1" t="s">
        <v>1531</v>
      </c>
      <c r="DA163" s="1" t="s">
        <v>1532</v>
      </c>
      <c r="DB163" s="1" t="s">
        <v>1533</v>
      </c>
      <c r="DC163" s="1" t="s">
        <v>1534</v>
      </c>
      <c r="DD163" s="1" t="s">
        <v>45</v>
      </c>
      <c r="DE163" s="1" t="s">
        <v>46</v>
      </c>
      <c r="DF163" s="1" t="s">
        <v>68</v>
      </c>
      <c r="DG163" s="1" t="s">
        <v>45</v>
      </c>
      <c r="DH163" s="1" t="s">
        <v>45</v>
      </c>
      <c r="DM163" s="1" t="s">
        <v>45</v>
      </c>
      <c r="DO163" s="1" t="s">
        <v>45</v>
      </c>
      <c r="DQ163" s="1" t="s">
        <v>45</v>
      </c>
      <c r="DS163" s="1" t="s">
        <v>2017</v>
      </c>
      <c r="DT163" s="32">
        <v>45705</v>
      </c>
      <c r="DU163" s="1" t="s">
        <v>1543</v>
      </c>
      <c r="DV163" s="1">
        <v>14.881734559789701</v>
      </c>
      <c r="DW163" s="1" t="s">
        <v>45</v>
      </c>
      <c r="DY163" s="32">
        <v>45812</v>
      </c>
      <c r="DZ163" s="1" t="s">
        <v>1544</v>
      </c>
    </row>
    <row r="164" spans="1:130" ht="15.75" customHeight="1" x14ac:dyDescent="0.2">
      <c r="A164" s="8" t="s">
        <v>619</v>
      </c>
      <c r="B164" s="32">
        <v>34471</v>
      </c>
      <c r="C164" s="32">
        <v>42864</v>
      </c>
      <c r="D164" s="1">
        <v>22.979253509654502</v>
      </c>
      <c r="E164" s="1" t="s">
        <v>1523</v>
      </c>
      <c r="F164" s="1" t="s">
        <v>1524</v>
      </c>
      <c r="G164" s="1" t="s">
        <v>1574</v>
      </c>
      <c r="H164" s="1" t="s">
        <v>51</v>
      </c>
      <c r="I164" s="1">
        <v>1.88</v>
      </c>
      <c r="J164" s="1" t="s">
        <v>51</v>
      </c>
      <c r="K164" s="1">
        <v>88.2</v>
      </c>
      <c r="L164" s="1">
        <v>24.954730647351699</v>
      </c>
      <c r="M164" s="1" t="s">
        <v>45</v>
      </c>
      <c r="N164" s="1" t="s">
        <v>45</v>
      </c>
      <c r="O164" s="1" t="s">
        <v>45</v>
      </c>
      <c r="P164" s="1" t="s">
        <v>45</v>
      </c>
      <c r="Q164" s="1" t="s">
        <v>45</v>
      </c>
      <c r="R164" s="1" t="s">
        <v>45</v>
      </c>
      <c r="S164" s="1" t="s">
        <v>45</v>
      </c>
      <c r="T164" s="1" t="s">
        <v>45</v>
      </c>
      <c r="U164" s="1" t="s">
        <v>45</v>
      </c>
      <c r="V164" s="1" t="s">
        <v>45</v>
      </c>
      <c r="W164" s="1" t="s">
        <v>45</v>
      </c>
      <c r="X164" s="1" t="s">
        <v>45</v>
      </c>
      <c r="Y164" s="1" t="s">
        <v>45</v>
      </c>
      <c r="Z164" s="1" t="s">
        <v>45</v>
      </c>
      <c r="AA164" s="1" t="s">
        <v>45</v>
      </c>
      <c r="AB164" s="1" t="s">
        <v>45</v>
      </c>
      <c r="AC164" s="1" t="s">
        <v>45</v>
      </c>
      <c r="AD164" s="1" t="s">
        <v>45</v>
      </c>
      <c r="AE164" s="1" t="s">
        <v>45</v>
      </c>
      <c r="AF164" s="32">
        <v>42874</v>
      </c>
      <c r="AG164" s="1">
        <v>23.0066325797244</v>
      </c>
      <c r="AH164" s="1" t="s">
        <v>1526</v>
      </c>
      <c r="AI164" s="1" t="s">
        <v>1527</v>
      </c>
      <c r="AJ164" s="1" t="s">
        <v>45</v>
      </c>
      <c r="AK164" s="1" t="s">
        <v>51</v>
      </c>
      <c r="AL164" s="1" t="s">
        <v>45</v>
      </c>
      <c r="AM164" s="1" t="s">
        <v>45</v>
      </c>
      <c r="AN164" s="1" t="s">
        <v>45</v>
      </c>
      <c r="AO164" s="1" t="s">
        <v>45</v>
      </c>
      <c r="AP164" s="1" t="s">
        <v>45</v>
      </c>
      <c r="AQ164" s="1" t="s">
        <v>45</v>
      </c>
      <c r="AR164" s="1" t="s">
        <v>45</v>
      </c>
      <c r="AT164" s="1" t="s">
        <v>1560</v>
      </c>
      <c r="AW164" s="33" t="s">
        <v>1463</v>
      </c>
      <c r="AX164" s="3" t="s">
        <v>1560</v>
      </c>
      <c r="AY164" s="3"/>
      <c r="AZ164" s="1">
        <v>3</v>
      </c>
      <c r="BB164" s="1" t="s">
        <v>1567</v>
      </c>
      <c r="BC164" s="1" t="s">
        <v>1531</v>
      </c>
      <c r="BE164" s="1" t="s">
        <v>1525</v>
      </c>
      <c r="BG164" s="1" t="s">
        <v>1525</v>
      </c>
      <c r="BH164" s="1" t="s">
        <v>1525</v>
      </c>
      <c r="BI164" s="1" t="s">
        <v>1599</v>
      </c>
      <c r="BJ164" s="1" t="s">
        <v>1525</v>
      </c>
      <c r="BK164" s="1" t="s">
        <v>1549</v>
      </c>
      <c r="BL164" s="32">
        <v>42874</v>
      </c>
      <c r="BM164" s="1" t="s">
        <v>620</v>
      </c>
      <c r="BO164" s="1" t="s">
        <v>1537</v>
      </c>
      <c r="BP164" s="1" t="s">
        <v>1551</v>
      </c>
      <c r="BQ164" s="1" t="s">
        <v>1539</v>
      </c>
      <c r="BR164" s="1" t="s">
        <v>1580</v>
      </c>
      <c r="BS164" s="1" t="s">
        <v>1581</v>
      </c>
      <c r="BU164" s="1" t="s">
        <v>1525</v>
      </c>
      <c r="BW164" s="1" t="s">
        <v>1563</v>
      </c>
      <c r="BX164" s="32">
        <v>42991</v>
      </c>
      <c r="BY164" s="1">
        <v>12</v>
      </c>
      <c r="BZ164" s="1" t="s">
        <v>2018</v>
      </c>
      <c r="CA164" s="1" t="s">
        <v>51</v>
      </c>
      <c r="CB164" s="1" t="s">
        <v>51</v>
      </c>
      <c r="CC164" s="32">
        <v>42912</v>
      </c>
      <c r="CD164" s="1">
        <v>59.4</v>
      </c>
      <c r="CE164" s="1">
        <v>33</v>
      </c>
      <c r="CJ164" s="1" t="s">
        <v>51</v>
      </c>
      <c r="CK164" s="32">
        <v>45246</v>
      </c>
      <c r="CL164" s="1" t="s">
        <v>51</v>
      </c>
      <c r="CM164" s="32">
        <v>45253</v>
      </c>
      <c r="CN164" s="1">
        <v>6.5135948490842797</v>
      </c>
      <c r="CO164" s="1" t="s">
        <v>1537</v>
      </c>
      <c r="CP164" s="1" t="s">
        <v>1566</v>
      </c>
      <c r="CQ164" s="1" t="s">
        <v>1539</v>
      </c>
      <c r="CR164" s="1" t="s">
        <v>1580</v>
      </c>
      <c r="CS164" s="1" t="s">
        <v>1581</v>
      </c>
      <c r="CT164" s="1" t="s">
        <v>1560</v>
      </c>
      <c r="CW164" s="1">
        <v>4</v>
      </c>
      <c r="CY164" s="1" t="s">
        <v>1567</v>
      </c>
      <c r="CZ164" s="1" t="s">
        <v>1531</v>
      </c>
      <c r="DB164" s="1" t="s">
        <v>1603</v>
      </c>
      <c r="DD164" s="1" t="s">
        <v>45</v>
      </c>
      <c r="DE164" s="1" t="s">
        <v>46</v>
      </c>
      <c r="DF164" s="1" t="s">
        <v>46</v>
      </c>
      <c r="DG164" s="1" t="s">
        <v>1525</v>
      </c>
      <c r="DH164" s="1" t="s">
        <v>51</v>
      </c>
      <c r="DI164" s="1" t="s">
        <v>2019</v>
      </c>
      <c r="DJ164" s="32">
        <v>45280</v>
      </c>
      <c r="DK164" s="1" t="s">
        <v>1569</v>
      </c>
      <c r="DM164" s="1" t="s">
        <v>45</v>
      </c>
      <c r="DO164" s="1" t="s">
        <v>45</v>
      </c>
      <c r="DQ164" s="1" t="s">
        <v>45</v>
      </c>
      <c r="DS164" s="1" t="s">
        <v>2020</v>
      </c>
      <c r="DT164" s="32">
        <v>45597</v>
      </c>
      <c r="DU164" s="1" t="s">
        <v>1543</v>
      </c>
      <c r="DV164" s="1">
        <v>89.454664914586004</v>
      </c>
      <c r="DW164" s="1" t="s">
        <v>45</v>
      </c>
    </row>
    <row r="165" spans="1:130" ht="15.75" customHeight="1" x14ac:dyDescent="0.2">
      <c r="A165" s="8" t="s">
        <v>621</v>
      </c>
      <c r="B165" s="32">
        <v>30533</v>
      </c>
      <c r="C165" s="32">
        <v>45020</v>
      </c>
      <c r="D165" s="1">
        <v>39.664058810242501</v>
      </c>
      <c r="E165" s="1" t="s">
        <v>1523</v>
      </c>
      <c r="F165" s="1" t="s">
        <v>1524</v>
      </c>
      <c r="G165" s="1" t="s">
        <v>1686</v>
      </c>
      <c r="H165" s="1" t="s">
        <v>51</v>
      </c>
      <c r="I165" s="1">
        <v>1.77</v>
      </c>
      <c r="J165" s="1" t="s">
        <v>51</v>
      </c>
      <c r="K165" s="1">
        <v>68.400000000000006</v>
      </c>
      <c r="L165" s="1">
        <v>21.832806664751502</v>
      </c>
      <c r="M165" s="1" t="s">
        <v>45</v>
      </c>
      <c r="N165" s="1" t="s">
        <v>45</v>
      </c>
      <c r="O165" s="1" t="s">
        <v>45</v>
      </c>
      <c r="P165" s="1" t="s">
        <v>45</v>
      </c>
      <c r="Q165" s="1" t="s">
        <v>45</v>
      </c>
      <c r="R165" s="1" t="s">
        <v>45</v>
      </c>
      <c r="S165" s="1" t="s">
        <v>45</v>
      </c>
      <c r="T165" s="1" t="s">
        <v>45</v>
      </c>
      <c r="U165" s="1" t="s">
        <v>45</v>
      </c>
      <c r="V165" s="1" t="s">
        <v>45</v>
      </c>
      <c r="W165" s="1" t="s">
        <v>45</v>
      </c>
      <c r="X165" s="1" t="s">
        <v>45</v>
      </c>
      <c r="Y165" s="1" t="s">
        <v>45</v>
      </c>
      <c r="Z165" s="1" t="s">
        <v>45</v>
      </c>
      <c r="AA165" s="1" t="s">
        <v>45</v>
      </c>
      <c r="AB165" s="1" t="s">
        <v>45</v>
      </c>
      <c r="AC165" s="1" t="s">
        <v>45</v>
      </c>
      <c r="AD165" s="1" t="s">
        <v>45</v>
      </c>
      <c r="AE165" s="1" t="s">
        <v>45</v>
      </c>
      <c r="AF165" s="32">
        <v>45258</v>
      </c>
      <c r="AG165" s="1">
        <v>40.315794757364401</v>
      </c>
      <c r="AH165" s="1" t="s">
        <v>1526</v>
      </c>
      <c r="AI165" s="1" t="s">
        <v>1527</v>
      </c>
      <c r="AJ165" s="1" t="s">
        <v>45</v>
      </c>
      <c r="AK165" s="1" t="s">
        <v>51</v>
      </c>
      <c r="AL165" s="1" t="s">
        <v>45</v>
      </c>
      <c r="AM165" s="1" t="s">
        <v>45</v>
      </c>
      <c r="AN165" s="1" t="s">
        <v>45</v>
      </c>
      <c r="AO165" s="1" t="s">
        <v>45</v>
      </c>
      <c r="AP165" s="1" t="s">
        <v>45</v>
      </c>
      <c r="AQ165" s="1" t="s">
        <v>45</v>
      </c>
      <c r="AR165" s="1" t="s">
        <v>45</v>
      </c>
      <c r="AT165" s="1" t="s">
        <v>1601</v>
      </c>
      <c r="AW165" s="33" t="s">
        <v>1463</v>
      </c>
      <c r="AX165" s="3" t="s">
        <v>1601</v>
      </c>
      <c r="AY165" s="3"/>
      <c r="AZ165" s="1">
        <v>3</v>
      </c>
      <c r="BB165" s="1" t="s">
        <v>1567</v>
      </c>
      <c r="BC165" s="1" t="s">
        <v>1602</v>
      </c>
      <c r="BE165" s="1" t="s">
        <v>1603</v>
      </c>
      <c r="BG165" s="1" t="s">
        <v>45</v>
      </c>
      <c r="BH165" s="1" t="s">
        <v>46</v>
      </c>
      <c r="BI165" s="1" t="s">
        <v>1535</v>
      </c>
      <c r="BJ165" s="1" t="s">
        <v>1525</v>
      </c>
      <c r="BK165" s="1" t="s">
        <v>1549</v>
      </c>
      <c r="BL165" s="32">
        <v>45258</v>
      </c>
      <c r="BM165" s="1" t="s">
        <v>622</v>
      </c>
      <c r="BO165" s="1" t="s">
        <v>1537</v>
      </c>
      <c r="BP165" s="1" t="s">
        <v>1551</v>
      </c>
      <c r="BQ165" s="1" t="s">
        <v>1539</v>
      </c>
      <c r="BR165" s="1" t="s">
        <v>1580</v>
      </c>
      <c r="BS165" s="1" t="s">
        <v>1581</v>
      </c>
      <c r="BU165" s="1" t="s">
        <v>51</v>
      </c>
      <c r="BW165" s="1" t="s">
        <v>1563</v>
      </c>
      <c r="CA165" s="1" t="s">
        <v>51</v>
      </c>
      <c r="CB165" s="1" t="s">
        <v>51</v>
      </c>
      <c r="CI165" s="1" t="s">
        <v>2021</v>
      </c>
      <c r="DS165" s="1" t="s">
        <v>2022</v>
      </c>
      <c r="DT165" s="32">
        <v>45280</v>
      </c>
      <c r="DU165" s="1" t="s">
        <v>1556</v>
      </c>
      <c r="DV165" s="1">
        <v>0.72273324572930298</v>
      </c>
    </row>
    <row r="166" spans="1:130" ht="15.75" customHeight="1" x14ac:dyDescent="0.2">
      <c r="A166" s="8" t="s">
        <v>625</v>
      </c>
      <c r="B166" s="32">
        <v>31177</v>
      </c>
      <c r="C166" s="32">
        <v>40483</v>
      </c>
      <c r="D166" s="1">
        <v>25.478962607035001</v>
      </c>
      <c r="E166" s="1" t="s">
        <v>1587</v>
      </c>
      <c r="F166" s="1" t="s">
        <v>1524</v>
      </c>
      <c r="G166" s="1" t="s">
        <v>1574</v>
      </c>
      <c r="H166" s="1" t="s">
        <v>51</v>
      </c>
      <c r="I166" s="1">
        <v>1.6259999999999999</v>
      </c>
      <c r="J166" s="1" t="s">
        <v>51</v>
      </c>
      <c r="K166" s="1">
        <v>58.9</v>
      </c>
      <c r="L166" s="1">
        <v>22.277898055733299</v>
      </c>
      <c r="M166" s="1" t="s">
        <v>45</v>
      </c>
      <c r="N166" s="1" t="s">
        <v>45</v>
      </c>
      <c r="O166" s="1" t="s">
        <v>45</v>
      </c>
      <c r="P166" s="1" t="s">
        <v>45</v>
      </c>
      <c r="Q166" s="1" t="s">
        <v>45</v>
      </c>
      <c r="R166" s="1" t="s">
        <v>45</v>
      </c>
      <c r="S166" s="1" t="s">
        <v>45</v>
      </c>
      <c r="T166" s="1" t="s">
        <v>45</v>
      </c>
      <c r="U166" s="1" t="s">
        <v>45</v>
      </c>
      <c r="V166" s="1" t="s">
        <v>45</v>
      </c>
      <c r="W166" s="1" t="s">
        <v>45</v>
      </c>
      <c r="X166" s="1" t="s">
        <v>45</v>
      </c>
      <c r="Y166" s="1" t="s">
        <v>45</v>
      </c>
      <c r="Z166" s="1" t="s">
        <v>45</v>
      </c>
      <c r="AA166" s="1" t="s">
        <v>45</v>
      </c>
      <c r="AB166" s="1" t="s">
        <v>45</v>
      </c>
      <c r="AC166" s="1" t="s">
        <v>45</v>
      </c>
      <c r="AD166" s="1" t="s">
        <v>45</v>
      </c>
      <c r="AE166" s="1" t="s">
        <v>45</v>
      </c>
      <c r="AF166" s="32">
        <v>40483</v>
      </c>
      <c r="AG166" s="1">
        <v>25.478962607035001</v>
      </c>
      <c r="AH166" s="1" t="s">
        <v>1526</v>
      </c>
      <c r="AI166" s="1" t="s">
        <v>1527</v>
      </c>
      <c r="AJ166" s="1" t="s">
        <v>45</v>
      </c>
      <c r="AK166" s="1" t="s">
        <v>51</v>
      </c>
      <c r="AL166" s="1" t="s">
        <v>45</v>
      </c>
      <c r="AM166" s="1" t="s">
        <v>45</v>
      </c>
      <c r="AN166" s="1" t="s">
        <v>45</v>
      </c>
      <c r="AO166" s="1" t="s">
        <v>45</v>
      </c>
      <c r="AP166" s="1" t="s">
        <v>45</v>
      </c>
      <c r="AQ166" s="1" t="s">
        <v>45</v>
      </c>
      <c r="AR166" s="1" t="s">
        <v>45</v>
      </c>
      <c r="AT166" s="1" t="s">
        <v>1601</v>
      </c>
      <c r="AW166" s="33" t="s">
        <v>1463</v>
      </c>
      <c r="AX166" s="3" t="s">
        <v>1601</v>
      </c>
      <c r="AY166" s="3"/>
      <c r="AZ166" s="1">
        <v>3</v>
      </c>
      <c r="BB166" s="1" t="s">
        <v>1567</v>
      </c>
      <c r="BC166" s="1" t="s">
        <v>1602</v>
      </c>
      <c r="BE166" s="1" t="s">
        <v>1525</v>
      </c>
      <c r="BG166" s="1" t="s">
        <v>51</v>
      </c>
      <c r="BH166" s="1" t="s">
        <v>46</v>
      </c>
      <c r="BI166" s="1" t="s">
        <v>1535</v>
      </c>
      <c r="BJ166" s="1" t="s">
        <v>1525</v>
      </c>
      <c r="BK166" s="1" t="s">
        <v>1549</v>
      </c>
      <c r="BL166" s="32">
        <v>40483</v>
      </c>
      <c r="BM166" s="1" t="s">
        <v>626</v>
      </c>
      <c r="BO166" s="1" t="s">
        <v>1537</v>
      </c>
      <c r="BP166" s="1" t="s">
        <v>1551</v>
      </c>
      <c r="BQ166" s="1" t="s">
        <v>1539</v>
      </c>
      <c r="BR166" s="1" t="s">
        <v>1589</v>
      </c>
      <c r="BS166" s="1" t="s">
        <v>1581</v>
      </c>
      <c r="BU166" s="1" t="s">
        <v>1525</v>
      </c>
      <c r="BW166" s="1" t="s">
        <v>1563</v>
      </c>
      <c r="BX166" s="32">
        <v>40513</v>
      </c>
      <c r="BY166" s="1">
        <v>12</v>
      </c>
      <c r="BZ166" s="1" t="s">
        <v>1591</v>
      </c>
      <c r="CA166" s="1" t="s">
        <v>45</v>
      </c>
      <c r="CB166" s="1" t="s">
        <v>45</v>
      </c>
      <c r="CJ166" s="1" t="s">
        <v>51</v>
      </c>
      <c r="CK166" s="32">
        <v>43272</v>
      </c>
      <c r="CL166" s="1" t="s">
        <v>51</v>
      </c>
      <c r="CM166" s="32">
        <v>45260</v>
      </c>
      <c r="CN166" s="1">
        <v>13.0790958518427</v>
      </c>
      <c r="CO166" s="1" t="s">
        <v>1537</v>
      </c>
      <c r="CP166" s="1" t="s">
        <v>1566</v>
      </c>
      <c r="CQ166" s="1" t="s">
        <v>1539</v>
      </c>
      <c r="CR166" s="1" t="s">
        <v>1589</v>
      </c>
      <c r="CS166" s="1" t="s">
        <v>1581</v>
      </c>
      <c r="CT166" s="1" t="s">
        <v>1601</v>
      </c>
      <c r="CW166" s="1">
        <v>3</v>
      </c>
      <c r="CY166" s="1" t="s">
        <v>1567</v>
      </c>
      <c r="CZ166" s="1" t="s">
        <v>1602</v>
      </c>
      <c r="DB166" s="1" t="s">
        <v>1525</v>
      </c>
      <c r="DD166" s="1" t="s">
        <v>51</v>
      </c>
      <c r="DE166" s="1" t="s">
        <v>46</v>
      </c>
      <c r="DF166" s="1" t="s">
        <v>68</v>
      </c>
      <c r="DG166" s="1" t="s">
        <v>1525</v>
      </c>
      <c r="DH166" s="1" t="s">
        <v>51</v>
      </c>
      <c r="DI166" s="1" t="s">
        <v>2023</v>
      </c>
      <c r="DJ166" s="32">
        <v>43377</v>
      </c>
      <c r="DK166" s="1" t="s">
        <v>1583</v>
      </c>
      <c r="DL166" s="1" t="s">
        <v>2024</v>
      </c>
      <c r="DM166" s="1" t="s">
        <v>51</v>
      </c>
      <c r="DN166" s="1" t="s">
        <v>2025</v>
      </c>
      <c r="DO166" s="1" t="s">
        <v>51</v>
      </c>
      <c r="DP166" s="1" t="s">
        <v>2026</v>
      </c>
      <c r="DQ166" s="1" t="s">
        <v>45</v>
      </c>
      <c r="DT166" s="32">
        <v>45742</v>
      </c>
      <c r="DU166" s="1" t="s">
        <v>1598</v>
      </c>
      <c r="DV166" s="1">
        <v>172.76609724047299</v>
      </c>
      <c r="DW166" s="1" t="s">
        <v>45</v>
      </c>
    </row>
    <row r="167" spans="1:130" ht="15.75" customHeight="1" x14ac:dyDescent="0.2">
      <c r="A167" s="8" t="s">
        <v>628</v>
      </c>
      <c r="B167" s="32">
        <v>25567</v>
      </c>
      <c r="C167" s="32">
        <v>42760</v>
      </c>
      <c r="D167" s="1">
        <v>47.0728351711534</v>
      </c>
      <c r="E167" s="1" t="s">
        <v>1523</v>
      </c>
      <c r="F167" s="1" t="s">
        <v>1524</v>
      </c>
      <c r="G167" s="1" t="s">
        <v>1574</v>
      </c>
      <c r="H167" s="1" t="s">
        <v>51</v>
      </c>
      <c r="I167" s="1">
        <v>1.93</v>
      </c>
      <c r="J167" s="1" t="s">
        <v>51</v>
      </c>
      <c r="K167" s="1">
        <v>124.4</v>
      </c>
      <c r="L167" s="1">
        <v>33.3968697146232</v>
      </c>
      <c r="M167" s="1" t="s">
        <v>45</v>
      </c>
      <c r="N167" s="1" t="s">
        <v>45</v>
      </c>
      <c r="O167" s="1" t="s">
        <v>45</v>
      </c>
      <c r="P167" s="1" t="s">
        <v>45</v>
      </c>
      <c r="Q167" s="1" t="s">
        <v>45</v>
      </c>
      <c r="R167" s="1" t="s">
        <v>45</v>
      </c>
      <c r="S167" s="1" t="s">
        <v>45</v>
      </c>
      <c r="T167" s="1" t="s">
        <v>45</v>
      </c>
      <c r="U167" s="1" t="s">
        <v>45</v>
      </c>
      <c r="V167" s="1" t="s">
        <v>45</v>
      </c>
      <c r="W167" s="1" t="s">
        <v>45</v>
      </c>
      <c r="X167" s="1" t="s">
        <v>45</v>
      </c>
      <c r="Y167" s="1" t="s">
        <v>45</v>
      </c>
      <c r="Z167" s="1" t="s">
        <v>45</v>
      </c>
      <c r="AA167" s="1" t="s">
        <v>45</v>
      </c>
      <c r="AB167" s="1" t="s">
        <v>45</v>
      </c>
      <c r="AC167" s="1" t="s">
        <v>45</v>
      </c>
      <c r="AD167" s="1" t="s">
        <v>45</v>
      </c>
      <c r="AE167" s="1" t="s">
        <v>45</v>
      </c>
      <c r="AF167" s="32">
        <v>40018</v>
      </c>
      <c r="AG167" s="1">
        <v>39.565494157990898</v>
      </c>
      <c r="AH167" s="1" t="s">
        <v>1526</v>
      </c>
      <c r="AI167" s="1" t="s">
        <v>1527</v>
      </c>
      <c r="AJ167" s="1" t="s">
        <v>45</v>
      </c>
      <c r="AK167" s="1" t="s">
        <v>51</v>
      </c>
      <c r="AL167" s="1" t="s">
        <v>45</v>
      </c>
      <c r="AM167" s="1" t="s">
        <v>45</v>
      </c>
      <c r="AN167" s="1" t="s">
        <v>45</v>
      </c>
      <c r="AO167" s="1" t="s">
        <v>45</v>
      </c>
      <c r="AP167" s="1" t="s">
        <v>45</v>
      </c>
      <c r="AQ167" s="1" t="s">
        <v>45</v>
      </c>
      <c r="AR167" s="1" t="s">
        <v>45</v>
      </c>
      <c r="AT167" s="1" t="s">
        <v>1601</v>
      </c>
      <c r="AW167" s="33" t="s">
        <v>1463</v>
      </c>
      <c r="AX167" s="36" t="s">
        <v>1601</v>
      </c>
      <c r="AY167" s="36"/>
      <c r="AZ167" s="1">
        <v>3</v>
      </c>
      <c r="BA167" s="1" t="s">
        <v>1978</v>
      </c>
      <c r="BB167" s="1" t="s">
        <v>1567</v>
      </c>
      <c r="BC167" s="1" t="s">
        <v>1602</v>
      </c>
      <c r="BD167" s="1" t="s">
        <v>1990</v>
      </c>
      <c r="BE167" s="1" t="s">
        <v>1525</v>
      </c>
      <c r="BG167" s="1" t="s">
        <v>45</v>
      </c>
      <c r="BH167" s="1" t="s">
        <v>46</v>
      </c>
      <c r="BI167" s="1" t="s">
        <v>1535</v>
      </c>
      <c r="BJ167" s="1" t="s">
        <v>1525</v>
      </c>
      <c r="BK167" s="1" t="s">
        <v>1549</v>
      </c>
      <c r="BL167" s="32">
        <v>40018</v>
      </c>
      <c r="BO167" s="1" t="s">
        <v>1537</v>
      </c>
      <c r="BP167" s="1" t="s">
        <v>1538</v>
      </c>
      <c r="BQ167" s="1" t="s">
        <v>1539</v>
      </c>
      <c r="BR167" s="1" t="s">
        <v>1552</v>
      </c>
      <c r="BS167" s="1" t="s">
        <v>50</v>
      </c>
      <c r="BU167" s="1" t="s">
        <v>45</v>
      </c>
      <c r="BW167" s="1" t="s">
        <v>1542</v>
      </c>
      <c r="CA167" s="1" t="s">
        <v>45</v>
      </c>
      <c r="CB167" s="1" t="s">
        <v>45</v>
      </c>
      <c r="CI167" s="1" t="s">
        <v>2027</v>
      </c>
      <c r="CJ167" s="1" t="s">
        <v>51</v>
      </c>
      <c r="CK167" s="32">
        <v>45249</v>
      </c>
      <c r="CL167" s="1" t="s">
        <v>51</v>
      </c>
      <c r="CM167" s="32">
        <v>45262</v>
      </c>
      <c r="CN167" s="1">
        <v>14.3575843446477</v>
      </c>
      <c r="CO167" s="1" t="s">
        <v>1537</v>
      </c>
      <c r="CP167" s="1" t="s">
        <v>1566</v>
      </c>
      <c r="CQ167" s="1" t="s">
        <v>1539</v>
      </c>
      <c r="CR167" s="1" t="s">
        <v>1552</v>
      </c>
      <c r="CS167" s="1" t="s">
        <v>50</v>
      </c>
      <c r="CT167" s="1" t="s">
        <v>1601</v>
      </c>
      <c r="CW167" s="1">
        <v>3</v>
      </c>
      <c r="CX167" s="1" t="s">
        <v>1978</v>
      </c>
      <c r="CY167" s="1" t="s">
        <v>1567</v>
      </c>
      <c r="CZ167" s="1" t="s">
        <v>1531</v>
      </c>
      <c r="DA167" s="1" t="s">
        <v>1822</v>
      </c>
      <c r="DB167" s="1" t="s">
        <v>1525</v>
      </c>
      <c r="DD167" s="1" t="s">
        <v>45</v>
      </c>
      <c r="DE167" s="1" t="s">
        <v>46</v>
      </c>
      <c r="DF167" s="1" t="s">
        <v>68</v>
      </c>
      <c r="DG167" s="1" t="s">
        <v>1525</v>
      </c>
      <c r="DH167" s="1" t="s">
        <v>45</v>
      </c>
      <c r="DM167" s="1" t="s">
        <v>45</v>
      </c>
      <c r="DO167" s="1" t="s">
        <v>45</v>
      </c>
      <c r="DQ167" s="1" t="s">
        <v>45</v>
      </c>
      <c r="DT167" s="32">
        <v>45267</v>
      </c>
      <c r="DU167" s="1" t="s">
        <v>1543</v>
      </c>
      <c r="DV167" s="1">
        <v>172.437582128777</v>
      </c>
      <c r="DW167" s="1" t="s">
        <v>45</v>
      </c>
      <c r="DY167" s="32">
        <v>45805</v>
      </c>
      <c r="DZ167" s="1" t="s">
        <v>1544</v>
      </c>
    </row>
    <row r="168" spans="1:130" ht="15.75" customHeight="1" x14ac:dyDescent="0.2">
      <c r="A168" s="8" t="s">
        <v>995</v>
      </c>
      <c r="B168" s="32">
        <v>32690</v>
      </c>
      <c r="C168" s="32">
        <v>45236</v>
      </c>
      <c r="D168" s="1">
        <v>34.349781309677802</v>
      </c>
      <c r="E168" s="1" t="s">
        <v>1523</v>
      </c>
      <c r="F168" s="1" t="s">
        <v>1524</v>
      </c>
      <c r="G168" s="1" t="s">
        <v>1686</v>
      </c>
      <c r="H168" s="1" t="s">
        <v>51</v>
      </c>
      <c r="I168" s="1">
        <v>1.8560000000000001</v>
      </c>
      <c r="J168" s="1" t="s">
        <v>51</v>
      </c>
      <c r="K168" s="1">
        <v>69.400000000000006</v>
      </c>
      <c r="L168" s="1">
        <v>20.1466817776456</v>
      </c>
      <c r="M168" s="1" t="s">
        <v>45</v>
      </c>
      <c r="N168" s="1" t="s">
        <v>45</v>
      </c>
      <c r="O168" s="1" t="s">
        <v>45</v>
      </c>
      <c r="P168" s="1" t="s">
        <v>45</v>
      </c>
      <c r="Q168" s="1" t="s">
        <v>45</v>
      </c>
      <c r="R168" s="1" t="s">
        <v>45</v>
      </c>
      <c r="S168" s="1" t="s">
        <v>45</v>
      </c>
      <c r="T168" s="1" t="s">
        <v>45</v>
      </c>
      <c r="U168" s="1" t="s">
        <v>45</v>
      </c>
      <c r="V168" s="1" t="s">
        <v>45</v>
      </c>
      <c r="W168" s="1" t="s">
        <v>45</v>
      </c>
      <c r="X168" s="1" t="s">
        <v>45</v>
      </c>
      <c r="Y168" s="1" t="s">
        <v>45</v>
      </c>
      <c r="Z168" s="1" t="s">
        <v>45</v>
      </c>
      <c r="AA168" s="1" t="s">
        <v>45</v>
      </c>
      <c r="AB168" s="1" t="s">
        <v>45</v>
      </c>
      <c r="AC168" s="1" t="s">
        <v>45</v>
      </c>
      <c r="AD168" s="1" t="s">
        <v>45</v>
      </c>
      <c r="AE168" s="1" t="s">
        <v>45</v>
      </c>
      <c r="AF168" s="32">
        <v>41805</v>
      </c>
      <c r="AG168" s="1">
        <v>24.9560223687002</v>
      </c>
      <c r="AH168" s="1" t="s">
        <v>1526</v>
      </c>
      <c r="AI168" s="1" t="s">
        <v>1527</v>
      </c>
      <c r="AJ168" s="1" t="s">
        <v>45</v>
      </c>
      <c r="AK168" s="1" t="s">
        <v>45</v>
      </c>
      <c r="AL168" s="1" t="s">
        <v>45</v>
      </c>
      <c r="AM168" s="1" t="s">
        <v>45</v>
      </c>
      <c r="AN168" s="1" t="s">
        <v>51</v>
      </c>
      <c r="AO168" s="1" t="s">
        <v>45</v>
      </c>
      <c r="AP168" s="1" t="s">
        <v>51</v>
      </c>
      <c r="AQ168" s="1" t="s">
        <v>51</v>
      </c>
      <c r="AR168" s="1" t="s">
        <v>51</v>
      </c>
      <c r="AT168" s="1" t="s">
        <v>1583</v>
      </c>
      <c r="AU168" s="1" t="s">
        <v>2028</v>
      </c>
      <c r="AW168" s="33" t="s">
        <v>1464</v>
      </c>
      <c r="AX168" s="3"/>
      <c r="AY168" s="33" t="s">
        <v>1621</v>
      </c>
      <c r="AZ168" s="1">
        <v>1</v>
      </c>
      <c r="BA168" s="1" t="s">
        <v>1814</v>
      </c>
      <c r="BB168" s="1" t="s">
        <v>1561</v>
      </c>
      <c r="BC168" s="1" t="s">
        <v>1561</v>
      </c>
      <c r="BE168" s="1" t="s">
        <v>1525</v>
      </c>
      <c r="BG168" s="1" t="s">
        <v>45</v>
      </c>
      <c r="BH168" s="1" t="s">
        <v>1525</v>
      </c>
      <c r="BI168" s="1" t="s">
        <v>1535</v>
      </c>
      <c r="BJ168" s="1" t="s">
        <v>45</v>
      </c>
      <c r="BK168" s="1" t="s">
        <v>1549</v>
      </c>
      <c r="BL168" s="32">
        <v>45265</v>
      </c>
      <c r="BM168" s="1" t="s">
        <v>996</v>
      </c>
      <c r="BO168" s="1" t="s">
        <v>1537</v>
      </c>
      <c r="BP168" s="1" t="s">
        <v>1796</v>
      </c>
      <c r="BQ168" s="1" t="s">
        <v>1539</v>
      </c>
      <c r="BR168" s="1" t="s">
        <v>1552</v>
      </c>
      <c r="BS168" s="1" t="s">
        <v>99</v>
      </c>
      <c r="BU168" s="1" t="s">
        <v>51</v>
      </c>
      <c r="BV168" s="1" t="s">
        <v>1541</v>
      </c>
      <c r="BW168" s="1" t="s">
        <v>1542</v>
      </c>
      <c r="CA168" s="1" t="s">
        <v>45</v>
      </c>
      <c r="CB168" s="1" t="s">
        <v>45</v>
      </c>
      <c r="CG168" s="1" t="s">
        <v>2029</v>
      </c>
      <c r="CJ168" s="1" t="s">
        <v>51</v>
      </c>
      <c r="CK168" s="32">
        <v>45265</v>
      </c>
      <c r="CL168" s="1" t="s">
        <v>45</v>
      </c>
      <c r="DH168" s="1" t="s">
        <v>45</v>
      </c>
      <c r="DM168" s="1" t="s">
        <v>45</v>
      </c>
      <c r="DO168" s="1" t="s">
        <v>45</v>
      </c>
      <c r="DQ168" s="1" t="s">
        <v>45</v>
      </c>
      <c r="DT168" s="32">
        <v>45789</v>
      </c>
      <c r="DU168" s="1" t="s">
        <v>1598</v>
      </c>
      <c r="DV168" s="1">
        <v>130.88042049934199</v>
      </c>
      <c r="DW168" s="1" t="s">
        <v>51</v>
      </c>
      <c r="DX168" s="1" t="s">
        <v>2030</v>
      </c>
      <c r="DY168" s="32">
        <v>45812</v>
      </c>
      <c r="DZ168" s="1" t="s">
        <v>1544</v>
      </c>
    </row>
    <row r="169" spans="1:130" ht="15.75" customHeight="1" x14ac:dyDescent="0.2">
      <c r="A169" s="8" t="s">
        <v>999</v>
      </c>
      <c r="B169" s="32">
        <v>32234</v>
      </c>
      <c r="C169" s="32">
        <v>45267</v>
      </c>
      <c r="D169" s="1">
        <v>35.683142022081199</v>
      </c>
      <c r="E169" s="1" t="s">
        <v>1587</v>
      </c>
      <c r="F169" s="1" t="s">
        <v>1524</v>
      </c>
      <c r="G169" s="1" t="s">
        <v>1574</v>
      </c>
      <c r="H169" s="1" t="s">
        <v>51</v>
      </c>
      <c r="I169" s="1">
        <v>1.6759999999999999</v>
      </c>
      <c r="J169" s="1" t="s">
        <v>51</v>
      </c>
      <c r="K169" s="1">
        <v>88.8</v>
      </c>
      <c r="L169" s="1">
        <v>31.6129436492159</v>
      </c>
      <c r="M169" s="1" t="s">
        <v>45</v>
      </c>
      <c r="N169" s="1" t="s">
        <v>45</v>
      </c>
      <c r="O169" s="1" t="s">
        <v>45</v>
      </c>
      <c r="P169" s="1" t="s">
        <v>45</v>
      </c>
      <c r="Q169" s="1" t="s">
        <v>45</v>
      </c>
      <c r="R169" s="1" t="s">
        <v>45</v>
      </c>
      <c r="S169" s="1" t="s">
        <v>45</v>
      </c>
      <c r="T169" s="1" t="s">
        <v>45</v>
      </c>
      <c r="U169" s="1" t="s">
        <v>45</v>
      </c>
      <c r="V169" s="1" t="s">
        <v>45</v>
      </c>
      <c r="W169" s="1" t="s">
        <v>45</v>
      </c>
      <c r="X169" s="1" t="s">
        <v>45</v>
      </c>
      <c r="Y169" s="1" t="s">
        <v>45</v>
      </c>
      <c r="Z169" s="1" t="s">
        <v>45</v>
      </c>
      <c r="AA169" s="1" t="s">
        <v>45</v>
      </c>
      <c r="AB169" s="1" t="s">
        <v>45</v>
      </c>
      <c r="AC169" s="1" t="s">
        <v>45</v>
      </c>
      <c r="AD169" s="1" t="s">
        <v>45</v>
      </c>
      <c r="AE169" s="1" t="s">
        <v>45</v>
      </c>
      <c r="AF169" s="32">
        <v>45268</v>
      </c>
      <c r="AG169" s="1">
        <v>35.685879929088202</v>
      </c>
      <c r="AH169" s="1" t="s">
        <v>1526</v>
      </c>
      <c r="AI169" s="1" t="s">
        <v>1527</v>
      </c>
      <c r="AJ169" s="1" t="s">
        <v>45</v>
      </c>
      <c r="AK169" s="1" t="s">
        <v>45</v>
      </c>
      <c r="AL169" s="1" t="s">
        <v>45</v>
      </c>
      <c r="AM169" s="1" t="s">
        <v>51</v>
      </c>
      <c r="AN169" s="1" t="s">
        <v>45</v>
      </c>
      <c r="AO169" s="1" t="s">
        <v>45</v>
      </c>
      <c r="AP169" s="1" t="s">
        <v>45</v>
      </c>
      <c r="AQ169" s="1" t="s">
        <v>45</v>
      </c>
      <c r="AR169" s="1" t="s">
        <v>45</v>
      </c>
      <c r="AT169" s="1" t="s">
        <v>1583</v>
      </c>
      <c r="AU169" s="1" t="s">
        <v>2031</v>
      </c>
      <c r="AW169" s="33" t="s">
        <v>1464</v>
      </c>
      <c r="AX169" s="3"/>
      <c r="AY169" s="33" t="s">
        <v>1621</v>
      </c>
      <c r="AZ169" s="1">
        <v>2</v>
      </c>
      <c r="BA169" s="1" t="s">
        <v>1821</v>
      </c>
      <c r="BB169" s="1" t="s">
        <v>1530</v>
      </c>
      <c r="BC169" s="1" t="s">
        <v>1531</v>
      </c>
      <c r="BD169" s="1" t="s">
        <v>1532</v>
      </c>
      <c r="BE169" s="1" t="s">
        <v>1533</v>
      </c>
      <c r="BF169" s="1" t="s">
        <v>1534</v>
      </c>
      <c r="BG169" s="1" t="s">
        <v>45</v>
      </c>
      <c r="BH169" s="1" t="s">
        <v>46</v>
      </c>
      <c r="BI169" s="1" t="s">
        <v>1535</v>
      </c>
      <c r="BJ169" s="1" t="s">
        <v>45</v>
      </c>
      <c r="BK169" s="1" t="s">
        <v>1549</v>
      </c>
      <c r="BL169" s="32">
        <v>45268</v>
      </c>
      <c r="BM169" s="1" t="s">
        <v>1000</v>
      </c>
      <c r="BO169" s="1" t="s">
        <v>1537</v>
      </c>
      <c r="BP169" s="1" t="s">
        <v>1538</v>
      </c>
      <c r="BQ169" s="1" t="s">
        <v>1647</v>
      </c>
      <c r="BR169" s="1" t="s">
        <v>1552</v>
      </c>
      <c r="BS169" s="1" t="s">
        <v>50</v>
      </c>
      <c r="BU169" s="1" t="s">
        <v>51</v>
      </c>
      <c r="BV169" s="1" t="s">
        <v>1541</v>
      </c>
      <c r="BW169" s="1" t="s">
        <v>1542</v>
      </c>
      <c r="CA169" s="1" t="s">
        <v>45</v>
      </c>
      <c r="CB169" s="1" t="s">
        <v>45</v>
      </c>
      <c r="CJ169" s="1" t="s">
        <v>45</v>
      </c>
      <c r="DH169" s="1" t="s">
        <v>45</v>
      </c>
      <c r="DM169" s="1" t="s">
        <v>45</v>
      </c>
      <c r="DO169" s="1" t="s">
        <v>45</v>
      </c>
      <c r="DQ169" s="1" t="s">
        <v>45</v>
      </c>
      <c r="DT169" s="32">
        <v>45762</v>
      </c>
      <c r="DU169" s="1" t="s">
        <v>1598</v>
      </c>
      <c r="DV169" s="1">
        <v>16.228646517739801</v>
      </c>
      <c r="DW169" s="1" t="s">
        <v>45</v>
      </c>
      <c r="DY169" s="32">
        <v>45812</v>
      </c>
      <c r="DZ169" s="1" t="s">
        <v>1544</v>
      </c>
    </row>
    <row r="170" spans="1:130" ht="15.75" customHeight="1" x14ac:dyDescent="0.2">
      <c r="A170" s="8" t="s">
        <v>631</v>
      </c>
      <c r="B170" s="32">
        <v>30171</v>
      </c>
      <c r="C170" s="32">
        <v>42774</v>
      </c>
      <c r="D170" s="1">
        <v>34.505842009076098</v>
      </c>
      <c r="E170" s="1" t="s">
        <v>1523</v>
      </c>
      <c r="F170" s="1" t="s">
        <v>1524</v>
      </c>
      <c r="G170" s="1" t="s">
        <v>1545</v>
      </c>
      <c r="H170" s="1" t="s">
        <v>51</v>
      </c>
      <c r="I170" s="1">
        <v>1.81</v>
      </c>
      <c r="J170" s="1" t="s">
        <v>51</v>
      </c>
      <c r="K170" s="1">
        <v>95.5</v>
      </c>
      <c r="L170" s="1">
        <v>29.150514331064301</v>
      </c>
      <c r="M170" s="1" t="s">
        <v>45</v>
      </c>
      <c r="N170" s="1" t="s">
        <v>45</v>
      </c>
      <c r="O170" s="1" t="s">
        <v>45</v>
      </c>
      <c r="P170" s="1" t="s">
        <v>45</v>
      </c>
      <c r="Q170" s="1" t="s">
        <v>45</v>
      </c>
      <c r="R170" s="1" t="s">
        <v>45</v>
      </c>
      <c r="S170" s="1" t="s">
        <v>45</v>
      </c>
      <c r="T170" s="1" t="s">
        <v>45</v>
      </c>
      <c r="U170" s="1" t="s">
        <v>45</v>
      </c>
      <c r="V170" s="1" t="s">
        <v>45</v>
      </c>
      <c r="W170" s="1" t="s">
        <v>45</v>
      </c>
      <c r="X170" s="1" t="s">
        <v>45</v>
      </c>
      <c r="Y170" s="1" t="s">
        <v>45</v>
      </c>
      <c r="Z170" s="1" t="s">
        <v>45</v>
      </c>
      <c r="AA170" s="1" t="s">
        <v>45</v>
      </c>
      <c r="AB170" s="1" t="s">
        <v>45</v>
      </c>
      <c r="AC170" s="1" t="s">
        <v>45</v>
      </c>
      <c r="AD170" s="1" t="s">
        <v>45</v>
      </c>
      <c r="AE170" s="1" t="s">
        <v>45</v>
      </c>
      <c r="AF170" s="32">
        <v>41499</v>
      </c>
      <c r="AG170" s="1">
        <v>31.0150105751658</v>
      </c>
      <c r="AH170" s="1" t="s">
        <v>1526</v>
      </c>
      <c r="AI170" s="1" t="s">
        <v>1527</v>
      </c>
      <c r="AJ170" s="1" t="s">
        <v>45</v>
      </c>
      <c r="AK170" s="1" t="s">
        <v>51</v>
      </c>
      <c r="AL170" s="1" t="s">
        <v>45</v>
      </c>
      <c r="AM170" s="1" t="s">
        <v>45</v>
      </c>
      <c r="AN170" s="1" t="s">
        <v>45</v>
      </c>
      <c r="AO170" s="1" t="s">
        <v>45</v>
      </c>
      <c r="AP170" s="1" t="s">
        <v>45</v>
      </c>
      <c r="AQ170" s="1" t="s">
        <v>45</v>
      </c>
      <c r="AR170" s="1" t="s">
        <v>45</v>
      </c>
      <c r="AT170" s="1" t="s">
        <v>1560</v>
      </c>
      <c r="AW170" s="33" t="s">
        <v>1463</v>
      </c>
      <c r="AX170" s="3" t="s">
        <v>1560</v>
      </c>
      <c r="AY170" s="3"/>
      <c r="AZ170" s="1">
        <v>4</v>
      </c>
      <c r="BA170" s="1" t="s">
        <v>1529</v>
      </c>
      <c r="BB170" s="1" t="s">
        <v>1567</v>
      </c>
      <c r="BE170" s="1" t="s">
        <v>1525</v>
      </c>
      <c r="BK170" s="1" t="s">
        <v>1536</v>
      </c>
      <c r="BL170" s="32">
        <v>42506</v>
      </c>
      <c r="BO170" s="1" t="s">
        <v>1537</v>
      </c>
      <c r="BP170" s="1" t="s">
        <v>1538</v>
      </c>
      <c r="BQ170" s="1" t="s">
        <v>1539</v>
      </c>
      <c r="BR170" s="1" t="s">
        <v>1540</v>
      </c>
      <c r="BS170" s="1" t="s">
        <v>43</v>
      </c>
      <c r="BW170" s="1" t="s">
        <v>1563</v>
      </c>
      <c r="BX170" s="32">
        <v>42613</v>
      </c>
      <c r="BY170" s="1">
        <v>1</v>
      </c>
      <c r="BZ170" s="1" t="s">
        <v>2032</v>
      </c>
      <c r="CA170" s="1" t="s">
        <v>51</v>
      </c>
      <c r="CB170" s="1" t="s">
        <v>51</v>
      </c>
      <c r="CC170" s="32">
        <v>42528</v>
      </c>
      <c r="CD170" s="1">
        <v>54</v>
      </c>
      <c r="CE170" s="1">
        <v>30</v>
      </c>
      <c r="CJ170" s="1" t="s">
        <v>51</v>
      </c>
      <c r="CK170" s="32">
        <v>45132</v>
      </c>
      <c r="CL170" s="1" t="s">
        <v>51</v>
      </c>
      <c r="CM170" s="32">
        <v>45272</v>
      </c>
      <c r="CN170" s="1">
        <v>7.5730507813302097</v>
      </c>
      <c r="CO170" s="1" t="s">
        <v>1537</v>
      </c>
      <c r="CP170" s="1" t="s">
        <v>1566</v>
      </c>
      <c r="CQ170" s="1" t="s">
        <v>1539</v>
      </c>
      <c r="CR170" s="1" t="s">
        <v>1540</v>
      </c>
      <c r="CS170" s="1" t="s">
        <v>43</v>
      </c>
      <c r="CT170" s="1" t="s">
        <v>1560</v>
      </c>
      <c r="CW170" s="1">
        <v>4</v>
      </c>
      <c r="CX170" s="1" t="s">
        <v>1529</v>
      </c>
      <c r="CY170" s="1" t="s">
        <v>1567</v>
      </c>
      <c r="CZ170" s="1" t="s">
        <v>1531</v>
      </c>
      <c r="DA170" s="1" t="s">
        <v>1822</v>
      </c>
      <c r="DB170" s="1" t="s">
        <v>1603</v>
      </c>
      <c r="DC170" s="1" t="s">
        <v>1534</v>
      </c>
      <c r="DD170" s="1" t="s">
        <v>45</v>
      </c>
      <c r="DE170" s="1" t="s">
        <v>46</v>
      </c>
      <c r="DF170" s="1" t="s">
        <v>46</v>
      </c>
      <c r="DG170" s="1" t="s">
        <v>1525</v>
      </c>
      <c r="DH170" s="1" t="s">
        <v>51</v>
      </c>
      <c r="DI170" s="1" t="s">
        <v>2033</v>
      </c>
      <c r="DJ170" s="32">
        <v>45427</v>
      </c>
      <c r="DK170" s="1" t="s">
        <v>1569</v>
      </c>
      <c r="DM170" s="1" t="s">
        <v>51</v>
      </c>
      <c r="DN170" s="1" t="s">
        <v>2034</v>
      </c>
      <c r="DO170" s="1" t="s">
        <v>45</v>
      </c>
      <c r="DQ170" s="1" t="s">
        <v>45</v>
      </c>
      <c r="DT170" s="32">
        <v>45548</v>
      </c>
      <c r="DU170" s="1" t="s">
        <v>1543</v>
      </c>
      <c r="DV170" s="1">
        <v>133.015768725361</v>
      </c>
      <c r="DW170" s="1" t="s">
        <v>45</v>
      </c>
      <c r="DY170" s="32">
        <v>45805</v>
      </c>
      <c r="DZ170" s="1" t="s">
        <v>1544</v>
      </c>
    </row>
    <row r="171" spans="1:130" ht="15.75" customHeight="1" x14ac:dyDescent="0.2">
      <c r="A171" s="8" t="s">
        <v>1003</v>
      </c>
      <c r="B171" s="32">
        <v>24047</v>
      </c>
      <c r="C171" s="32">
        <v>45277</v>
      </c>
      <c r="D171" s="1">
        <v>58.125765758366001</v>
      </c>
      <c r="E171" s="1" t="s">
        <v>1523</v>
      </c>
      <c r="F171" s="1" t="s">
        <v>1524</v>
      </c>
      <c r="G171" s="1" t="s">
        <v>1545</v>
      </c>
      <c r="H171" s="1" t="s">
        <v>51</v>
      </c>
      <c r="I171" s="1">
        <v>1.71</v>
      </c>
      <c r="J171" s="1" t="s">
        <v>51</v>
      </c>
      <c r="K171" s="1">
        <v>101.3</v>
      </c>
      <c r="L171" s="1">
        <v>34.643138059573801</v>
      </c>
      <c r="M171" s="1" t="s">
        <v>45</v>
      </c>
      <c r="N171" s="1" t="s">
        <v>45</v>
      </c>
      <c r="O171" s="1" t="s">
        <v>45</v>
      </c>
      <c r="P171" s="1" t="s">
        <v>45</v>
      </c>
      <c r="Q171" s="1" t="s">
        <v>45</v>
      </c>
      <c r="R171" s="1" t="s">
        <v>45</v>
      </c>
      <c r="S171" s="1" t="s">
        <v>45</v>
      </c>
      <c r="T171" s="1" t="s">
        <v>45</v>
      </c>
      <c r="U171" s="1" t="s">
        <v>45</v>
      </c>
      <c r="V171" s="1" t="s">
        <v>45</v>
      </c>
      <c r="W171" s="1" t="s">
        <v>45</v>
      </c>
      <c r="X171" s="1" t="s">
        <v>45</v>
      </c>
      <c r="Y171" s="1" t="s">
        <v>45</v>
      </c>
      <c r="Z171" s="1" t="s">
        <v>45</v>
      </c>
      <c r="AA171" s="1" t="s">
        <v>45</v>
      </c>
      <c r="AB171" s="1" t="s">
        <v>45</v>
      </c>
      <c r="AC171" s="1" t="s">
        <v>45</v>
      </c>
      <c r="AD171" s="1" t="s">
        <v>45</v>
      </c>
      <c r="AE171" s="1" t="s">
        <v>45</v>
      </c>
      <c r="AF171" s="32">
        <v>45276</v>
      </c>
      <c r="AG171" s="1">
        <v>58.123027851358998</v>
      </c>
      <c r="AH171" s="1" t="s">
        <v>1526</v>
      </c>
      <c r="AI171" s="1" t="s">
        <v>1527</v>
      </c>
      <c r="AJ171" s="1" t="s">
        <v>45</v>
      </c>
      <c r="AK171" s="1" t="s">
        <v>45</v>
      </c>
      <c r="AL171" s="1" t="s">
        <v>45</v>
      </c>
      <c r="AM171" s="1" t="s">
        <v>45</v>
      </c>
      <c r="AN171" s="1" t="s">
        <v>51</v>
      </c>
      <c r="AO171" s="1" t="s">
        <v>45</v>
      </c>
      <c r="AP171" s="1" t="s">
        <v>45</v>
      </c>
      <c r="AQ171" s="1" t="s">
        <v>51</v>
      </c>
      <c r="AR171" s="1" t="s">
        <v>45</v>
      </c>
      <c r="AT171" s="1" t="s">
        <v>1528</v>
      </c>
      <c r="AW171" s="33" t="s">
        <v>1463</v>
      </c>
      <c r="AX171" s="3" t="s">
        <v>1528</v>
      </c>
      <c r="AY171" s="3"/>
      <c r="AZ171" s="1">
        <v>4</v>
      </c>
      <c r="BA171" s="1" t="s">
        <v>1529</v>
      </c>
      <c r="BB171" s="1" t="s">
        <v>1530</v>
      </c>
      <c r="BC171" s="1" t="s">
        <v>1531</v>
      </c>
      <c r="BD171" s="1" t="s">
        <v>1532</v>
      </c>
      <c r="BE171" s="1" t="s">
        <v>1603</v>
      </c>
      <c r="BF171" s="1" t="s">
        <v>1534</v>
      </c>
      <c r="BG171" s="1" t="s">
        <v>45</v>
      </c>
      <c r="BH171" s="1" t="s">
        <v>46</v>
      </c>
      <c r="BI171" s="1" t="s">
        <v>1535</v>
      </c>
      <c r="BJ171" s="1" t="s">
        <v>45</v>
      </c>
      <c r="BK171" s="1" t="s">
        <v>1549</v>
      </c>
      <c r="BL171" s="32">
        <v>45279</v>
      </c>
      <c r="BM171" s="1" t="s">
        <v>1004</v>
      </c>
      <c r="BO171" s="1" t="s">
        <v>1537</v>
      </c>
      <c r="BP171" s="1" t="s">
        <v>1551</v>
      </c>
      <c r="BQ171" s="1" t="s">
        <v>1605</v>
      </c>
      <c r="BR171" s="1" t="s">
        <v>1540</v>
      </c>
      <c r="BS171" s="1" t="s">
        <v>50</v>
      </c>
      <c r="BU171" s="1" t="s">
        <v>51</v>
      </c>
      <c r="BV171" s="1" t="s">
        <v>1541</v>
      </c>
      <c r="BW171" s="1" t="s">
        <v>1563</v>
      </c>
      <c r="CA171" s="1" t="s">
        <v>51</v>
      </c>
      <c r="CB171" s="1" t="s">
        <v>51</v>
      </c>
      <c r="CC171" s="32">
        <v>45299</v>
      </c>
      <c r="CD171" s="1">
        <v>60</v>
      </c>
      <c r="CE171" s="1">
        <v>30</v>
      </c>
      <c r="CF171" s="1" t="s">
        <v>2035</v>
      </c>
      <c r="CJ171" s="1" t="s">
        <v>45</v>
      </c>
      <c r="DH171" s="1" t="s">
        <v>45</v>
      </c>
      <c r="DM171" s="1" t="s">
        <v>45</v>
      </c>
      <c r="DO171" s="1" t="s">
        <v>45</v>
      </c>
      <c r="DQ171" s="1" t="s">
        <v>45</v>
      </c>
      <c r="DT171" s="32">
        <v>45338</v>
      </c>
      <c r="DU171" s="1" t="s">
        <v>1556</v>
      </c>
      <c r="DV171" s="1">
        <v>2.0367936925098502</v>
      </c>
      <c r="DW171" s="1" t="s">
        <v>45</v>
      </c>
      <c r="DY171" s="32">
        <v>45812</v>
      </c>
      <c r="DZ171" s="1" t="s">
        <v>1544</v>
      </c>
    </row>
    <row r="172" spans="1:130" ht="15.75" customHeight="1" x14ac:dyDescent="0.2">
      <c r="A172" s="8" t="s">
        <v>633</v>
      </c>
      <c r="B172" s="32">
        <v>28191</v>
      </c>
      <c r="C172" s="32">
        <v>45267</v>
      </c>
      <c r="D172" s="1">
        <v>46.752500051335701</v>
      </c>
      <c r="E172" s="1" t="s">
        <v>1587</v>
      </c>
      <c r="F172" s="1" t="s">
        <v>1524</v>
      </c>
      <c r="G172" s="1" t="s">
        <v>1574</v>
      </c>
      <c r="H172" s="1" t="s">
        <v>51</v>
      </c>
      <c r="I172" s="1">
        <v>1.6</v>
      </c>
      <c r="J172" s="1" t="s">
        <v>51</v>
      </c>
      <c r="K172" s="1">
        <v>88.1</v>
      </c>
      <c r="L172" s="1">
        <v>34.414062499999901</v>
      </c>
      <c r="M172" s="1" t="s">
        <v>45</v>
      </c>
      <c r="N172" s="1" t="s">
        <v>45</v>
      </c>
      <c r="O172" s="1" t="s">
        <v>45</v>
      </c>
      <c r="P172" s="1" t="s">
        <v>45</v>
      </c>
      <c r="Q172" s="1" t="s">
        <v>45</v>
      </c>
      <c r="R172" s="1" t="s">
        <v>45</v>
      </c>
      <c r="S172" s="1" t="s">
        <v>45</v>
      </c>
      <c r="T172" s="1" t="s">
        <v>45</v>
      </c>
      <c r="U172" s="1" t="s">
        <v>45</v>
      </c>
      <c r="V172" s="1" t="s">
        <v>45</v>
      </c>
      <c r="W172" s="1" t="s">
        <v>45</v>
      </c>
      <c r="X172" s="1" t="s">
        <v>45</v>
      </c>
      <c r="Y172" s="1" t="s">
        <v>45</v>
      </c>
      <c r="Z172" s="1" t="s">
        <v>45</v>
      </c>
      <c r="AA172" s="1" t="s">
        <v>45</v>
      </c>
      <c r="AB172" s="1" t="s">
        <v>45</v>
      </c>
      <c r="AC172" s="1" t="s">
        <v>45</v>
      </c>
      <c r="AD172" s="1" t="s">
        <v>45</v>
      </c>
      <c r="AE172" s="1" t="s">
        <v>45</v>
      </c>
      <c r="AF172" s="32">
        <v>45279</v>
      </c>
      <c r="AG172" s="1">
        <v>46.785354935419598</v>
      </c>
      <c r="AH172" s="1" t="s">
        <v>1526</v>
      </c>
      <c r="AI172" s="1" t="s">
        <v>1527</v>
      </c>
      <c r="AJ172" s="1" t="s">
        <v>45</v>
      </c>
      <c r="AK172" s="1" t="s">
        <v>45</v>
      </c>
      <c r="AL172" s="1" t="s">
        <v>45</v>
      </c>
      <c r="AM172" s="1" t="s">
        <v>51</v>
      </c>
      <c r="AN172" s="1" t="s">
        <v>45</v>
      </c>
      <c r="AO172" s="1" t="s">
        <v>51</v>
      </c>
      <c r="AP172" s="1" t="s">
        <v>45</v>
      </c>
      <c r="AQ172" s="1" t="s">
        <v>45</v>
      </c>
      <c r="AR172" s="1" t="s">
        <v>51</v>
      </c>
      <c r="AS172" s="1" t="s">
        <v>2036</v>
      </c>
      <c r="AT172" s="1" t="s">
        <v>1546</v>
      </c>
      <c r="AV172" s="1" t="s">
        <v>2037</v>
      </c>
      <c r="AW172" s="33" t="s">
        <v>1463</v>
      </c>
      <c r="AX172" s="33" t="s">
        <v>1656</v>
      </c>
      <c r="AY172" s="3"/>
      <c r="AZ172" s="1">
        <v>4</v>
      </c>
      <c r="BA172" s="1" t="s">
        <v>1529</v>
      </c>
      <c r="BB172" s="1" t="s">
        <v>1530</v>
      </c>
      <c r="BC172" s="1" t="s">
        <v>1531</v>
      </c>
      <c r="BD172" s="1" t="s">
        <v>1532</v>
      </c>
      <c r="BE172" s="1" t="s">
        <v>1525</v>
      </c>
      <c r="BG172" s="1" t="s">
        <v>45</v>
      </c>
      <c r="BH172" s="1" t="s">
        <v>1525</v>
      </c>
      <c r="BI172" s="1" t="s">
        <v>1535</v>
      </c>
      <c r="BJ172" s="1" t="s">
        <v>1525</v>
      </c>
      <c r="BK172" s="1" t="s">
        <v>1536</v>
      </c>
      <c r="BL172" s="32">
        <v>45279</v>
      </c>
      <c r="BM172" s="1" t="s">
        <v>634</v>
      </c>
      <c r="BO172" s="1" t="s">
        <v>1853</v>
      </c>
      <c r="BP172" s="1" t="s">
        <v>1551</v>
      </c>
      <c r="BQ172" s="1" t="s">
        <v>1605</v>
      </c>
      <c r="BR172" s="1" t="s">
        <v>1552</v>
      </c>
      <c r="BS172" s="1" t="s">
        <v>1658</v>
      </c>
      <c r="BU172" s="1" t="s">
        <v>51</v>
      </c>
      <c r="BV172" s="1" t="s">
        <v>1541</v>
      </c>
      <c r="BW172" s="1" t="s">
        <v>1542</v>
      </c>
      <c r="CA172" s="1" t="s">
        <v>45</v>
      </c>
      <c r="CB172" s="1" t="s">
        <v>51</v>
      </c>
      <c r="CC172" s="32">
        <v>45321</v>
      </c>
      <c r="CD172" s="1">
        <v>54</v>
      </c>
      <c r="CE172" s="1">
        <v>30</v>
      </c>
      <c r="CG172" s="1" t="s">
        <v>2038</v>
      </c>
      <c r="CJ172" s="1" t="s">
        <v>45</v>
      </c>
      <c r="DH172" s="1" t="s">
        <v>45</v>
      </c>
      <c r="DM172" s="1" t="s">
        <v>45</v>
      </c>
      <c r="DO172" s="1" t="s">
        <v>45</v>
      </c>
      <c r="DQ172" s="1" t="s">
        <v>45</v>
      </c>
      <c r="DT172" s="32">
        <v>45804</v>
      </c>
      <c r="DU172" s="1" t="s">
        <v>1598</v>
      </c>
      <c r="DV172" s="1">
        <v>17.247043363994699</v>
      </c>
      <c r="DW172" s="1" t="s">
        <v>45</v>
      </c>
      <c r="DY172" s="32">
        <v>45805</v>
      </c>
      <c r="DZ172" s="1" t="s">
        <v>1544</v>
      </c>
    </row>
    <row r="173" spans="1:130" ht="15.75" customHeight="1" x14ac:dyDescent="0.2">
      <c r="A173" s="8" t="s">
        <v>1007</v>
      </c>
      <c r="B173" s="32">
        <v>29373</v>
      </c>
      <c r="C173" s="32">
        <v>45271</v>
      </c>
      <c r="D173" s="1">
        <v>43.527245597103203</v>
      </c>
      <c r="E173" s="1" t="s">
        <v>1523</v>
      </c>
      <c r="F173" s="1" t="s">
        <v>1524</v>
      </c>
      <c r="G173" s="1" t="s">
        <v>1686</v>
      </c>
      <c r="H173" s="1" t="s">
        <v>51</v>
      </c>
      <c r="I173" s="1">
        <v>1.78</v>
      </c>
      <c r="J173" s="1" t="s">
        <v>51</v>
      </c>
      <c r="K173" s="1">
        <v>118.6</v>
      </c>
      <c r="L173" s="1">
        <v>37.432142406261796</v>
      </c>
      <c r="M173" s="1" t="s">
        <v>45</v>
      </c>
      <c r="N173" s="1" t="s">
        <v>45</v>
      </c>
      <c r="O173" s="1" t="s">
        <v>45</v>
      </c>
      <c r="P173" s="1" t="s">
        <v>45</v>
      </c>
      <c r="Q173" s="1" t="s">
        <v>45</v>
      </c>
      <c r="R173" s="1" t="s">
        <v>45</v>
      </c>
      <c r="S173" s="1" t="s">
        <v>45</v>
      </c>
      <c r="T173" s="1" t="s">
        <v>45</v>
      </c>
      <c r="U173" s="1" t="s">
        <v>51</v>
      </c>
      <c r="V173" s="1" t="s">
        <v>45</v>
      </c>
      <c r="W173" s="1" t="s">
        <v>45</v>
      </c>
      <c r="X173" s="1" t="s">
        <v>45</v>
      </c>
      <c r="Y173" s="1" t="s">
        <v>45</v>
      </c>
      <c r="Z173" s="1" t="s">
        <v>45</v>
      </c>
      <c r="AA173" s="1" t="s">
        <v>45</v>
      </c>
      <c r="AB173" s="1" t="s">
        <v>45</v>
      </c>
      <c r="AC173" s="1" t="s">
        <v>45</v>
      </c>
      <c r="AD173" s="1" t="s">
        <v>45</v>
      </c>
      <c r="AE173" s="1" t="s">
        <v>45</v>
      </c>
      <c r="AF173" s="32">
        <v>45280</v>
      </c>
      <c r="AG173" s="1">
        <v>43.551886760166099</v>
      </c>
      <c r="AH173" s="1" t="s">
        <v>1526</v>
      </c>
      <c r="AI173" s="1" t="s">
        <v>1527</v>
      </c>
      <c r="AJ173" s="1" t="s">
        <v>45</v>
      </c>
      <c r="AK173" s="1" t="s">
        <v>51</v>
      </c>
      <c r="AL173" s="1" t="s">
        <v>45</v>
      </c>
      <c r="AM173" s="1" t="s">
        <v>45</v>
      </c>
      <c r="AN173" s="1" t="s">
        <v>45</v>
      </c>
      <c r="AO173" s="1" t="s">
        <v>45</v>
      </c>
      <c r="AP173" s="1" t="s">
        <v>45</v>
      </c>
      <c r="AQ173" s="1" t="s">
        <v>45</v>
      </c>
      <c r="AR173" s="1" t="s">
        <v>45</v>
      </c>
      <c r="AT173" s="1" t="s">
        <v>1560</v>
      </c>
      <c r="AW173" s="33" t="s">
        <v>1463</v>
      </c>
      <c r="AX173" s="3" t="s">
        <v>1560</v>
      </c>
      <c r="AY173" s="3"/>
      <c r="AZ173" s="1">
        <v>4</v>
      </c>
      <c r="BA173" s="1" t="s">
        <v>1529</v>
      </c>
      <c r="BB173" s="1" t="s">
        <v>1567</v>
      </c>
      <c r="BC173" s="1" t="s">
        <v>1531</v>
      </c>
      <c r="BD173" s="1" t="s">
        <v>1822</v>
      </c>
      <c r="BE173" s="1" t="s">
        <v>1603</v>
      </c>
      <c r="BF173" s="1" t="s">
        <v>1534</v>
      </c>
      <c r="BG173" s="1" t="s">
        <v>45</v>
      </c>
      <c r="BH173" s="1" t="s">
        <v>46</v>
      </c>
      <c r="BI173" s="1" t="s">
        <v>1535</v>
      </c>
      <c r="BJ173" s="1" t="s">
        <v>45</v>
      </c>
      <c r="BK173" s="1" t="s">
        <v>1549</v>
      </c>
      <c r="BL173" s="32">
        <v>45280</v>
      </c>
      <c r="BM173" s="1" t="s">
        <v>1008</v>
      </c>
      <c r="BO173" s="1" t="s">
        <v>1537</v>
      </c>
      <c r="BP173" s="1" t="s">
        <v>1538</v>
      </c>
      <c r="BQ173" s="1" t="s">
        <v>1647</v>
      </c>
      <c r="BR173" s="1" t="s">
        <v>2039</v>
      </c>
      <c r="BS173" s="1" t="s">
        <v>50</v>
      </c>
      <c r="BU173" s="1" t="s">
        <v>51</v>
      </c>
      <c r="BV173" s="1" t="s">
        <v>1541</v>
      </c>
      <c r="BW173" s="1" t="s">
        <v>1563</v>
      </c>
      <c r="BX173" s="32">
        <v>45401</v>
      </c>
      <c r="BY173" s="1">
        <v>12</v>
      </c>
      <c r="BZ173" s="1" t="s">
        <v>2040</v>
      </c>
      <c r="CA173" s="1" t="s">
        <v>51</v>
      </c>
      <c r="CB173" s="1" t="s">
        <v>51</v>
      </c>
      <c r="CC173" s="32">
        <v>45327</v>
      </c>
      <c r="CD173" s="1">
        <v>60</v>
      </c>
      <c r="CE173" s="1">
        <v>30</v>
      </c>
      <c r="CF173" s="1" t="s">
        <v>2041</v>
      </c>
      <c r="CJ173" s="1" t="s">
        <v>45</v>
      </c>
      <c r="DH173" s="1" t="s">
        <v>45</v>
      </c>
      <c r="DM173" s="1" t="s">
        <v>45</v>
      </c>
      <c r="DO173" s="1" t="s">
        <v>45</v>
      </c>
      <c r="DQ173" s="1" t="s">
        <v>45</v>
      </c>
      <c r="DT173" s="32">
        <v>45730</v>
      </c>
      <c r="DU173" s="1" t="s">
        <v>1598</v>
      </c>
      <c r="DV173" s="1">
        <v>14.783180026281199</v>
      </c>
      <c r="DW173" s="1" t="s">
        <v>45</v>
      </c>
      <c r="DY173" s="32">
        <v>45812</v>
      </c>
      <c r="DZ173" s="1" t="s">
        <v>1544</v>
      </c>
    </row>
    <row r="174" spans="1:130" ht="15.75" customHeight="1" x14ac:dyDescent="0.2">
      <c r="A174" s="8" t="s">
        <v>1012</v>
      </c>
      <c r="B174" s="32">
        <v>17107</v>
      </c>
      <c r="C174" s="32">
        <v>45236</v>
      </c>
      <c r="D174" s="1">
        <v>77.014586199579696</v>
      </c>
      <c r="E174" s="1" t="s">
        <v>1523</v>
      </c>
      <c r="F174" s="1" t="s">
        <v>1524</v>
      </c>
      <c r="G174" s="1" t="s">
        <v>1574</v>
      </c>
      <c r="H174" s="1" t="s">
        <v>51</v>
      </c>
      <c r="I174" s="1">
        <v>1.67</v>
      </c>
      <c r="J174" s="1" t="s">
        <v>51</v>
      </c>
      <c r="K174" s="1">
        <v>62</v>
      </c>
      <c r="L174" s="1">
        <v>22.230987127541301</v>
      </c>
      <c r="M174" s="1" t="s">
        <v>45</v>
      </c>
      <c r="N174" s="1" t="s">
        <v>45</v>
      </c>
      <c r="O174" s="1" t="s">
        <v>45</v>
      </c>
      <c r="P174" s="1" t="s">
        <v>45</v>
      </c>
      <c r="Q174" s="1" t="s">
        <v>45</v>
      </c>
      <c r="R174" s="1" t="s">
        <v>45</v>
      </c>
      <c r="S174" s="1" t="s">
        <v>45</v>
      </c>
      <c r="T174" s="1" t="s">
        <v>45</v>
      </c>
      <c r="U174" s="1" t="s">
        <v>51</v>
      </c>
      <c r="V174" s="1" t="s">
        <v>45</v>
      </c>
      <c r="W174" s="1" t="s">
        <v>51</v>
      </c>
      <c r="X174" s="1" t="s">
        <v>45</v>
      </c>
      <c r="Y174" s="1" t="s">
        <v>45</v>
      </c>
      <c r="Z174" s="1" t="s">
        <v>45</v>
      </c>
      <c r="AA174" s="1" t="s">
        <v>45</v>
      </c>
      <c r="AB174" s="1" t="s">
        <v>45</v>
      </c>
      <c r="AC174" s="1" t="s">
        <v>45</v>
      </c>
      <c r="AD174" s="1" t="s">
        <v>45</v>
      </c>
      <c r="AE174" s="1" t="s">
        <v>45</v>
      </c>
      <c r="AF174" s="32">
        <v>45295</v>
      </c>
      <c r="AG174" s="1">
        <v>77.176122712991997</v>
      </c>
      <c r="AH174" s="1" t="s">
        <v>1526</v>
      </c>
      <c r="AI174" s="1" t="s">
        <v>1527</v>
      </c>
      <c r="AJ174" s="1" t="s">
        <v>45</v>
      </c>
      <c r="AK174" s="1" t="s">
        <v>45</v>
      </c>
      <c r="AL174" s="1" t="s">
        <v>51</v>
      </c>
      <c r="AM174" s="1" t="s">
        <v>45</v>
      </c>
      <c r="AN174" s="1" t="s">
        <v>45</v>
      </c>
      <c r="AO174" s="1" t="s">
        <v>45</v>
      </c>
      <c r="AP174" s="1" t="s">
        <v>45</v>
      </c>
      <c r="AQ174" s="1" t="s">
        <v>51</v>
      </c>
      <c r="AR174" s="1" t="s">
        <v>45</v>
      </c>
      <c r="AT174" s="1" t="s">
        <v>1560</v>
      </c>
      <c r="AV174" s="1" t="s">
        <v>2042</v>
      </c>
      <c r="AW174" s="33" t="s">
        <v>1463</v>
      </c>
      <c r="AX174" s="3"/>
      <c r="AY174" s="1" t="s">
        <v>2042</v>
      </c>
      <c r="AZ174" s="1">
        <v>3</v>
      </c>
      <c r="BA174" s="1" t="s">
        <v>1978</v>
      </c>
      <c r="BB174" s="1" t="s">
        <v>1530</v>
      </c>
      <c r="BC174" s="1" t="s">
        <v>1531</v>
      </c>
      <c r="BD174" s="1" t="s">
        <v>1532</v>
      </c>
      <c r="BE174" s="1" t="s">
        <v>1603</v>
      </c>
      <c r="BF174" s="1" t="s">
        <v>1534</v>
      </c>
      <c r="BG174" s="1" t="s">
        <v>45</v>
      </c>
      <c r="BH174" s="1" t="s">
        <v>68</v>
      </c>
      <c r="BI174" s="1" t="s">
        <v>1599</v>
      </c>
      <c r="BJ174" s="1" t="s">
        <v>51</v>
      </c>
      <c r="BK174" s="1" t="s">
        <v>1549</v>
      </c>
      <c r="BL174" s="32">
        <v>45295</v>
      </c>
      <c r="BM174" s="1" t="s">
        <v>1013</v>
      </c>
      <c r="BO174" s="1" t="s">
        <v>1537</v>
      </c>
      <c r="BP174" s="1" t="s">
        <v>1538</v>
      </c>
      <c r="BQ174" s="1" t="s">
        <v>1647</v>
      </c>
      <c r="BR174" s="1" t="s">
        <v>2039</v>
      </c>
      <c r="BS174" s="1" t="s">
        <v>106</v>
      </c>
      <c r="BU174" s="1" t="s">
        <v>51</v>
      </c>
      <c r="BV174" s="1" t="s">
        <v>1541</v>
      </c>
      <c r="BW174" s="1" t="s">
        <v>1542</v>
      </c>
      <c r="CA174" s="1" t="s">
        <v>45</v>
      </c>
      <c r="CB174" s="1" t="s">
        <v>51</v>
      </c>
      <c r="CC174" s="32">
        <v>45342</v>
      </c>
      <c r="CD174" s="1">
        <v>40.049999999999997</v>
      </c>
      <c r="CE174" s="1">
        <v>15</v>
      </c>
      <c r="CF174" s="1" t="s">
        <v>2043</v>
      </c>
      <c r="CG174" s="1" t="s">
        <v>2044</v>
      </c>
      <c r="CJ174" s="1" t="s">
        <v>45</v>
      </c>
      <c r="DH174" s="1" t="s">
        <v>45</v>
      </c>
      <c r="DM174" s="1" t="s">
        <v>45</v>
      </c>
      <c r="DO174" s="1" t="s">
        <v>45</v>
      </c>
      <c r="DQ174" s="1" t="s">
        <v>45</v>
      </c>
      <c r="DT174" s="32">
        <v>45791</v>
      </c>
      <c r="DU174" s="1" t="s">
        <v>1598</v>
      </c>
      <c r="DV174" s="1">
        <v>16.294349540078802</v>
      </c>
      <c r="DW174" s="1" t="s">
        <v>45</v>
      </c>
      <c r="DY174" s="32">
        <v>45812</v>
      </c>
      <c r="DZ174" s="1" t="s">
        <v>1544</v>
      </c>
    </row>
    <row r="175" spans="1:130" ht="15.75" customHeight="1" x14ac:dyDescent="0.2">
      <c r="A175" s="8" t="s">
        <v>1016</v>
      </c>
      <c r="B175" s="32">
        <v>27181</v>
      </c>
      <c r="C175" s="32">
        <v>45288</v>
      </c>
      <c r="D175" s="1">
        <v>49.575282175540899</v>
      </c>
      <c r="E175" s="1" t="s">
        <v>1587</v>
      </c>
      <c r="F175" s="1" t="s">
        <v>1524</v>
      </c>
      <c r="G175" s="1" t="s">
        <v>1574</v>
      </c>
      <c r="H175" s="1" t="s">
        <v>51</v>
      </c>
      <c r="I175" s="1">
        <v>1.5149999999999999</v>
      </c>
      <c r="J175" s="1" t="s">
        <v>51</v>
      </c>
      <c r="K175" s="1">
        <v>61.3</v>
      </c>
      <c r="L175" s="1">
        <v>26.707621257175202</v>
      </c>
      <c r="M175" s="1" t="s">
        <v>45</v>
      </c>
      <c r="N175" s="1" t="s">
        <v>45</v>
      </c>
      <c r="O175" s="1" t="s">
        <v>45</v>
      </c>
      <c r="P175" s="1" t="s">
        <v>45</v>
      </c>
      <c r="Q175" s="1" t="s">
        <v>45</v>
      </c>
      <c r="R175" s="1" t="s">
        <v>45</v>
      </c>
      <c r="S175" s="1" t="s">
        <v>45</v>
      </c>
      <c r="T175" s="1" t="s">
        <v>45</v>
      </c>
      <c r="U175" s="1" t="s">
        <v>51</v>
      </c>
      <c r="V175" s="1" t="s">
        <v>45</v>
      </c>
      <c r="W175" s="1" t="s">
        <v>45</v>
      </c>
      <c r="X175" s="1" t="s">
        <v>45</v>
      </c>
      <c r="Y175" s="1" t="s">
        <v>45</v>
      </c>
      <c r="Z175" s="1" t="s">
        <v>45</v>
      </c>
      <c r="AA175" s="1" t="s">
        <v>45</v>
      </c>
      <c r="AB175" s="1" t="s">
        <v>45</v>
      </c>
      <c r="AC175" s="1" t="s">
        <v>45</v>
      </c>
      <c r="AD175" s="1" t="s">
        <v>45</v>
      </c>
      <c r="AE175" s="1" t="s">
        <v>45</v>
      </c>
      <c r="AF175" s="32">
        <v>45288</v>
      </c>
      <c r="AG175" s="1">
        <v>49.575282175540899</v>
      </c>
      <c r="AH175" s="1" t="s">
        <v>1526</v>
      </c>
      <c r="AI175" s="1" t="s">
        <v>1527</v>
      </c>
      <c r="AJ175" s="1" t="s">
        <v>45</v>
      </c>
      <c r="AK175" s="1" t="s">
        <v>45</v>
      </c>
      <c r="AL175" s="1" t="s">
        <v>45</v>
      </c>
      <c r="AM175" s="1" t="s">
        <v>51</v>
      </c>
      <c r="AN175" s="1" t="s">
        <v>45</v>
      </c>
      <c r="AO175" s="1" t="s">
        <v>45</v>
      </c>
      <c r="AP175" s="1" t="s">
        <v>45</v>
      </c>
      <c r="AQ175" s="1" t="s">
        <v>51</v>
      </c>
      <c r="AR175" s="1" t="s">
        <v>45</v>
      </c>
      <c r="AT175" s="1" t="s">
        <v>1528</v>
      </c>
      <c r="AW175" s="33" t="s">
        <v>1463</v>
      </c>
      <c r="AX175" s="3" t="s">
        <v>1528</v>
      </c>
      <c r="AY175" s="3"/>
      <c r="AZ175" s="1">
        <v>4</v>
      </c>
      <c r="BA175" s="1" t="s">
        <v>1529</v>
      </c>
      <c r="BB175" s="1" t="s">
        <v>1530</v>
      </c>
      <c r="BC175" s="1" t="s">
        <v>1561</v>
      </c>
      <c r="BD175" s="1" t="s">
        <v>1977</v>
      </c>
      <c r="BE175" s="1" t="s">
        <v>1603</v>
      </c>
      <c r="BF175" s="1" t="s">
        <v>1534</v>
      </c>
      <c r="BG175" s="1" t="s">
        <v>45</v>
      </c>
      <c r="BH175" s="1" t="s">
        <v>46</v>
      </c>
      <c r="BI175" s="1" t="s">
        <v>1599</v>
      </c>
      <c r="BJ175" s="1" t="s">
        <v>45</v>
      </c>
      <c r="BK175" s="1" t="s">
        <v>1549</v>
      </c>
      <c r="BL175" s="32">
        <v>45295</v>
      </c>
      <c r="BM175" s="1" t="s">
        <v>1017</v>
      </c>
      <c r="BO175" s="1" t="s">
        <v>1537</v>
      </c>
      <c r="BP175" s="1" t="s">
        <v>1538</v>
      </c>
      <c r="BQ175" s="1" t="s">
        <v>1539</v>
      </c>
      <c r="BR175" s="1" t="s">
        <v>1540</v>
      </c>
      <c r="BS175" s="1" t="s">
        <v>106</v>
      </c>
      <c r="BU175" s="1" t="s">
        <v>45</v>
      </c>
      <c r="BW175" s="1" t="s">
        <v>1563</v>
      </c>
      <c r="BZ175" s="1" t="s">
        <v>2045</v>
      </c>
      <c r="CA175" s="1" t="s">
        <v>51</v>
      </c>
      <c r="CB175" s="1" t="s">
        <v>51</v>
      </c>
      <c r="CC175" s="32">
        <v>45327</v>
      </c>
      <c r="CD175" s="1">
        <v>60</v>
      </c>
      <c r="CE175" s="1">
        <v>30</v>
      </c>
      <c r="CF175" s="1" t="s">
        <v>2046</v>
      </c>
      <c r="CJ175" s="1" t="s">
        <v>45</v>
      </c>
      <c r="DH175" s="1" t="s">
        <v>45</v>
      </c>
      <c r="DM175" s="1" t="s">
        <v>45</v>
      </c>
      <c r="DO175" s="1" t="s">
        <v>45</v>
      </c>
      <c r="DQ175" s="1" t="s">
        <v>45</v>
      </c>
      <c r="DT175" s="32">
        <v>45411</v>
      </c>
      <c r="DU175" s="1" t="s">
        <v>1598</v>
      </c>
      <c r="DV175" s="1">
        <v>4.0407358738501902</v>
      </c>
      <c r="DW175" s="1" t="s">
        <v>45</v>
      </c>
      <c r="DY175" s="32">
        <v>45812</v>
      </c>
      <c r="DZ175" s="1" t="s">
        <v>1544</v>
      </c>
    </row>
    <row r="176" spans="1:130" ht="15.75" customHeight="1" x14ac:dyDescent="0.2">
      <c r="A176" s="8" t="s">
        <v>635</v>
      </c>
      <c r="B176" s="32">
        <v>26058</v>
      </c>
      <c r="C176" s="32">
        <v>45389</v>
      </c>
      <c r="D176" s="1">
        <v>52.926480352094799</v>
      </c>
      <c r="E176" s="1" t="s">
        <v>1587</v>
      </c>
      <c r="F176" s="1" t="s">
        <v>1578</v>
      </c>
      <c r="G176" s="1" t="s">
        <v>1574</v>
      </c>
      <c r="H176" s="1" t="s">
        <v>51</v>
      </c>
      <c r="I176" s="1">
        <v>1.66</v>
      </c>
      <c r="J176" s="1" t="s">
        <v>51</v>
      </c>
      <c r="K176" s="1">
        <v>80.3</v>
      </c>
      <c r="L176" s="1">
        <v>29.140659021628601</v>
      </c>
      <c r="M176" s="1" t="s">
        <v>45</v>
      </c>
      <c r="N176" s="1" t="s">
        <v>45</v>
      </c>
      <c r="O176" s="1" t="s">
        <v>45</v>
      </c>
      <c r="P176" s="1" t="s">
        <v>45</v>
      </c>
      <c r="Q176" s="1" t="s">
        <v>45</v>
      </c>
      <c r="R176" s="1" t="s">
        <v>45</v>
      </c>
      <c r="S176" s="1" t="s">
        <v>45</v>
      </c>
      <c r="T176" s="1" t="s">
        <v>45</v>
      </c>
      <c r="U176" s="1" t="s">
        <v>45</v>
      </c>
      <c r="V176" s="1" t="s">
        <v>45</v>
      </c>
      <c r="W176" s="1" t="s">
        <v>45</v>
      </c>
      <c r="X176" s="1" t="s">
        <v>45</v>
      </c>
      <c r="Y176" s="1" t="s">
        <v>45</v>
      </c>
      <c r="Z176" s="1" t="s">
        <v>45</v>
      </c>
      <c r="AA176" s="1" t="s">
        <v>45</v>
      </c>
      <c r="AB176" s="1" t="s">
        <v>45</v>
      </c>
      <c r="AC176" s="1" t="s">
        <v>45</v>
      </c>
      <c r="AD176" s="1" t="s">
        <v>45</v>
      </c>
      <c r="AE176" s="1" t="s">
        <v>45</v>
      </c>
      <c r="AF176" s="32">
        <v>45271</v>
      </c>
      <c r="AG176" s="1">
        <v>52.603407325270197</v>
      </c>
      <c r="AH176" s="1" t="s">
        <v>1526</v>
      </c>
      <c r="AI176" s="1" t="s">
        <v>1527</v>
      </c>
      <c r="AJ176" s="1" t="s">
        <v>45</v>
      </c>
      <c r="AK176" s="1" t="s">
        <v>45</v>
      </c>
      <c r="AL176" s="1" t="s">
        <v>45</v>
      </c>
      <c r="AM176" s="1" t="s">
        <v>51</v>
      </c>
      <c r="AN176" s="1" t="s">
        <v>45</v>
      </c>
      <c r="AO176" s="1" t="s">
        <v>45</v>
      </c>
      <c r="AP176" s="1" t="s">
        <v>45</v>
      </c>
      <c r="AQ176" s="1" t="s">
        <v>45</v>
      </c>
      <c r="AR176" s="1" t="s">
        <v>45</v>
      </c>
      <c r="AT176" s="1" t="s">
        <v>1528</v>
      </c>
      <c r="AV176" s="1" t="s">
        <v>1998</v>
      </c>
      <c r="AW176" s="33" t="s">
        <v>1463</v>
      </c>
      <c r="AX176" s="3" t="s">
        <v>1528</v>
      </c>
      <c r="AY176" s="3"/>
      <c r="AZ176" s="1">
        <v>4</v>
      </c>
      <c r="BA176" s="1" t="s">
        <v>1529</v>
      </c>
      <c r="BB176" s="1" t="s">
        <v>1530</v>
      </c>
      <c r="BC176" s="1" t="s">
        <v>1531</v>
      </c>
      <c r="BD176" s="1" t="s">
        <v>1532</v>
      </c>
      <c r="BE176" s="1" t="s">
        <v>1533</v>
      </c>
      <c r="BF176" s="1" t="s">
        <v>1534</v>
      </c>
      <c r="BG176" s="1" t="s">
        <v>45</v>
      </c>
      <c r="BH176" s="1" t="s">
        <v>46</v>
      </c>
      <c r="BI176" s="1" t="s">
        <v>1535</v>
      </c>
      <c r="BJ176" s="1" t="s">
        <v>45</v>
      </c>
      <c r="BK176" s="1" t="s">
        <v>1536</v>
      </c>
      <c r="BL176" s="32">
        <v>45271</v>
      </c>
      <c r="BM176" s="1" t="s">
        <v>2047</v>
      </c>
      <c r="BO176" s="1" t="s">
        <v>1537</v>
      </c>
      <c r="BP176" s="1" t="s">
        <v>1538</v>
      </c>
      <c r="BQ176" s="1" t="s">
        <v>1539</v>
      </c>
      <c r="BR176" s="1" t="s">
        <v>1552</v>
      </c>
      <c r="BS176" s="1" t="s">
        <v>50</v>
      </c>
      <c r="BU176" s="1" t="s">
        <v>51</v>
      </c>
      <c r="BV176" s="1" t="s">
        <v>1541</v>
      </c>
      <c r="BW176" s="1" t="s">
        <v>1542</v>
      </c>
      <c r="CA176" s="1" t="s">
        <v>51</v>
      </c>
      <c r="CB176" s="1" t="s">
        <v>51</v>
      </c>
      <c r="CC176" s="32">
        <v>45303</v>
      </c>
      <c r="CD176" s="1">
        <v>60</v>
      </c>
      <c r="CE176" s="1">
        <v>30</v>
      </c>
      <c r="CJ176" s="1" t="s">
        <v>51</v>
      </c>
      <c r="CK176" s="32">
        <v>45395</v>
      </c>
      <c r="CL176" s="1" t="s">
        <v>51</v>
      </c>
      <c r="CM176" s="32">
        <v>45395</v>
      </c>
      <c r="CN176" s="1">
        <v>0.33950046886657398</v>
      </c>
      <c r="CO176" s="1" t="s">
        <v>1537</v>
      </c>
      <c r="CP176" s="1" t="s">
        <v>1566</v>
      </c>
      <c r="CQ176" s="1" t="s">
        <v>1539</v>
      </c>
      <c r="CR176" s="1" t="s">
        <v>1552</v>
      </c>
      <c r="CS176" s="1" t="s">
        <v>50</v>
      </c>
      <c r="CT176" s="1" t="s">
        <v>1528</v>
      </c>
      <c r="CV176" s="1" t="s">
        <v>1998</v>
      </c>
      <c r="CW176" s="1">
        <v>4</v>
      </c>
      <c r="CX176" s="1" t="s">
        <v>1529</v>
      </c>
      <c r="CY176" s="1" t="s">
        <v>1530</v>
      </c>
      <c r="CZ176" s="1" t="s">
        <v>1531</v>
      </c>
      <c r="DA176" s="1" t="s">
        <v>1532</v>
      </c>
      <c r="DB176" s="1" t="s">
        <v>1533</v>
      </c>
      <c r="DC176" s="1" t="s">
        <v>1534</v>
      </c>
      <c r="DD176" s="1" t="s">
        <v>45</v>
      </c>
      <c r="DE176" s="1" t="s">
        <v>46</v>
      </c>
      <c r="DF176" s="1" t="s">
        <v>68</v>
      </c>
      <c r="DG176" s="1" t="s">
        <v>45</v>
      </c>
      <c r="DH176" s="1" t="s">
        <v>51</v>
      </c>
      <c r="DI176" s="1" t="s">
        <v>2048</v>
      </c>
      <c r="DJ176" s="32">
        <v>45444</v>
      </c>
      <c r="DK176" s="1" t="s">
        <v>1631</v>
      </c>
      <c r="DM176" s="1" t="s">
        <v>45</v>
      </c>
      <c r="DO176" s="1" t="s">
        <v>45</v>
      </c>
      <c r="DQ176" s="1" t="s">
        <v>45</v>
      </c>
      <c r="DT176" s="32">
        <v>45589</v>
      </c>
      <c r="DU176" s="1" t="s">
        <v>1543</v>
      </c>
      <c r="DV176" s="1">
        <v>10.446780551905301</v>
      </c>
      <c r="DW176" s="1" t="s">
        <v>45</v>
      </c>
      <c r="DY176" s="32">
        <v>45806</v>
      </c>
      <c r="DZ176" s="1" t="s">
        <v>1544</v>
      </c>
    </row>
    <row r="177" spans="1:130" ht="15.75" customHeight="1" x14ac:dyDescent="0.2">
      <c r="A177" s="8" t="s">
        <v>642</v>
      </c>
      <c r="B177" s="32">
        <v>34045</v>
      </c>
      <c r="C177" s="32">
        <v>45264</v>
      </c>
      <c r="D177" s="1">
        <v>30.716578711404001</v>
      </c>
      <c r="E177" s="1" t="s">
        <v>1523</v>
      </c>
      <c r="F177" s="1" t="s">
        <v>1524</v>
      </c>
      <c r="G177" s="1" t="s">
        <v>1686</v>
      </c>
      <c r="H177" s="1" t="s">
        <v>51</v>
      </c>
      <c r="I177" s="1">
        <v>1.7949999999999999</v>
      </c>
      <c r="J177" s="1" t="s">
        <v>51</v>
      </c>
      <c r="K177" s="1">
        <v>112.6</v>
      </c>
      <c r="L177" s="1">
        <v>34.946966581575197</v>
      </c>
      <c r="M177" s="1" t="s">
        <v>45</v>
      </c>
      <c r="N177" s="1" t="s">
        <v>45</v>
      </c>
      <c r="O177" s="1" t="s">
        <v>45</v>
      </c>
      <c r="P177" s="1" t="s">
        <v>45</v>
      </c>
      <c r="Q177" s="1" t="s">
        <v>45</v>
      </c>
      <c r="R177" s="1" t="s">
        <v>45</v>
      </c>
      <c r="S177" s="1" t="s">
        <v>45</v>
      </c>
      <c r="T177" s="1" t="s">
        <v>45</v>
      </c>
      <c r="U177" s="1" t="s">
        <v>45</v>
      </c>
      <c r="V177" s="1" t="s">
        <v>45</v>
      </c>
      <c r="W177" s="1" t="s">
        <v>45</v>
      </c>
      <c r="X177" s="1" t="s">
        <v>45</v>
      </c>
      <c r="Y177" s="1" t="s">
        <v>45</v>
      </c>
      <c r="Z177" s="1" t="s">
        <v>45</v>
      </c>
      <c r="AA177" s="1" t="s">
        <v>45</v>
      </c>
      <c r="AB177" s="1" t="s">
        <v>45</v>
      </c>
      <c r="AC177" s="1" t="s">
        <v>45</v>
      </c>
      <c r="AD177" s="1" t="s">
        <v>45</v>
      </c>
      <c r="AE177" s="1" t="s">
        <v>45</v>
      </c>
      <c r="AF177" s="32">
        <v>45264</v>
      </c>
      <c r="AG177" s="1">
        <v>30.716578711404001</v>
      </c>
      <c r="AH177" s="1" t="s">
        <v>1526</v>
      </c>
      <c r="AI177" s="1" t="s">
        <v>1527</v>
      </c>
      <c r="AJ177" s="1" t="s">
        <v>45</v>
      </c>
      <c r="AK177" s="1" t="s">
        <v>51</v>
      </c>
      <c r="AL177" s="1" t="s">
        <v>45</v>
      </c>
      <c r="AM177" s="1" t="s">
        <v>51</v>
      </c>
      <c r="AN177" s="1" t="s">
        <v>45</v>
      </c>
      <c r="AO177" s="1" t="s">
        <v>45</v>
      </c>
      <c r="AP177" s="1" t="s">
        <v>45</v>
      </c>
      <c r="AQ177" s="1" t="s">
        <v>45</v>
      </c>
      <c r="AR177" s="1" t="s">
        <v>45</v>
      </c>
      <c r="AT177" s="1" t="s">
        <v>1560</v>
      </c>
      <c r="AW177" s="33" t="s">
        <v>1463</v>
      </c>
      <c r="AX177" s="3" t="s">
        <v>1560</v>
      </c>
      <c r="AY177" s="3"/>
      <c r="AZ177" s="1">
        <v>4</v>
      </c>
      <c r="BA177" s="1" t="s">
        <v>1529</v>
      </c>
      <c r="BB177" s="1" t="s">
        <v>1567</v>
      </c>
      <c r="BC177" s="1" t="s">
        <v>1531</v>
      </c>
      <c r="BD177" s="1" t="s">
        <v>1822</v>
      </c>
      <c r="BE177" s="1" t="s">
        <v>1603</v>
      </c>
      <c r="BF177" s="1" t="s">
        <v>1534</v>
      </c>
      <c r="BG177" s="1" t="s">
        <v>45</v>
      </c>
      <c r="BH177" s="1" t="s">
        <v>46</v>
      </c>
      <c r="BI177" s="1" t="s">
        <v>1599</v>
      </c>
      <c r="BJ177" s="1" t="s">
        <v>45</v>
      </c>
      <c r="BK177" s="1" t="s">
        <v>1536</v>
      </c>
      <c r="BL177" s="32">
        <v>45307</v>
      </c>
      <c r="BM177" s="1" t="s">
        <v>643</v>
      </c>
      <c r="BO177" s="1" t="s">
        <v>1537</v>
      </c>
      <c r="BP177" s="1" t="s">
        <v>1538</v>
      </c>
      <c r="BQ177" s="1" t="s">
        <v>1539</v>
      </c>
      <c r="BR177" s="1" t="s">
        <v>1540</v>
      </c>
      <c r="BS177" s="1" t="s">
        <v>50</v>
      </c>
      <c r="BU177" s="1" t="s">
        <v>45</v>
      </c>
      <c r="BW177" s="1" t="s">
        <v>1563</v>
      </c>
      <c r="BX177" s="32">
        <v>45455</v>
      </c>
      <c r="BY177" s="1">
        <v>12</v>
      </c>
      <c r="BZ177" s="1" t="s">
        <v>2049</v>
      </c>
      <c r="CA177" s="1" t="s">
        <v>51</v>
      </c>
      <c r="CB177" s="1" t="s">
        <v>51</v>
      </c>
      <c r="CC177" s="32">
        <v>45355</v>
      </c>
      <c r="CD177" s="1">
        <v>59.4</v>
      </c>
      <c r="CE177" s="1">
        <v>33</v>
      </c>
      <c r="CJ177" s="1" t="s">
        <v>45</v>
      </c>
      <c r="DH177" s="1" t="s">
        <v>45</v>
      </c>
      <c r="DM177" s="1" t="s">
        <v>45</v>
      </c>
      <c r="DO177" s="1" t="s">
        <v>45</v>
      </c>
      <c r="DQ177" s="1" t="s">
        <v>45</v>
      </c>
      <c r="DT177" s="32">
        <v>45777</v>
      </c>
      <c r="DU177" s="1" t="s">
        <v>1598</v>
      </c>
      <c r="DV177" s="1">
        <v>16.852825229960501</v>
      </c>
      <c r="DW177" s="1" t="s">
        <v>45</v>
      </c>
      <c r="DY177" s="32">
        <v>45806</v>
      </c>
      <c r="DZ177" s="1" t="s">
        <v>1544</v>
      </c>
    </row>
    <row r="178" spans="1:130" ht="15.75" customHeight="1" x14ac:dyDescent="0.2">
      <c r="A178" s="8" t="s">
        <v>1022</v>
      </c>
      <c r="B178" s="32">
        <v>36465</v>
      </c>
      <c r="C178" s="32">
        <v>45257</v>
      </c>
      <c r="D178" s="1">
        <v>24.071678405442899</v>
      </c>
      <c r="E178" s="1" t="s">
        <v>1523</v>
      </c>
      <c r="F178" s="1" t="s">
        <v>1524</v>
      </c>
      <c r="G178" s="1" t="s">
        <v>1574</v>
      </c>
      <c r="H178" s="1" t="s">
        <v>51</v>
      </c>
      <c r="I178" s="1">
        <v>1.67</v>
      </c>
      <c r="J178" s="1" t="s">
        <v>51</v>
      </c>
      <c r="K178" s="1">
        <v>74.099999999999994</v>
      </c>
      <c r="L178" s="1">
        <v>26.569615260496899</v>
      </c>
      <c r="M178" s="1" t="s">
        <v>45</v>
      </c>
      <c r="N178" s="1" t="s">
        <v>45</v>
      </c>
      <c r="O178" s="1" t="s">
        <v>45</v>
      </c>
      <c r="P178" s="1" t="s">
        <v>45</v>
      </c>
      <c r="Q178" s="1" t="s">
        <v>45</v>
      </c>
      <c r="R178" s="1" t="s">
        <v>45</v>
      </c>
      <c r="S178" s="1" t="s">
        <v>45</v>
      </c>
      <c r="T178" s="1" t="s">
        <v>45</v>
      </c>
      <c r="U178" s="1" t="s">
        <v>45</v>
      </c>
      <c r="V178" s="1" t="s">
        <v>45</v>
      </c>
      <c r="W178" s="1" t="s">
        <v>45</v>
      </c>
      <c r="X178" s="1" t="s">
        <v>45</v>
      </c>
      <c r="Y178" s="1" t="s">
        <v>45</v>
      </c>
      <c r="Z178" s="1" t="s">
        <v>45</v>
      </c>
      <c r="AA178" s="1" t="s">
        <v>45</v>
      </c>
      <c r="AB178" s="1" t="s">
        <v>45</v>
      </c>
      <c r="AC178" s="1" t="s">
        <v>45</v>
      </c>
      <c r="AD178" s="1" t="s">
        <v>45</v>
      </c>
      <c r="AE178" s="1" t="s">
        <v>45</v>
      </c>
      <c r="AF178" s="32">
        <v>45308</v>
      </c>
      <c r="AG178" s="1">
        <v>24.2113116627993</v>
      </c>
      <c r="AH178" s="1" t="s">
        <v>1558</v>
      </c>
      <c r="AI178" s="1" t="s">
        <v>1527</v>
      </c>
      <c r="AJ178" s="1" t="s">
        <v>45</v>
      </c>
      <c r="AK178" s="1" t="s">
        <v>45</v>
      </c>
      <c r="AL178" s="1" t="s">
        <v>45</v>
      </c>
      <c r="AM178" s="1" t="s">
        <v>45</v>
      </c>
      <c r="AN178" s="1" t="s">
        <v>45</v>
      </c>
      <c r="AO178" s="1" t="s">
        <v>45</v>
      </c>
      <c r="AP178" s="1" t="s">
        <v>45</v>
      </c>
      <c r="AQ178" s="1" t="s">
        <v>45</v>
      </c>
      <c r="AR178" s="1" t="s">
        <v>45</v>
      </c>
      <c r="AT178" s="1" t="s">
        <v>1546</v>
      </c>
      <c r="AV178" s="1" t="s">
        <v>1889</v>
      </c>
      <c r="AW178" s="33" t="s">
        <v>1464</v>
      </c>
      <c r="AX178" s="3"/>
      <c r="AY178" s="33" t="s">
        <v>1889</v>
      </c>
      <c r="AZ178" s="1">
        <v>2</v>
      </c>
      <c r="BA178" s="1" t="s">
        <v>1821</v>
      </c>
      <c r="BB178" s="1" t="s">
        <v>1530</v>
      </c>
      <c r="BC178" s="1" t="s">
        <v>1531</v>
      </c>
      <c r="BD178" s="1" t="s">
        <v>1532</v>
      </c>
      <c r="BE178" s="1" t="s">
        <v>1525</v>
      </c>
      <c r="BG178" s="1" t="s">
        <v>45</v>
      </c>
      <c r="BH178" s="1" t="s">
        <v>68</v>
      </c>
      <c r="BI178" s="1" t="s">
        <v>1535</v>
      </c>
      <c r="BJ178" s="1" t="s">
        <v>51</v>
      </c>
      <c r="BK178" s="1" t="s">
        <v>1549</v>
      </c>
      <c r="BL178" s="32">
        <v>45308</v>
      </c>
      <c r="BM178" s="1" t="s">
        <v>1023</v>
      </c>
      <c r="BO178" s="1" t="s">
        <v>1537</v>
      </c>
      <c r="BP178" s="1" t="s">
        <v>1538</v>
      </c>
      <c r="BQ178" s="1" t="s">
        <v>1539</v>
      </c>
      <c r="BR178" s="1" t="s">
        <v>1540</v>
      </c>
      <c r="BS178" s="1" t="s">
        <v>50</v>
      </c>
      <c r="BU178" s="1" t="s">
        <v>51</v>
      </c>
      <c r="BV178" s="1" t="s">
        <v>1541</v>
      </c>
      <c r="BW178" s="1" t="s">
        <v>1542</v>
      </c>
      <c r="CA178" s="1" t="s">
        <v>45</v>
      </c>
      <c r="CB178" s="1" t="s">
        <v>45</v>
      </c>
      <c r="CJ178" s="1" t="s">
        <v>45</v>
      </c>
      <c r="DH178" s="1" t="s">
        <v>45</v>
      </c>
      <c r="DM178" s="1" t="s">
        <v>45</v>
      </c>
      <c r="DO178" s="1" t="s">
        <v>45</v>
      </c>
      <c r="DQ178" s="1" t="s">
        <v>45</v>
      </c>
      <c r="DT178" s="32">
        <v>45552</v>
      </c>
      <c r="DU178" s="1" t="s">
        <v>1598</v>
      </c>
      <c r="DV178" s="1">
        <v>8.0157687253613599</v>
      </c>
      <c r="DW178" s="1" t="s">
        <v>45</v>
      </c>
      <c r="DY178" s="32">
        <v>45812</v>
      </c>
      <c r="DZ178" s="1" t="s">
        <v>1544</v>
      </c>
    </row>
    <row r="179" spans="1:130" ht="15.75" customHeight="1" x14ac:dyDescent="0.2">
      <c r="A179" s="8" t="s">
        <v>1026</v>
      </c>
      <c r="B179" s="32">
        <v>16377</v>
      </c>
      <c r="C179" s="32">
        <v>45042</v>
      </c>
      <c r="D179" s="1">
        <v>78.482104355325504</v>
      </c>
      <c r="E179" s="1" t="s">
        <v>1523</v>
      </c>
      <c r="F179" s="1" t="s">
        <v>1524</v>
      </c>
      <c r="G179" s="1" t="s">
        <v>1545</v>
      </c>
      <c r="H179" s="1" t="s">
        <v>51</v>
      </c>
      <c r="I179" s="1">
        <v>1.8</v>
      </c>
      <c r="J179" s="1" t="s">
        <v>51</v>
      </c>
      <c r="K179" s="1">
        <v>80</v>
      </c>
      <c r="L179" s="1">
        <v>24.691358024691301</v>
      </c>
      <c r="M179" s="1" t="s">
        <v>51</v>
      </c>
      <c r="N179" s="1" t="s">
        <v>45</v>
      </c>
      <c r="O179" s="1" t="s">
        <v>45</v>
      </c>
      <c r="P179" s="1" t="s">
        <v>51</v>
      </c>
      <c r="Q179" s="1" t="s">
        <v>45</v>
      </c>
      <c r="R179" s="1" t="s">
        <v>45</v>
      </c>
      <c r="S179" s="1" t="s">
        <v>45</v>
      </c>
      <c r="T179" s="1" t="s">
        <v>45</v>
      </c>
      <c r="U179" s="1" t="s">
        <v>45</v>
      </c>
      <c r="V179" s="1" t="s">
        <v>45</v>
      </c>
      <c r="W179" s="1" t="s">
        <v>45</v>
      </c>
      <c r="X179" s="1" t="s">
        <v>45</v>
      </c>
      <c r="Y179" s="1" t="s">
        <v>45</v>
      </c>
      <c r="Z179" s="1" t="s">
        <v>45</v>
      </c>
      <c r="AA179" s="1" t="s">
        <v>45</v>
      </c>
      <c r="AB179" s="1" t="s">
        <v>45</v>
      </c>
      <c r="AC179" s="1" t="s">
        <v>45</v>
      </c>
      <c r="AD179" s="1" t="s">
        <v>45</v>
      </c>
      <c r="AE179" s="1" t="s">
        <v>45</v>
      </c>
      <c r="AF179" s="32">
        <v>45043</v>
      </c>
      <c r="AG179" s="1">
        <v>78.484842262332506</v>
      </c>
      <c r="AH179" s="1" t="s">
        <v>1526</v>
      </c>
      <c r="AI179" s="1" t="s">
        <v>1527</v>
      </c>
      <c r="AJ179" s="1" t="s">
        <v>45</v>
      </c>
      <c r="AK179" s="1" t="s">
        <v>45</v>
      </c>
      <c r="AL179" s="1" t="s">
        <v>45</v>
      </c>
      <c r="AM179" s="1" t="s">
        <v>51</v>
      </c>
      <c r="AN179" s="1" t="s">
        <v>51</v>
      </c>
      <c r="AO179" s="1" t="s">
        <v>45</v>
      </c>
      <c r="AP179" s="1" t="s">
        <v>51</v>
      </c>
      <c r="AQ179" s="1" t="s">
        <v>45</v>
      </c>
      <c r="AR179" s="1" t="s">
        <v>45</v>
      </c>
      <c r="AT179" s="1" t="s">
        <v>1583</v>
      </c>
      <c r="AU179" s="1" t="s">
        <v>1713</v>
      </c>
      <c r="AW179" s="33" t="s">
        <v>1713</v>
      </c>
      <c r="AX179" s="3"/>
      <c r="AY179" s="3"/>
      <c r="AZ179" s="1">
        <v>2</v>
      </c>
      <c r="BA179" s="1" t="s">
        <v>1821</v>
      </c>
      <c r="BB179" s="1" t="s">
        <v>1561</v>
      </c>
      <c r="BC179" s="1" t="s">
        <v>1561</v>
      </c>
      <c r="BD179" s="1" t="s">
        <v>1561</v>
      </c>
      <c r="BE179" s="1" t="s">
        <v>1525</v>
      </c>
      <c r="BG179" s="1" t="s">
        <v>1525</v>
      </c>
      <c r="BH179" s="1" t="s">
        <v>1525</v>
      </c>
      <c r="BI179" s="1" t="s">
        <v>1525</v>
      </c>
      <c r="BJ179" s="1" t="s">
        <v>1525</v>
      </c>
      <c r="BK179" s="1" t="s">
        <v>1549</v>
      </c>
      <c r="BL179" s="32">
        <v>45314</v>
      </c>
      <c r="BM179" s="1" t="s">
        <v>1027</v>
      </c>
      <c r="BO179" s="1" t="s">
        <v>1537</v>
      </c>
      <c r="BP179" s="1" t="s">
        <v>1538</v>
      </c>
      <c r="BQ179" s="1" t="s">
        <v>1539</v>
      </c>
      <c r="BR179" s="1" t="s">
        <v>1552</v>
      </c>
      <c r="BS179" s="1" t="s">
        <v>1691</v>
      </c>
      <c r="BU179" s="1" t="s">
        <v>45</v>
      </c>
      <c r="BW179" s="1" t="s">
        <v>1542</v>
      </c>
      <c r="CA179" s="1" t="s">
        <v>45</v>
      </c>
      <c r="CB179" s="1" t="s">
        <v>45</v>
      </c>
      <c r="CJ179" s="1" t="s">
        <v>45</v>
      </c>
      <c r="DH179" s="1" t="s">
        <v>45</v>
      </c>
      <c r="DM179" s="1" t="s">
        <v>45</v>
      </c>
      <c r="DO179" s="1" t="s">
        <v>45</v>
      </c>
      <c r="DQ179" s="1" t="s">
        <v>45</v>
      </c>
      <c r="DT179" s="32">
        <v>45369</v>
      </c>
      <c r="DU179" s="1" t="s">
        <v>1598</v>
      </c>
      <c r="DV179" s="1">
        <v>10.7095926412614</v>
      </c>
      <c r="DW179" s="1" t="s">
        <v>51</v>
      </c>
      <c r="DX179" s="1" t="s">
        <v>2050</v>
      </c>
      <c r="DY179" s="32">
        <v>45620</v>
      </c>
      <c r="DZ179" s="1" t="s">
        <v>1544</v>
      </c>
    </row>
    <row r="180" spans="1:130" ht="15.75" customHeight="1" x14ac:dyDescent="0.2">
      <c r="A180" s="8" t="s">
        <v>1028</v>
      </c>
      <c r="B180" s="32">
        <v>16254</v>
      </c>
      <c r="C180" s="32">
        <v>45278</v>
      </c>
      <c r="D180" s="1">
        <v>79.465012970834394</v>
      </c>
      <c r="E180" s="1" t="s">
        <v>1587</v>
      </c>
      <c r="F180" s="1" t="s">
        <v>1524</v>
      </c>
      <c r="G180" s="1" t="s">
        <v>1545</v>
      </c>
      <c r="H180" s="1" t="s">
        <v>51</v>
      </c>
      <c r="I180" s="1">
        <v>1.7</v>
      </c>
      <c r="J180" s="1" t="s">
        <v>51</v>
      </c>
      <c r="K180" s="1">
        <v>74</v>
      </c>
      <c r="L180" s="1">
        <v>25.605536332179899</v>
      </c>
      <c r="M180" s="1" t="s">
        <v>45</v>
      </c>
      <c r="N180" s="1" t="s">
        <v>45</v>
      </c>
      <c r="O180" s="1" t="s">
        <v>45</v>
      </c>
      <c r="P180" s="1" t="s">
        <v>45</v>
      </c>
      <c r="Q180" s="1" t="s">
        <v>45</v>
      </c>
      <c r="R180" s="1" t="s">
        <v>45</v>
      </c>
      <c r="S180" s="1" t="s">
        <v>45</v>
      </c>
      <c r="T180" s="1" t="s">
        <v>45</v>
      </c>
      <c r="U180" s="1" t="s">
        <v>51</v>
      </c>
      <c r="V180" s="1" t="s">
        <v>45</v>
      </c>
      <c r="W180" s="1" t="s">
        <v>45</v>
      </c>
      <c r="X180" s="1" t="s">
        <v>45</v>
      </c>
      <c r="Y180" s="1" t="s">
        <v>45</v>
      </c>
      <c r="Z180" s="1" t="s">
        <v>45</v>
      </c>
      <c r="AA180" s="1" t="s">
        <v>45</v>
      </c>
      <c r="AB180" s="1" t="s">
        <v>45</v>
      </c>
      <c r="AC180" s="1" t="s">
        <v>45</v>
      </c>
      <c r="AD180" s="1" t="s">
        <v>45</v>
      </c>
      <c r="AE180" s="1" t="s">
        <v>45</v>
      </c>
      <c r="AF180" s="32">
        <v>45315</v>
      </c>
      <c r="AG180" s="1">
        <v>79.566315530092993</v>
      </c>
      <c r="AH180" s="1" t="s">
        <v>1526</v>
      </c>
      <c r="AI180" s="1" t="s">
        <v>1527</v>
      </c>
      <c r="AJ180" s="1" t="s">
        <v>45</v>
      </c>
      <c r="AK180" s="1" t="s">
        <v>45</v>
      </c>
      <c r="AL180" s="1" t="s">
        <v>45</v>
      </c>
      <c r="AM180" s="1" t="s">
        <v>45</v>
      </c>
      <c r="AN180" s="1" t="s">
        <v>45</v>
      </c>
      <c r="AO180" s="1" t="s">
        <v>45</v>
      </c>
      <c r="AP180" s="1" t="s">
        <v>45</v>
      </c>
      <c r="AQ180" s="1" t="s">
        <v>51</v>
      </c>
      <c r="AR180" s="1" t="s">
        <v>45</v>
      </c>
      <c r="AT180" s="1" t="s">
        <v>1528</v>
      </c>
      <c r="AW180" s="33" t="s">
        <v>1463</v>
      </c>
      <c r="AX180" s="3" t="s">
        <v>1528</v>
      </c>
      <c r="AY180" s="3"/>
      <c r="AZ180" s="1">
        <v>4</v>
      </c>
      <c r="BA180" s="1" t="s">
        <v>1529</v>
      </c>
      <c r="BB180" s="1" t="s">
        <v>1530</v>
      </c>
      <c r="BC180" s="1" t="s">
        <v>1531</v>
      </c>
      <c r="BD180" s="1" t="s">
        <v>1532</v>
      </c>
      <c r="BE180" s="1" t="s">
        <v>1603</v>
      </c>
      <c r="BF180" s="1" t="s">
        <v>1534</v>
      </c>
      <c r="BG180" s="1" t="s">
        <v>51</v>
      </c>
      <c r="BH180" s="1" t="s">
        <v>46</v>
      </c>
      <c r="BI180" s="1" t="s">
        <v>1535</v>
      </c>
      <c r="BJ180" s="1" t="s">
        <v>45</v>
      </c>
      <c r="BK180" s="1" t="s">
        <v>1549</v>
      </c>
      <c r="BL180" s="32">
        <v>45315</v>
      </c>
      <c r="BM180" s="1" t="s">
        <v>1029</v>
      </c>
      <c r="BO180" s="1" t="s">
        <v>1537</v>
      </c>
      <c r="BP180" s="1" t="s">
        <v>1538</v>
      </c>
      <c r="BQ180" s="1" t="s">
        <v>1647</v>
      </c>
      <c r="BR180" s="1" t="s">
        <v>1540</v>
      </c>
      <c r="BS180" s="1" t="s">
        <v>43</v>
      </c>
      <c r="BU180" s="1" t="s">
        <v>45</v>
      </c>
      <c r="BW180" s="1" t="s">
        <v>1563</v>
      </c>
      <c r="CA180" s="1" t="s">
        <v>51</v>
      </c>
      <c r="CB180" s="1" t="s">
        <v>51</v>
      </c>
      <c r="CI180" s="1" t="s">
        <v>2051</v>
      </c>
      <c r="CJ180" s="1" t="s">
        <v>45</v>
      </c>
      <c r="DH180" s="1" t="s">
        <v>45</v>
      </c>
      <c r="DM180" s="1" t="s">
        <v>45</v>
      </c>
      <c r="DO180" s="1" t="s">
        <v>45</v>
      </c>
      <c r="DQ180" s="1" t="s">
        <v>45</v>
      </c>
      <c r="DS180" s="1" t="s">
        <v>2052</v>
      </c>
      <c r="DT180" s="32">
        <v>45694</v>
      </c>
      <c r="DU180" s="1" t="s">
        <v>1598</v>
      </c>
      <c r="DV180" s="1">
        <v>12.4507227332457</v>
      </c>
      <c r="DW180" s="1" t="s">
        <v>51</v>
      </c>
      <c r="DX180" s="1" t="s">
        <v>2053</v>
      </c>
      <c r="DY180" s="32">
        <v>45812</v>
      </c>
      <c r="DZ180" s="1" t="s">
        <v>1544</v>
      </c>
    </row>
    <row r="181" spans="1:130" ht="15.75" customHeight="1" x14ac:dyDescent="0.2">
      <c r="A181" s="8" t="s">
        <v>645</v>
      </c>
      <c r="B181" s="32">
        <v>27885</v>
      </c>
      <c r="C181" s="32">
        <v>43024</v>
      </c>
      <c r="D181" s="1">
        <v>41.449174178798998</v>
      </c>
      <c r="E181" s="1" t="s">
        <v>1523</v>
      </c>
      <c r="F181" s="1" t="s">
        <v>1524</v>
      </c>
      <c r="G181" s="1" t="s">
        <v>1574</v>
      </c>
      <c r="H181" s="1" t="s">
        <v>51</v>
      </c>
      <c r="I181" s="1">
        <v>1.86</v>
      </c>
      <c r="J181" s="1" t="s">
        <v>51</v>
      </c>
      <c r="K181" s="1">
        <v>91.4</v>
      </c>
      <c r="L181" s="1">
        <v>26.419239218406702</v>
      </c>
      <c r="M181" s="1" t="s">
        <v>45</v>
      </c>
      <c r="N181" s="1" t="s">
        <v>45</v>
      </c>
      <c r="O181" s="1" t="s">
        <v>45</v>
      </c>
      <c r="P181" s="1" t="s">
        <v>45</v>
      </c>
      <c r="Q181" s="1" t="s">
        <v>45</v>
      </c>
      <c r="R181" s="1" t="s">
        <v>45</v>
      </c>
      <c r="S181" s="1" t="s">
        <v>45</v>
      </c>
      <c r="T181" s="1" t="s">
        <v>45</v>
      </c>
      <c r="U181" s="1" t="s">
        <v>51</v>
      </c>
      <c r="V181" s="1" t="s">
        <v>45</v>
      </c>
      <c r="W181" s="1" t="s">
        <v>45</v>
      </c>
      <c r="X181" s="1" t="s">
        <v>45</v>
      </c>
      <c r="Y181" s="1" t="s">
        <v>45</v>
      </c>
      <c r="Z181" s="1" t="s">
        <v>45</v>
      </c>
      <c r="AA181" s="1" t="s">
        <v>45</v>
      </c>
      <c r="AB181" s="1" t="s">
        <v>45</v>
      </c>
      <c r="AC181" s="1" t="s">
        <v>45</v>
      </c>
      <c r="AD181" s="1" t="s">
        <v>45</v>
      </c>
      <c r="AE181" s="1" t="s">
        <v>45</v>
      </c>
      <c r="AF181" s="32">
        <v>39932</v>
      </c>
      <c r="AG181" s="1">
        <v>32.983565713190501</v>
      </c>
      <c r="AH181" s="1" t="s">
        <v>1526</v>
      </c>
      <c r="AI181" s="1" t="s">
        <v>1527</v>
      </c>
      <c r="AJ181" s="1" t="s">
        <v>45</v>
      </c>
      <c r="AK181" s="1" t="s">
        <v>51</v>
      </c>
      <c r="AL181" s="1" t="s">
        <v>45</v>
      </c>
      <c r="AM181" s="1" t="s">
        <v>51</v>
      </c>
      <c r="AN181" s="1" t="s">
        <v>51</v>
      </c>
      <c r="AO181" s="1" t="s">
        <v>45</v>
      </c>
      <c r="AP181" s="1" t="s">
        <v>45</v>
      </c>
      <c r="AQ181" s="1" t="s">
        <v>45</v>
      </c>
      <c r="AR181" s="1" t="s">
        <v>45</v>
      </c>
      <c r="AT181" s="1" t="s">
        <v>1601</v>
      </c>
      <c r="AW181" s="33" t="s">
        <v>1464</v>
      </c>
      <c r="AX181" s="3"/>
      <c r="AY181" s="3" t="s">
        <v>1601</v>
      </c>
      <c r="AZ181" s="1">
        <v>2</v>
      </c>
      <c r="BA181" s="1" t="s">
        <v>1821</v>
      </c>
      <c r="BB181" s="1" t="s">
        <v>1567</v>
      </c>
      <c r="BC181" s="1" t="s">
        <v>1602</v>
      </c>
      <c r="BD181" s="1" t="s">
        <v>1990</v>
      </c>
      <c r="BE181" s="1" t="s">
        <v>1525</v>
      </c>
      <c r="BG181" s="1" t="s">
        <v>51</v>
      </c>
      <c r="BH181" s="1" t="s">
        <v>1525</v>
      </c>
      <c r="BI181" s="1" t="s">
        <v>1525</v>
      </c>
      <c r="BJ181" s="1" t="s">
        <v>1525</v>
      </c>
      <c r="BK181" s="1" t="s">
        <v>1536</v>
      </c>
      <c r="BL181" s="32">
        <v>41669</v>
      </c>
      <c r="BO181" s="1" t="s">
        <v>1537</v>
      </c>
      <c r="BP181" s="1" t="s">
        <v>1566</v>
      </c>
      <c r="BQ181" s="1" t="s">
        <v>1539</v>
      </c>
      <c r="BR181" s="1" t="s">
        <v>1552</v>
      </c>
      <c r="BS181" s="1" t="s">
        <v>50</v>
      </c>
      <c r="BU181" s="1" t="s">
        <v>45</v>
      </c>
      <c r="BW181" s="1" t="s">
        <v>1542</v>
      </c>
      <c r="CA181" s="1" t="s">
        <v>45</v>
      </c>
      <c r="CB181" s="1" t="s">
        <v>45</v>
      </c>
      <c r="CI181" s="1" t="s">
        <v>2054</v>
      </c>
      <c r="CJ181" s="1" t="s">
        <v>51</v>
      </c>
      <c r="CK181" s="32">
        <v>45230</v>
      </c>
      <c r="CL181" s="1" t="s">
        <v>51</v>
      </c>
      <c r="CM181" s="32">
        <v>45327</v>
      </c>
      <c r="CN181" s="1">
        <v>10.0152638315639</v>
      </c>
      <c r="CO181" s="1" t="s">
        <v>1537</v>
      </c>
      <c r="CP181" s="1" t="s">
        <v>1796</v>
      </c>
      <c r="CQ181" s="1" t="s">
        <v>1539</v>
      </c>
      <c r="CR181" s="1" t="s">
        <v>1552</v>
      </c>
      <c r="CS181" s="1" t="s">
        <v>50</v>
      </c>
      <c r="CT181" s="1" t="s">
        <v>1601</v>
      </c>
      <c r="CW181" s="1">
        <v>3</v>
      </c>
      <c r="CX181" s="1" t="s">
        <v>1978</v>
      </c>
      <c r="CY181" s="1" t="s">
        <v>1567</v>
      </c>
      <c r="CZ181" s="1" t="s">
        <v>1602</v>
      </c>
      <c r="DA181" s="1" t="s">
        <v>1990</v>
      </c>
      <c r="DB181" s="1" t="s">
        <v>1525</v>
      </c>
      <c r="DD181" s="1" t="s">
        <v>51</v>
      </c>
      <c r="DE181" s="1" t="s">
        <v>1525</v>
      </c>
      <c r="DF181" s="1" t="s">
        <v>1525</v>
      </c>
      <c r="DG181" s="1" t="s">
        <v>1525</v>
      </c>
      <c r="DH181" s="1" t="s">
        <v>51</v>
      </c>
      <c r="DI181" s="1" t="s">
        <v>2055</v>
      </c>
      <c r="DJ181" s="32">
        <v>45455</v>
      </c>
      <c r="DM181" s="1" t="s">
        <v>51</v>
      </c>
      <c r="DN181" s="1" t="s">
        <v>2056</v>
      </c>
      <c r="DT181" s="32">
        <v>45778</v>
      </c>
      <c r="DU181" s="1" t="s">
        <v>1598</v>
      </c>
      <c r="DV181" s="1">
        <v>192.049934296977</v>
      </c>
      <c r="DW181" s="1" t="s">
        <v>45</v>
      </c>
      <c r="DY181" s="32">
        <v>45806</v>
      </c>
      <c r="DZ181" s="1" t="s">
        <v>1544</v>
      </c>
    </row>
    <row r="182" spans="1:130" ht="15.75" customHeight="1" x14ac:dyDescent="0.2">
      <c r="A182" s="8" t="s">
        <v>1034</v>
      </c>
      <c r="B182" s="32">
        <v>34881</v>
      </c>
      <c r="C182" s="32">
        <v>45320</v>
      </c>
      <c r="D182" s="1">
        <v>28.581011245953</v>
      </c>
      <c r="E182" s="1" t="s">
        <v>1587</v>
      </c>
      <c r="F182" s="1" t="s">
        <v>1524</v>
      </c>
      <c r="G182" s="1" t="s">
        <v>1545</v>
      </c>
      <c r="H182" s="1" t="s">
        <v>51</v>
      </c>
      <c r="I182" s="1">
        <v>1.575</v>
      </c>
      <c r="J182" s="1" t="s">
        <v>51</v>
      </c>
      <c r="K182" s="1">
        <v>75</v>
      </c>
      <c r="L182" s="1">
        <v>30.234315948601601</v>
      </c>
      <c r="M182" s="1" t="s">
        <v>45</v>
      </c>
      <c r="N182" s="1" t="s">
        <v>45</v>
      </c>
      <c r="O182" s="1" t="s">
        <v>45</v>
      </c>
      <c r="P182" s="1" t="s">
        <v>45</v>
      </c>
      <c r="Q182" s="1" t="s">
        <v>45</v>
      </c>
      <c r="R182" s="1" t="s">
        <v>45</v>
      </c>
      <c r="S182" s="1" t="s">
        <v>45</v>
      </c>
      <c r="T182" s="1" t="s">
        <v>45</v>
      </c>
      <c r="U182" s="1" t="s">
        <v>45</v>
      </c>
      <c r="V182" s="1" t="s">
        <v>45</v>
      </c>
      <c r="W182" s="1" t="s">
        <v>45</v>
      </c>
      <c r="X182" s="1" t="s">
        <v>51</v>
      </c>
      <c r="Y182" s="1" t="s">
        <v>45</v>
      </c>
      <c r="Z182" s="1" t="s">
        <v>45</v>
      </c>
      <c r="AA182" s="1" t="s">
        <v>45</v>
      </c>
      <c r="AB182" s="1" t="s">
        <v>45</v>
      </c>
      <c r="AC182" s="1" t="s">
        <v>45</v>
      </c>
      <c r="AD182" s="1" t="s">
        <v>45</v>
      </c>
      <c r="AE182" s="1" t="s">
        <v>45</v>
      </c>
      <c r="AF182" s="32">
        <v>45320</v>
      </c>
      <c r="AG182" s="1">
        <v>28.581011245953</v>
      </c>
      <c r="AH182" s="1" t="s">
        <v>1526</v>
      </c>
      <c r="AI182" s="1" t="s">
        <v>1527</v>
      </c>
      <c r="AJ182" s="1" t="s">
        <v>45</v>
      </c>
      <c r="AK182" s="1" t="s">
        <v>51</v>
      </c>
      <c r="AL182" s="1" t="s">
        <v>45</v>
      </c>
      <c r="AM182" s="1" t="s">
        <v>45</v>
      </c>
      <c r="AN182" s="1" t="s">
        <v>45</v>
      </c>
      <c r="AO182" s="1" t="s">
        <v>45</v>
      </c>
      <c r="AP182" s="1" t="s">
        <v>45</v>
      </c>
      <c r="AQ182" s="1" t="s">
        <v>51</v>
      </c>
      <c r="AR182" s="1" t="s">
        <v>51</v>
      </c>
      <c r="AS182" s="1" t="s">
        <v>2057</v>
      </c>
      <c r="AT182" s="1" t="s">
        <v>1601</v>
      </c>
      <c r="AW182" s="33" t="s">
        <v>1463</v>
      </c>
      <c r="AX182" s="3" t="s">
        <v>1601</v>
      </c>
      <c r="AY182" s="3"/>
      <c r="AZ182" s="1">
        <v>3</v>
      </c>
      <c r="BA182" s="1" t="s">
        <v>1978</v>
      </c>
      <c r="BB182" s="1" t="s">
        <v>1567</v>
      </c>
      <c r="BC182" s="1" t="s">
        <v>1602</v>
      </c>
      <c r="BD182" s="1" t="s">
        <v>1990</v>
      </c>
      <c r="BE182" s="1" t="s">
        <v>1533</v>
      </c>
      <c r="BF182" s="1" t="s">
        <v>1534</v>
      </c>
      <c r="BG182" s="1" t="s">
        <v>45</v>
      </c>
      <c r="BH182" s="1" t="s">
        <v>46</v>
      </c>
      <c r="BI182" s="1" t="s">
        <v>1535</v>
      </c>
      <c r="BJ182" s="1" t="s">
        <v>51</v>
      </c>
      <c r="BK182" s="1" t="s">
        <v>1549</v>
      </c>
      <c r="BL182" s="32">
        <v>45330</v>
      </c>
      <c r="BM182" s="1" t="s">
        <v>1035</v>
      </c>
      <c r="BO182" s="1" t="s">
        <v>1537</v>
      </c>
      <c r="BP182" s="1" t="s">
        <v>1538</v>
      </c>
      <c r="BQ182" s="1" t="s">
        <v>1539</v>
      </c>
      <c r="BR182" s="1" t="s">
        <v>1540</v>
      </c>
      <c r="BS182" s="1" t="s">
        <v>50</v>
      </c>
      <c r="BU182" s="1" t="s">
        <v>51</v>
      </c>
      <c r="BV182" s="1" t="s">
        <v>1541</v>
      </c>
      <c r="BW182" s="1" t="s">
        <v>1563</v>
      </c>
      <c r="BX182" s="32">
        <v>45450</v>
      </c>
      <c r="BY182" s="1">
        <v>12</v>
      </c>
      <c r="BZ182" s="1" t="s">
        <v>2058</v>
      </c>
      <c r="CA182" s="1" t="s">
        <v>51</v>
      </c>
      <c r="CB182" s="1" t="s">
        <v>51</v>
      </c>
      <c r="CC182" s="32">
        <v>45383</v>
      </c>
      <c r="CD182" s="1">
        <v>59.4</v>
      </c>
      <c r="CE182" s="1">
        <v>33</v>
      </c>
      <c r="CJ182" s="1" t="s">
        <v>45</v>
      </c>
      <c r="DH182" s="1" t="s">
        <v>45</v>
      </c>
      <c r="DM182" s="1" t="s">
        <v>45</v>
      </c>
      <c r="DO182" s="1" t="s">
        <v>45</v>
      </c>
      <c r="DQ182" s="1" t="s">
        <v>45</v>
      </c>
      <c r="DT182" s="32">
        <v>45786</v>
      </c>
      <c r="DU182" s="1" t="s">
        <v>1598</v>
      </c>
      <c r="DV182" s="1">
        <v>15.3088042049934</v>
      </c>
      <c r="DW182" s="1" t="s">
        <v>45</v>
      </c>
      <c r="DY182" s="32">
        <v>45812</v>
      </c>
      <c r="DZ182" s="1" t="s">
        <v>1544</v>
      </c>
    </row>
    <row r="183" spans="1:130" ht="15.75" customHeight="1" x14ac:dyDescent="0.2">
      <c r="A183" s="8" t="s">
        <v>1038</v>
      </c>
      <c r="B183" s="32">
        <v>25294</v>
      </c>
      <c r="C183" s="32">
        <v>45330</v>
      </c>
      <c r="D183" s="1">
        <v>54.856704792021702</v>
      </c>
      <c r="E183" s="1" t="s">
        <v>1523</v>
      </c>
      <c r="F183" s="1" t="s">
        <v>1524</v>
      </c>
      <c r="G183" s="1" t="s">
        <v>1574</v>
      </c>
      <c r="H183" s="1" t="s">
        <v>51</v>
      </c>
      <c r="I183" s="1">
        <v>1.78</v>
      </c>
      <c r="J183" s="1" t="s">
        <v>51</v>
      </c>
      <c r="K183" s="1">
        <v>81.400000000000006</v>
      </c>
      <c r="L183" s="1">
        <v>25.691200605984001</v>
      </c>
      <c r="M183" s="1" t="s">
        <v>45</v>
      </c>
      <c r="N183" s="1" t="s">
        <v>45</v>
      </c>
      <c r="O183" s="1" t="s">
        <v>45</v>
      </c>
      <c r="P183" s="1" t="s">
        <v>45</v>
      </c>
      <c r="Q183" s="1" t="s">
        <v>45</v>
      </c>
      <c r="R183" s="1" t="s">
        <v>45</v>
      </c>
      <c r="S183" s="1" t="s">
        <v>45</v>
      </c>
      <c r="T183" s="1" t="s">
        <v>45</v>
      </c>
      <c r="U183" s="1" t="s">
        <v>45</v>
      </c>
      <c r="V183" s="1" t="s">
        <v>45</v>
      </c>
      <c r="W183" s="1" t="s">
        <v>51</v>
      </c>
      <c r="X183" s="1" t="s">
        <v>45</v>
      </c>
      <c r="Y183" s="1" t="s">
        <v>45</v>
      </c>
      <c r="Z183" s="1" t="s">
        <v>45</v>
      </c>
      <c r="AA183" s="1" t="s">
        <v>45</v>
      </c>
      <c r="AB183" s="1" t="s">
        <v>45</v>
      </c>
      <c r="AC183" s="1" t="s">
        <v>45</v>
      </c>
      <c r="AD183" s="1" t="s">
        <v>45</v>
      </c>
      <c r="AE183" s="1" t="s">
        <v>45</v>
      </c>
      <c r="AF183" s="32">
        <v>45333</v>
      </c>
      <c r="AG183" s="1">
        <v>54.864918513042703</v>
      </c>
      <c r="AH183" s="1" t="s">
        <v>1526</v>
      </c>
      <c r="AI183" s="1" t="s">
        <v>1527</v>
      </c>
      <c r="AJ183" s="1" t="s">
        <v>51</v>
      </c>
      <c r="AK183" s="1" t="s">
        <v>45</v>
      </c>
      <c r="AL183" s="1" t="s">
        <v>45</v>
      </c>
      <c r="AM183" s="1" t="s">
        <v>51</v>
      </c>
      <c r="AN183" s="1" t="s">
        <v>45</v>
      </c>
      <c r="AO183" s="1" t="s">
        <v>51</v>
      </c>
      <c r="AP183" s="1" t="s">
        <v>45</v>
      </c>
      <c r="AQ183" s="1" t="s">
        <v>45</v>
      </c>
      <c r="AR183" s="1" t="s">
        <v>51</v>
      </c>
      <c r="AS183" s="1" t="s">
        <v>2059</v>
      </c>
      <c r="AT183" s="1" t="s">
        <v>1528</v>
      </c>
      <c r="AW183" s="33" t="s">
        <v>1463</v>
      </c>
      <c r="AX183" s="3" t="s">
        <v>1528</v>
      </c>
      <c r="AY183" s="3"/>
      <c r="AZ183" s="1">
        <v>4</v>
      </c>
      <c r="BA183" s="1" t="s">
        <v>1529</v>
      </c>
      <c r="BB183" s="1" t="s">
        <v>1530</v>
      </c>
      <c r="BC183" s="1" t="s">
        <v>1531</v>
      </c>
      <c r="BD183" s="1" t="s">
        <v>1532</v>
      </c>
      <c r="BE183" s="1" t="s">
        <v>1533</v>
      </c>
      <c r="BF183" s="1" t="s">
        <v>1534</v>
      </c>
      <c r="BG183" s="1" t="s">
        <v>51</v>
      </c>
      <c r="BH183" s="1" t="s">
        <v>46</v>
      </c>
      <c r="BI183" s="1" t="s">
        <v>1535</v>
      </c>
      <c r="BJ183" s="1" t="s">
        <v>45</v>
      </c>
      <c r="BK183" s="1" t="s">
        <v>1549</v>
      </c>
      <c r="BL183" s="32">
        <v>45333</v>
      </c>
      <c r="BM183" s="1" t="s">
        <v>1039</v>
      </c>
      <c r="BO183" s="1" t="s">
        <v>1537</v>
      </c>
      <c r="BP183" s="1" t="s">
        <v>1538</v>
      </c>
      <c r="BQ183" s="1" t="s">
        <v>1647</v>
      </c>
      <c r="BR183" s="1" t="s">
        <v>1552</v>
      </c>
      <c r="BS183" s="1" t="s">
        <v>50</v>
      </c>
      <c r="BU183" s="1" t="s">
        <v>51</v>
      </c>
      <c r="BV183" s="1" t="s">
        <v>1541</v>
      </c>
      <c r="BW183" s="1" t="s">
        <v>1563</v>
      </c>
      <c r="BX183" s="32">
        <v>45376</v>
      </c>
      <c r="BY183" s="1">
        <v>7</v>
      </c>
      <c r="BZ183" s="1" t="s">
        <v>2060</v>
      </c>
      <c r="CA183" s="1" t="s">
        <v>51</v>
      </c>
      <c r="CB183" s="1" t="s">
        <v>51</v>
      </c>
      <c r="CC183" s="32">
        <v>45376</v>
      </c>
      <c r="CD183" s="1">
        <v>59.4</v>
      </c>
      <c r="CE183" s="1">
        <v>33</v>
      </c>
      <c r="CJ183" s="1" t="s">
        <v>51</v>
      </c>
      <c r="CK183" s="32">
        <v>45678</v>
      </c>
      <c r="CL183" s="1" t="s">
        <v>51</v>
      </c>
      <c r="CM183" s="32">
        <v>45748</v>
      </c>
      <c r="CN183" s="1">
        <v>1.13623140790023</v>
      </c>
      <c r="CO183" s="1" t="s">
        <v>1537</v>
      </c>
      <c r="CP183" s="1" t="s">
        <v>1796</v>
      </c>
      <c r="CQ183" s="1" t="s">
        <v>1539</v>
      </c>
      <c r="CR183" s="1" t="s">
        <v>1552</v>
      </c>
      <c r="CS183" s="1" t="s">
        <v>50</v>
      </c>
      <c r="CT183" s="1" t="s">
        <v>1528</v>
      </c>
      <c r="CW183" s="1">
        <v>4</v>
      </c>
      <c r="CX183" s="1" t="s">
        <v>1529</v>
      </c>
      <c r="CY183" s="1" t="s">
        <v>1530</v>
      </c>
      <c r="CZ183" s="1" t="s">
        <v>1531</v>
      </c>
      <c r="DA183" s="1" t="s">
        <v>1532</v>
      </c>
      <c r="DB183" s="1" t="s">
        <v>1533</v>
      </c>
      <c r="DC183" s="1" t="s">
        <v>1534</v>
      </c>
      <c r="DD183" s="1" t="s">
        <v>51</v>
      </c>
      <c r="DE183" s="1" t="s">
        <v>46</v>
      </c>
      <c r="DF183" s="1" t="s">
        <v>68</v>
      </c>
      <c r="DG183" s="1" t="s">
        <v>45</v>
      </c>
      <c r="DH183" s="1" t="s">
        <v>51</v>
      </c>
      <c r="DI183" s="1" t="s">
        <v>2061</v>
      </c>
      <c r="DJ183" s="32">
        <v>45817</v>
      </c>
      <c r="DM183" s="1" t="s">
        <v>51</v>
      </c>
      <c r="DN183" s="1" t="s">
        <v>2062</v>
      </c>
      <c r="DO183" s="1" t="s">
        <v>45</v>
      </c>
      <c r="DQ183" s="1" t="s">
        <v>45</v>
      </c>
      <c r="DT183" s="32">
        <v>45812</v>
      </c>
      <c r="DU183" s="1" t="s">
        <v>1598</v>
      </c>
      <c r="DV183" s="1">
        <v>15.7358738501971</v>
      </c>
      <c r="DW183" s="1" t="s">
        <v>45</v>
      </c>
      <c r="DY183" s="32">
        <v>45812</v>
      </c>
      <c r="DZ183" s="1" t="s">
        <v>1544</v>
      </c>
    </row>
    <row r="184" spans="1:130" ht="15.75" customHeight="1" x14ac:dyDescent="0.2">
      <c r="A184" s="8" t="s">
        <v>1041</v>
      </c>
      <c r="B184" s="32">
        <v>32843</v>
      </c>
      <c r="C184" s="32">
        <v>45317</v>
      </c>
      <c r="D184" s="1">
        <v>34.152652005174602</v>
      </c>
      <c r="E184" s="1" t="s">
        <v>1523</v>
      </c>
      <c r="F184" s="1" t="s">
        <v>1524</v>
      </c>
      <c r="G184" s="1" t="s">
        <v>1545</v>
      </c>
      <c r="H184" s="1" t="s">
        <v>51</v>
      </c>
      <c r="I184" s="1">
        <v>1.79</v>
      </c>
      <c r="J184" s="1" t="s">
        <v>51</v>
      </c>
      <c r="K184" s="1">
        <v>81.5</v>
      </c>
      <c r="L184" s="1">
        <v>25.436159920102298</v>
      </c>
      <c r="M184" s="1" t="s">
        <v>45</v>
      </c>
      <c r="N184" s="1" t="s">
        <v>45</v>
      </c>
      <c r="O184" s="1" t="s">
        <v>45</v>
      </c>
      <c r="P184" s="1" t="s">
        <v>45</v>
      </c>
      <c r="Q184" s="1" t="s">
        <v>45</v>
      </c>
      <c r="R184" s="1" t="s">
        <v>45</v>
      </c>
      <c r="S184" s="1" t="s">
        <v>45</v>
      </c>
      <c r="T184" s="1" t="s">
        <v>45</v>
      </c>
      <c r="U184" s="1" t="s">
        <v>45</v>
      </c>
      <c r="V184" s="1" t="s">
        <v>45</v>
      </c>
      <c r="W184" s="1" t="s">
        <v>45</v>
      </c>
      <c r="X184" s="1" t="s">
        <v>45</v>
      </c>
      <c r="Y184" s="1" t="s">
        <v>45</v>
      </c>
      <c r="Z184" s="1" t="s">
        <v>45</v>
      </c>
      <c r="AA184" s="1" t="s">
        <v>45</v>
      </c>
      <c r="AB184" s="1" t="s">
        <v>45</v>
      </c>
      <c r="AC184" s="1" t="s">
        <v>45</v>
      </c>
      <c r="AD184" s="1" t="s">
        <v>45</v>
      </c>
      <c r="AE184" s="1" t="s">
        <v>45</v>
      </c>
      <c r="AF184" s="32">
        <v>45317</v>
      </c>
      <c r="AG184" s="1">
        <v>34.152652005174602</v>
      </c>
      <c r="AH184" s="1" t="s">
        <v>1526</v>
      </c>
      <c r="AI184" s="1" t="s">
        <v>1527</v>
      </c>
      <c r="AJ184" s="1" t="s">
        <v>45</v>
      </c>
      <c r="AK184" s="1" t="s">
        <v>45</v>
      </c>
      <c r="AL184" s="1" t="s">
        <v>45</v>
      </c>
      <c r="AM184" s="1" t="s">
        <v>51</v>
      </c>
      <c r="AN184" s="1" t="s">
        <v>45</v>
      </c>
      <c r="AO184" s="1" t="s">
        <v>45</v>
      </c>
      <c r="AP184" s="1" t="s">
        <v>51</v>
      </c>
      <c r="AQ184" s="1" t="s">
        <v>45</v>
      </c>
      <c r="AR184" s="1" t="s">
        <v>51</v>
      </c>
      <c r="AS184" s="1" t="s">
        <v>2063</v>
      </c>
      <c r="AT184" s="1" t="s">
        <v>1560</v>
      </c>
      <c r="AV184" s="1" t="s">
        <v>1667</v>
      </c>
      <c r="AW184" s="33" t="s">
        <v>1464</v>
      </c>
      <c r="AX184" s="3"/>
      <c r="AY184" s="33" t="s">
        <v>1668</v>
      </c>
      <c r="AZ184" s="1">
        <v>1</v>
      </c>
      <c r="BA184" s="1" t="s">
        <v>1814</v>
      </c>
      <c r="BB184" s="1" t="s">
        <v>1530</v>
      </c>
      <c r="BC184" s="1" t="s">
        <v>1531</v>
      </c>
      <c r="BD184" s="1" t="s">
        <v>1532</v>
      </c>
      <c r="BE184" s="1" t="s">
        <v>1525</v>
      </c>
      <c r="BG184" s="1" t="s">
        <v>45</v>
      </c>
      <c r="BH184" s="1" t="s">
        <v>46</v>
      </c>
      <c r="BI184" s="1" t="s">
        <v>1535</v>
      </c>
      <c r="BJ184" s="1" t="s">
        <v>45</v>
      </c>
      <c r="BK184" s="1" t="s">
        <v>1549</v>
      </c>
      <c r="BL184" s="32">
        <v>45334</v>
      </c>
      <c r="BM184" s="1" t="s">
        <v>1042</v>
      </c>
      <c r="BO184" s="1" t="s">
        <v>1537</v>
      </c>
      <c r="BP184" s="1" t="s">
        <v>1551</v>
      </c>
      <c r="BQ184" s="1" t="s">
        <v>1605</v>
      </c>
      <c r="BR184" s="1" t="s">
        <v>1552</v>
      </c>
      <c r="BS184" s="1" t="s">
        <v>1691</v>
      </c>
      <c r="BU184" s="1" t="s">
        <v>45</v>
      </c>
      <c r="BW184" s="1" t="s">
        <v>1542</v>
      </c>
      <c r="CA184" s="1" t="s">
        <v>45</v>
      </c>
      <c r="CB184" s="1" t="s">
        <v>45</v>
      </c>
      <c r="CJ184" s="1" t="s">
        <v>51</v>
      </c>
      <c r="CK184" s="32">
        <v>45372</v>
      </c>
      <c r="CL184" s="1" t="s">
        <v>51</v>
      </c>
      <c r="CM184" s="32">
        <v>45423</v>
      </c>
      <c r="CN184" s="1">
        <v>0.24367372362197701</v>
      </c>
      <c r="CO184" s="1" t="s">
        <v>1537</v>
      </c>
      <c r="CP184" s="1" t="s">
        <v>1566</v>
      </c>
      <c r="CQ184" s="1" t="s">
        <v>1539</v>
      </c>
      <c r="CR184" s="1" t="s">
        <v>1552</v>
      </c>
      <c r="CS184" s="1" t="s">
        <v>2064</v>
      </c>
      <c r="CT184" s="1" t="s">
        <v>1560</v>
      </c>
      <c r="CV184" s="1" t="s">
        <v>1667</v>
      </c>
      <c r="CW184" s="1">
        <v>1</v>
      </c>
      <c r="CX184" s="1" t="s">
        <v>1814</v>
      </c>
      <c r="CY184" s="1" t="s">
        <v>1530</v>
      </c>
      <c r="CZ184" s="1" t="s">
        <v>1531</v>
      </c>
      <c r="DA184" s="1" t="s">
        <v>1532</v>
      </c>
      <c r="DB184" s="1" t="s">
        <v>1525</v>
      </c>
      <c r="DD184" s="1" t="s">
        <v>45</v>
      </c>
      <c r="DE184" s="1" t="s">
        <v>46</v>
      </c>
      <c r="DF184" s="1" t="s">
        <v>68</v>
      </c>
      <c r="DG184" s="1" t="s">
        <v>45</v>
      </c>
      <c r="DH184" s="1" t="s">
        <v>45</v>
      </c>
      <c r="DM184" s="1" t="s">
        <v>45</v>
      </c>
      <c r="DO184" s="1" t="s">
        <v>45</v>
      </c>
      <c r="DQ184" s="1" t="s">
        <v>45</v>
      </c>
      <c r="DS184" s="1" t="s">
        <v>2065</v>
      </c>
      <c r="DT184" s="32">
        <v>45799</v>
      </c>
      <c r="DU184" s="1" t="s">
        <v>1598</v>
      </c>
      <c r="DV184" s="1">
        <v>15.8344283837056</v>
      </c>
      <c r="DW184" s="1" t="s">
        <v>45</v>
      </c>
      <c r="DY184" s="32">
        <v>45812</v>
      </c>
      <c r="DZ184" s="1" t="s">
        <v>1544</v>
      </c>
    </row>
    <row r="185" spans="1:130" ht="15.75" customHeight="1" x14ac:dyDescent="0.2">
      <c r="A185" s="8" t="s">
        <v>1044</v>
      </c>
      <c r="B185" s="32">
        <v>36312</v>
      </c>
      <c r="C185" s="32">
        <v>45269</v>
      </c>
      <c r="D185" s="1">
        <v>24.523433061595998</v>
      </c>
      <c r="E185" s="1" t="s">
        <v>1587</v>
      </c>
      <c r="F185" s="1" t="s">
        <v>1524</v>
      </c>
      <c r="G185" s="1" t="s">
        <v>1574</v>
      </c>
      <c r="H185" s="1" t="s">
        <v>51</v>
      </c>
      <c r="I185" s="1">
        <v>1.66</v>
      </c>
      <c r="J185" s="1" t="s">
        <v>51</v>
      </c>
      <c r="K185" s="1">
        <v>58.7</v>
      </c>
      <c r="L185" s="1">
        <v>21.302075772971399</v>
      </c>
      <c r="M185" s="1" t="s">
        <v>45</v>
      </c>
      <c r="N185" s="1" t="s">
        <v>45</v>
      </c>
      <c r="O185" s="1" t="s">
        <v>45</v>
      </c>
      <c r="P185" s="1" t="s">
        <v>45</v>
      </c>
      <c r="Q185" s="1" t="s">
        <v>45</v>
      </c>
      <c r="R185" s="1" t="s">
        <v>45</v>
      </c>
      <c r="S185" s="1" t="s">
        <v>45</v>
      </c>
      <c r="T185" s="1" t="s">
        <v>45</v>
      </c>
      <c r="U185" s="1" t="s">
        <v>45</v>
      </c>
      <c r="V185" s="1" t="s">
        <v>45</v>
      </c>
      <c r="W185" s="1" t="s">
        <v>45</v>
      </c>
      <c r="X185" s="1" t="s">
        <v>45</v>
      </c>
      <c r="Y185" s="1" t="s">
        <v>45</v>
      </c>
      <c r="Z185" s="1" t="s">
        <v>45</v>
      </c>
      <c r="AA185" s="1" t="s">
        <v>45</v>
      </c>
      <c r="AB185" s="1" t="s">
        <v>45</v>
      </c>
      <c r="AC185" s="1" t="s">
        <v>45</v>
      </c>
      <c r="AD185" s="1" t="s">
        <v>45</v>
      </c>
      <c r="AE185" s="1" t="s">
        <v>45</v>
      </c>
      <c r="AF185" s="32">
        <v>45335</v>
      </c>
      <c r="AG185" s="1">
        <v>24.7041349240573</v>
      </c>
      <c r="AH185" s="1" t="s">
        <v>1558</v>
      </c>
      <c r="AI185" s="1" t="s">
        <v>1527</v>
      </c>
      <c r="AJ185" s="1" t="s">
        <v>45</v>
      </c>
      <c r="AK185" s="1" t="s">
        <v>45</v>
      </c>
      <c r="AL185" s="1" t="s">
        <v>45</v>
      </c>
      <c r="AM185" s="1" t="s">
        <v>51</v>
      </c>
      <c r="AN185" s="1" t="s">
        <v>45</v>
      </c>
      <c r="AO185" s="1" t="s">
        <v>45</v>
      </c>
      <c r="AP185" s="1" t="s">
        <v>45</v>
      </c>
      <c r="AQ185" s="1" t="s">
        <v>45</v>
      </c>
      <c r="AR185" s="1" t="s">
        <v>45</v>
      </c>
      <c r="AT185" s="1" t="s">
        <v>1546</v>
      </c>
      <c r="AV185" s="1" t="s">
        <v>2066</v>
      </c>
      <c r="AW185" s="33" t="s">
        <v>1464</v>
      </c>
      <c r="AX185" s="3"/>
      <c r="AY185" s="33" t="s">
        <v>1621</v>
      </c>
      <c r="AZ185" s="1">
        <v>1</v>
      </c>
      <c r="BA185" s="1" t="s">
        <v>1814</v>
      </c>
      <c r="BB185" s="1" t="s">
        <v>1530</v>
      </c>
      <c r="BC185" s="1" t="s">
        <v>1531</v>
      </c>
      <c r="BD185" s="1" t="s">
        <v>1532</v>
      </c>
      <c r="BE185" s="1" t="s">
        <v>1525</v>
      </c>
      <c r="BG185" s="1" t="s">
        <v>45</v>
      </c>
      <c r="BH185" s="1" t="s">
        <v>46</v>
      </c>
      <c r="BI185" s="1" t="s">
        <v>1535</v>
      </c>
      <c r="BJ185" s="1" t="s">
        <v>45</v>
      </c>
      <c r="BK185" s="1" t="s">
        <v>1549</v>
      </c>
      <c r="BL185" s="32">
        <v>45812</v>
      </c>
      <c r="BM185" s="1" t="s">
        <v>1045</v>
      </c>
      <c r="BO185" s="1" t="s">
        <v>1537</v>
      </c>
      <c r="BP185" s="1" t="s">
        <v>1538</v>
      </c>
      <c r="BQ185" s="1" t="s">
        <v>1647</v>
      </c>
      <c r="BR185" s="1" t="s">
        <v>1552</v>
      </c>
      <c r="BS185" s="1" t="s">
        <v>177</v>
      </c>
      <c r="BU185" s="1" t="s">
        <v>51</v>
      </c>
      <c r="BV185" s="1" t="s">
        <v>1541</v>
      </c>
      <c r="BW185" s="1" t="s">
        <v>1542</v>
      </c>
      <c r="CA185" s="1" t="s">
        <v>45</v>
      </c>
      <c r="CB185" s="1" t="s">
        <v>45</v>
      </c>
      <c r="CJ185" s="1" t="s">
        <v>45</v>
      </c>
      <c r="DH185" s="1" t="s">
        <v>45</v>
      </c>
      <c r="DM185" s="1" t="s">
        <v>45</v>
      </c>
      <c r="DO185" s="1" t="s">
        <v>45</v>
      </c>
      <c r="DQ185" s="1" t="s">
        <v>45</v>
      </c>
      <c r="DT185" s="32">
        <v>45741</v>
      </c>
      <c r="DU185" s="1" t="s">
        <v>1598</v>
      </c>
      <c r="DV185" s="1">
        <v>13.337713534822599</v>
      </c>
      <c r="DW185" s="1" t="s">
        <v>45</v>
      </c>
      <c r="DY185" s="32">
        <v>45812</v>
      </c>
      <c r="DZ185" s="1" t="s">
        <v>1544</v>
      </c>
    </row>
    <row r="186" spans="1:130" ht="15.75" customHeight="1" x14ac:dyDescent="0.2">
      <c r="A186" s="8" t="s">
        <v>1046</v>
      </c>
      <c r="B186" s="32">
        <v>35796</v>
      </c>
      <c r="C186" s="32">
        <v>45332</v>
      </c>
      <c r="D186" s="1">
        <v>26.108681218642399</v>
      </c>
      <c r="E186" s="1" t="s">
        <v>1523</v>
      </c>
      <c r="F186" s="1" t="s">
        <v>1524</v>
      </c>
      <c r="G186" s="1" t="s">
        <v>1545</v>
      </c>
      <c r="H186" s="1" t="s">
        <v>51</v>
      </c>
      <c r="I186" s="1">
        <v>1.76</v>
      </c>
      <c r="J186" s="1" t="s">
        <v>51</v>
      </c>
      <c r="K186" s="1">
        <v>84.9</v>
      </c>
      <c r="L186" s="1">
        <v>27.408316115702402</v>
      </c>
      <c r="M186" s="1" t="s">
        <v>45</v>
      </c>
      <c r="N186" s="1" t="s">
        <v>45</v>
      </c>
      <c r="O186" s="1" t="s">
        <v>45</v>
      </c>
      <c r="P186" s="1" t="s">
        <v>45</v>
      </c>
      <c r="Q186" s="1" t="s">
        <v>45</v>
      </c>
      <c r="R186" s="1" t="s">
        <v>45</v>
      </c>
      <c r="S186" s="1" t="s">
        <v>45</v>
      </c>
      <c r="T186" s="1" t="s">
        <v>45</v>
      </c>
      <c r="U186" s="1" t="s">
        <v>45</v>
      </c>
      <c r="V186" s="1" t="s">
        <v>45</v>
      </c>
      <c r="W186" s="1" t="s">
        <v>45</v>
      </c>
      <c r="X186" s="1" t="s">
        <v>45</v>
      </c>
      <c r="Y186" s="1" t="s">
        <v>45</v>
      </c>
      <c r="Z186" s="1" t="s">
        <v>45</v>
      </c>
      <c r="AA186" s="1" t="s">
        <v>45</v>
      </c>
      <c r="AB186" s="1" t="s">
        <v>45</v>
      </c>
      <c r="AC186" s="1" t="s">
        <v>45</v>
      </c>
      <c r="AD186" s="1" t="s">
        <v>45</v>
      </c>
      <c r="AE186" s="1" t="s">
        <v>45</v>
      </c>
      <c r="AF186" s="32">
        <v>45333</v>
      </c>
      <c r="AG186" s="1">
        <v>26.111419125649299</v>
      </c>
      <c r="AH186" s="1" t="s">
        <v>1526</v>
      </c>
      <c r="AI186" s="1" t="s">
        <v>1527</v>
      </c>
      <c r="AJ186" s="1" t="s">
        <v>45</v>
      </c>
      <c r="AK186" s="1" t="s">
        <v>45</v>
      </c>
      <c r="AL186" s="1" t="s">
        <v>45</v>
      </c>
      <c r="AM186" s="1" t="s">
        <v>51</v>
      </c>
      <c r="AN186" s="1" t="s">
        <v>45</v>
      </c>
      <c r="AO186" s="1" t="s">
        <v>45</v>
      </c>
      <c r="AP186" s="1" t="s">
        <v>51</v>
      </c>
      <c r="AQ186" s="1" t="s">
        <v>45</v>
      </c>
      <c r="AR186" s="1" t="s">
        <v>51</v>
      </c>
      <c r="AS186" s="1" t="s">
        <v>2067</v>
      </c>
      <c r="AT186" s="1" t="s">
        <v>1546</v>
      </c>
      <c r="AV186" s="1" t="s">
        <v>2068</v>
      </c>
      <c r="AW186" s="33" t="s">
        <v>1463</v>
      </c>
      <c r="AX186" s="33" t="s">
        <v>1656</v>
      </c>
      <c r="AY186" s="3"/>
      <c r="AZ186" s="1">
        <v>4</v>
      </c>
      <c r="BA186" s="1" t="s">
        <v>1529</v>
      </c>
      <c r="BB186" s="1" t="s">
        <v>1530</v>
      </c>
      <c r="BC186" s="1" t="s">
        <v>1531</v>
      </c>
      <c r="BD186" s="1" t="s">
        <v>1532</v>
      </c>
      <c r="BE186" s="1" t="s">
        <v>1533</v>
      </c>
      <c r="BF186" s="1" t="s">
        <v>1534</v>
      </c>
      <c r="BG186" s="1" t="s">
        <v>45</v>
      </c>
      <c r="BH186" s="1" t="s">
        <v>46</v>
      </c>
      <c r="BI186" s="1" t="s">
        <v>1535</v>
      </c>
      <c r="BJ186" s="1" t="s">
        <v>45</v>
      </c>
      <c r="BK186" s="1" t="s">
        <v>1549</v>
      </c>
      <c r="BL186" s="32">
        <v>45342</v>
      </c>
      <c r="BM186" s="1" t="s">
        <v>1047</v>
      </c>
      <c r="BO186" s="1" t="s">
        <v>1537</v>
      </c>
      <c r="BP186" s="1" t="s">
        <v>1551</v>
      </c>
      <c r="BQ186" s="1" t="s">
        <v>1605</v>
      </c>
      <c r="BR186" s="1" t="s">
        <v>1540</v>
      </c>
      <c r="BS186" s="1" t="s">
        <v>99</v>
      </c>
      <c r="BU186" s="1" t="s">
        <v>45</v>
      </c>
      <c r="BW186" s="1" t="s">
        <v>1542</v>
      </c>
      <c r="CA186" s="1" t="s">
        <v>51</v>
      </c>
      <c r="CB186" s="1" t="s">
        <v>51</v>
      </c>
      <c r="CC186" s="32">
        <v>45370</v>
      </c>
      <c r="CD186" s="1">
        <v>54</v>
      </c>
      <c r="CE186" s="1">
        <v>30</v>
      </c>
      <c r="CF186" s="1" t="s">
        <v>2069</v>
      </c>
      <c r="CI186" s="1" t="s">
        <v>2070</v>
      </c>
      <c r="CJ186" s="1" t="s">
        <v>51</v>
      </c>
      <c r="CK186" s="32">
        <v>45442</v>
      </c>
      <c r="CL186" s="1" t="s">
        <v>45</v>
      </c>
      <c r="DH186" s="1" t="s">
        <v>51</v>
      </c>
      <c r="DI186" s="1" t="s">
        <v>2071</v>
      </c>
      <c r="DJ186" s="32">
        <v>45449</v>
      </c>
      <c r="DM186" s="1" t="s">
        <v>45</v>
      </c>
      <c r="DO186" s="1" t="s">
        <v>45</v>
      </c>
      <c r="DQ186" s="1" t="s">
        <v>45</v>
      </c>
      <c r="DT186" s="32">
        <v>45805</v>
      </c>
      <c r="DU186" s="1" t="s">
        <v>1598</v>
      </c>
      <c r="DV186" s="1">
        <v>15.505913272010501</v>
      </c>
      <c r="DW186" s="1" t="s">
        <v>45</v>
      </c>
      <c r="DY186" s="32">
        <v>45812</v>
      </c>
      <c r="DZ186" s="1" t="s">
        <v>1544</v>
      </c>
    </row>
    <row r="187" spans="1:130" ht="15.75" customHeight="1" x14ac:dyDescent="0.2">
      <c r="A187" s="8" t="s">
        <v>1050</v>
      </c>
      <c r="B187" s="32">
        <v>32660</v>
      </c>
      <c r="C187" s="32">
        <v>45342</v>
      </c>
      <c r="D187" s="1">
        <v>34.722136662628202</v>
      </c>
      <c r="E187" s="1" t="s">
        <v>1587</v>
      </c>
      <c r="F187" s="1" t="s">
        <v>1524</v>
      </c>
      <c r="G187" s="1" t="s">
        <v>1574</v>
      </c>
      <c r="H187" s="1" t="s">
        <v>51</v>
      </c>
      <c r="I187" s="1">
        <v>1.7</v>
      </c>
      <c r="J187" s="1" t="s">
        <v>51</v>
      </c>
      <c r="K187" s="1">
        <v>103.2</v>
      </c>
      <c r="L187" s="1">
        <v>35.709342560553601</v>
      </c>
      <c r="M187" s="1" t="s">
        <v>45</v>
      </c>
      <c r="N187" s="1" t="s">
        <v>45</v>
      </c>
      <c r="O187" s="1" t="s">
        <v>45</v>
      </c>
      <c r="P187" s="1" t="s">
        <v>45</v>
      </c>
      <c r="Q187" s="1" t="s">
        <v>45</v>
      </c>
      <c r="R187" s="1" t="s">
        <v>45</v>
      </c>
      <c r="S187" s="1" t="s">
        <v>45</v>
      </c>
      <c r="T187" s="1" t="s">
        <v>45</v>
      </c>
      <c r="U187" s="1" t="s">
        <v>45</v>
      </c>
      <c r="V187" s="1" t="s">
        <v>45</v>
      </c>
      <c r="W187" s="1" t="s">
        <v>45</v>
      </c>
      <c r="X187" s="1" t="s">
        <v>45</v>
      </c>
      <c r="Y187" s="1" t="s">
        <v>45</v>
      </c>
      <c r="Z187" s="1" t="s">
        <v>45</v>
      </c>
      <c r="AA187" s="1" t="s">
        <v>45</v>
      </c>
      <c r="AB187" s="1" t="s">
        <v>45</v>
      </c>
      <c r="AC187" s="1" t="s">
        <v>45</v>
      </c>
      <c r="AD187" s="1" t="s">
        <v>45</v>
      </c>
      <c r="AE187" s="1" t="s">
        <v>45</v>
      </c>
      <c r="AF187" s="32">
        <v>45342</v>
      </c>
      <c r="AG187" s="1">
        <v>34.722136662628202</v>
      </c>
      <c r="AH187" s="1" t="s">
        <v>1613</v>
      </c>
      <c r="AI187" s="1" t="s">
        <v>1527</v>
      </c>
      <c r="AJ187" s="1" t="s">
        <v>45</v>
      </c>
      <c r="AK187" s="1" t="s">
        <v>51</v>
      </c>
      <c r="AL187" s="1" t="s">
        <v>51</v>
      </c>
      <c r="AM187" s="1" t="s">
        <v>45</v>
      </c>
      <c r="AN187" s="1" t="s">
        <v>45</v>
      </c>
      <c r="AO187" s="1" t="s">
        <v>45</v>
      </c>
      <c r="AP187" s="1" t="s">
        <v>45</v>
      </c>
      <c r="AQ187" s="1" t="s">
        <v>51</v>
      </c>
      <c r="AR187" s="1" t="s">
        <v>45</v>
      </c>
      <c r="AT187" s="1" t="s">
        <v>1546</v>
      </c>
      <c r="AV187" s="1" t="s">
        <v>1706</v>
      </c>
      <c r="AW187" s="33" t="s">
        <v>1464</v>
      </c>
      <c r="AX187" s="3"/>
      <c r="AY187" s="33" t="s">
        <v>1621</v>
      </c>
      <c r="AZ187" s="1">
        <v>1</v>
      </c>
      <c r="BA187" s="1" t="s">
        <v>1814</v>
      </c>
      <c r="BB187" s="1" t="s">
        <v>1530</v>
      </c>
      <c r="BC187" s="1" t="s">
        <v>1531</v>
      </c>
      <c r="BD187" s="1" t="s">
        <v>1532</v>
      </c>
      <c r="BE187" s="1" t="s">
        <v>1525</v>
      </c>
      <c r="BG187" s="1" t="s">
        <v>45</v>
      </c>
      <c r="BH187" s="1" t="s">
        <v>46</v>
      </c>
      <c r="BI187" s="1" t="s">
        <v>1535</v>
      </c>
      <c r="BJ187" s="1" t="s">
        <v>45</v>
      </c>
      <c r="BK187" s="1" t="s">
        <v>1549</v>
      </c>
      <c r="BL187" s="32">
        <v>45342</v>
      </c>
      <c r="BM187" s="1" t="s">
        <v>1051</v>
      </c>
      <c r="BO187" s="1" t="s">
        <v>1537</v>
      </c>
      <c r="BP187" s="1" t="s">
        <v>1538</v>
      </c>
      <c r="BQ187" s="1" t="s">
        <v>1539</v>
      </c>
      <c r="BR187" s="1" t="s">
        <v>1540</v>
      </c>
      <c r="BS187" s="1" t="s">
        <v>106</v>
      </c>
      <c r="BU187" s="1" t="s">
        <v>45</v>
      </c>
      <c r="BW187" s="1" t="s">
        <v>1542</v>
      </c>
      <c r="CA187" s="1" t="s">
        <v>45</v>
      </c>
      <c r="CB187" s="1" t="s">
        <v>45</v>
      </c>
      <c r="CJ187" s="1" t="s">
        <v>45</v>
      </c>
      <c r="DH187" s="1" t="s">
        <v>45</v>
      </c>
      <c r="DM187" s="1" t="s">
        <v>45</v>
      </c>
      <c r="DO187" s="1" t="s">
        <v>45</v>
      </c>
      <c r="DQ187" s="1" t="s">
        <v>45</v>
      </c>
      <c r="DT187" s="32">
        <v>45373</v>
      </c>
      <c r="DU187" s="1" t="s">
        <v>1598</v>
      </c>
      <c r="DV187" s="1">
        <v>1.01839684625492</v>
      </c>
      <c r="DW187" s="1" t="s">
        <v>45</v>
      </c>
      <c r="DY187" s="32">
        <v>45812</v>
      </c>
      <c r="DZ187" s="1" t="s">
        <v>1544</v>
      </c>
    </row>
    <row r="188" spans="1:130" ht="15.75" customHeight="1" x14ac:dyDescent="0.2">
      <c r="A188" s="8" t="s">
        <v>648</v>
      </c>
      <c r="B188" s="32">
        <v>34677</v>
      </c>
      <c r="C188" s="32">
        <v>45354</v>
      </c>
      <c r="D188" s="1">
        <v>29.232633113616199</v>
      </c>
      <c r="E188" s="1" t="s">
        <v>1523</v>
      </c>
      <c r="F188" s="1" t="s">
        <v>1524</v>
      </c>
      <c r="G188" s="1" t="s">
        <v>1545</v>
      </c>
      <c r="H188" s="1" t="s">
        <v>51</v>
      </c>
      <c r="I188" s="1">
        <v>1.792</v>
      </c>
      <c r="J188" s="1" t="s">
        <v>51</v>
      </c>
      <c r="K188" s="1">
        <v>77.5</v>
      </c>
      <c r="L188" s="1">
        <v>24.1337990274234</v>
      </c>
      <c r="M188" s="1" t="s">
        <v>45</v>
      </c>
      <c r="N188" s="1" t="s">
        <v>45</v>
      </c>
      <c r="O188" s="1" t="s">
        <v>45</v>
      </c>
      <c r="P188" s="1" t="s">
        <v>45</v>
      </c>
      <c r="Q188" s="1" t="s">
        <v>45</v>
      </c>
      <c r="R188" s="1" t="s">
        <v>45</v>
      </c>
      <c r="S188" s="1" t="s">
        <v>45</v>
      </c>
      <c r="T188" s="1" t="s">
        <v>45</v>
      </c>
      <c r="U188" s="1" t="s">
        <v>45</v>
      </c>
      <c r="V188" s="1" t="s">
        <v>45</v>
      </c>
      <c r="W188" s="1" t="s">
        <v>45</v>
      </c>
      <c r="X188" s="1" t="s">
        <v>45</v>
      </c>
      <c r="Y188" s="1" t="s">
        <v>45</v>
      </c>
      <c r="Z188" s="1" t="s">
        <v>45</v>
      </c>
      <c r="AA188" s="1" t="s">
        <v>45</v>
      </c>
      <c r="AB188" s="1" t="s">
        <v>45</v>
      </c>
      <c r="AC188" s="1" t="s">
        <v>45</v>
      </c>
      <c r="AD188" s="1" t="s">
        <v>45</v>
      </c>
      <c r="AE188" s="1" t="s">
        <v>45</v>
      </c>
      <c r="AF188" s="32">
        <v>45356</v>
      </c>
      <c r="AG188" s="1">
        <v>29.238108927630201</v>
      </c>
      <c r="AH188" s="1" t="s">
        <v>1526</v>
      </c>
      <c r="AI188" s="1" t="s">
        <v>1527</v>
      </c>
      <c r="AJ188" s="1" t="s">
        <v>45</v>
      </c>
      <c r="AK188" s="1" t="s">
        <v>45</v>
      </c>
      <c r="AL188" s="1" t="s">
        <v>45</v>
      </c>
      <c r="AM188" s="1" t="s">
        <v>51</v>
      </c>
      <c r="AN188" s="1" t="s">
        <v>45</v>
      </c>
      <c r="AO188" s="1" t="s">
        <v>45</v>
      </c>
      <c r="AP188" s="1" t="s">
        <v>45</v>
      </c>
      <c r="AQ188" s="1" t="s">
        <v>45</v>
      </c>
      <c r="AR188" s="1" t="s">
        <v>45</v>
      </c>
      <c r="AT188" s="1" t="s">
        <v>1560</v>
      </c>
      <c r="AW188" s="33" t="s">
        <v>1463</v>
      </c>
      <c r="AX188" s="3" t="s">
        <v>1560</v>
      </c>
      <c r="AY188" s="3"/>
      <c r="AZ188" s="1">
        <v>4</v>
      </c>
      <c r="BA188" s="1" t="s">
        <v>1529</v>
      </c>
      <c r="BB188" s="1" t="s">
        <v>1567</v>
      </c>
      <c r="BC188" s="1" t="s">
        <v>1531</v>
      </c>
      <c r="BD188" s="1" t="s">
        <v>1822</v>
      </c>
      <c r="BE188" s="1" t="s">
        <v>1603</v>
      </c>
      <c r="BG188" s="1" t="s">
        <v>45</v>
      </c>
      <c r="BH188" s="1" t="s">
        <v>46</v>
      </c>
      <c r="BI188" s="1" t="s">
        <v>1599</v>
      </c>
      <c r="BJ188" s="1" t="s">
        <v>45</v>
      </c>
      <c r="BK188" s="1" t="s">
        <v>1536</v>
      </c>
      <c r="BL188" s="32">
        <v>45356</v>
      </c>
      <c r="BM188" s="1" t="s">
        <v>649</v>
      </c>
      <c r="BO188" s="1" t="s">
        <v>1537</v>
      </c>
      <c r="BP188" s="1" t="s">
        <v>1538</v>
      </c>
      <c r="BQ188" s="1" t="s">
        <v>1647</v>
      </c>
      <c r="BR188" s="1" t="s">
        <v>1540</v>
      </c>
      <c r="BS188" s="1" t="s">
        <v>50</v>
      </c>
      <c r="BW188" s="1" t="s">
        <v>1563</v>
      </c>
      <c r="BX188" s="32">
        <v>45457</v>
      </c>
      <c r="BY188" s="1">
        <v>12</v>
      </c>
      <c r="BZ188" s="1" t="s">
        <v>2072</v>
      </c>
      <c r="CA188" s="1" t="s">
        <v>51</v>
      </c>
      <c r="CB188" s="1" t="s">
        <v>51</v>
      </c>
      <c r="CC188" s="32">
        <v>45384</v>
      </c>
      <c r="CD188" s="1">
        <v>60</v>
      </c>
      <c r="CE188" s="1">
        <v>30</v>
      </c>
      <c r="CJ188" s="1" t="s">
        <v>45</v>
      </c>
      <c r="DH188" s="1" t="s">
        <v>45</v>
      </c>
      <c r="DM188" s="1" t="s">
        <v>45</v>
      </c>
      <c r="DO188" s="1" t="s">
        <v>45</v>
      </c>
      <c r="DQ188" s="1" t="s">
        <v>45</v>
      </c>
      <c r="DT188" s="32">
        <v>45800</v>
      </c>
      <c r="DU188" s="1" t="s">
        <v>1598</v>
      </c>
      <c r="DV188" s="1">
        <v>14.5860709592641</v>
      </c>
      <c r="DW188" s="1" t="s">
        <v>45</v>
      </c>
      <c r="DY188" s="32">
        <v>45806</v>
      </c>
      <c r="DZ188" s="1" t="s">
        <v>1544</v>
      </c>
    </row>
    <row r="189" spans="1:130" ht="15.75" customHeight="1" x14ac:dyDescent="0.2">
      <c r="A189" s="8" t="s">
        <v>1053</v>
      </c>
      <c r="B189" s="32">
        <v>27211</v>
      </c>
      <c r="C189" s="32">
        <v>45281</v>
      </c>
      <c r="D189" s="1">
        <v>49.4739796162823</v>
      </c>
      <c r="E189" s="1" t="s">
        <v>1587</v>
      </c>
      <c r="F189" s="1" t="s">
        <v>1524</v>
      </c>
      <c r="G189" s="1" t="s">
        <v>1574</v>
      </c>
      <c r="H189" s="1" t="s">
        <v>51</v>
      </c>
      <c r="I189" s="1">
        <v>1.65</v>
      </c>
      <c r="J189" s="1" t="s">
        <v>51</v>
      </c>
      <c r="K189" s="1">
        <v>77.3</v>
      </c>
      <c r="L189" s="1">
        <v>28.393021120293799</v>
      </c>
      <c r="M189" s="1" t="s">
        <v>45</v>
      </c>
      <c r="N189" s="1" t="s">
        <v>45</v>
      </c>
      <c r="O189" s="1" t="s">
        <v>45</v>
      </c>
      <c r="P189" s="1" t="s">
        <v>45</v>
      </c>
      <c r="Q189" s="1" t="s">
        <v>45</v>
      </c>
      <c r="R189" s="1" t="s">
        <v>45</v>
      </c>
      <c r="S189" s="1" t="s">
        <v>45</v>
      </c>
      <c r="T189" s="1" t="s">
        <v>45</v>
      </c>
      <c r="U189" s="1" t="s">
        <v>45</v>
      </c>
      <c r="V189" s="1" t="s">
        <v>45</v>
      </c>
      <c r="W189" s="1" t="s">
        <v>45</v>
      </c>
      <c r="X189" s="1" t="s">
        <v>45</v>
      </c>
      <c r="Y189" s="1" t="s">
        <v>45</v>
      </c>
      <c r="Z189" s="1" t="s">
        <v>45</v>
      </c>
      <c r="AA189" s="1" t="s">
        <v>45</v>
      </c>
      <c r="AB189" s="1" t="s">
        <v>45</v>
      </c>
      <c r="AC189" s="1" t="s">
        <v>45</v>
      </c>
      <c r="AD189" s="1" t="s">
        <v>45</v>
      </c>
      <c r="AE189" s="1" t="s">
        <v>45</v>
      </c>
      <c r="AF189" s="32">
        <v>45275</v>
      </c>
      <c r="AG189" s="1">
        <v>49.457552174240398</v>
      </c>
      <c r="AH189" s="1" t="s">
        <v>1526</v>
      </c>
      <c r="AI189" s="1" t="s">
        <v>1527</v>
      </c>
      <c r="AJ189" s="1" t="s">
        <v>45</v>
      </c>
      <c r="AK189" s="1" t="s">
        <v>45</v>
      </c>
      <c r="AL189" s="1" t="s">
        <v>45</v>
      </c>
      <c r="AM189" s="1" t="s">
        <v>51</v>
      </c>
      <c r="AN189" s="1" t="s">
        <v>45</v>
      </c>
      <c r="AO189" s="1" t="s">
        <v>45</v>
      </c>
      <c r="AP189" s="1" t="s">
        <v>51</v>
      </c>
      <c r="AQ189" s="1" t="s">
        <v>45</v>
      </c>
      <c r="AR189" s="1" t="s">
        <v>51</v>
      </c>
      <c r="AS189" s="1" t="s">
        <v>2073</v>
      </c>
      <c r="AT189" s="1" t="s">
        <v>1528</v>
      </c>
      <c r="AW189" s="33" t="s">
        <v>1463</v>
      </c>
      <c r="AX189" s="3" t="s">
        <v>1528</v>
      </c>
      <c r="AY189" s="3"/>
      <c r="AZ189" s="1">
        <v>4</v>
      </c>
      <c r="BA189" s="1" t="s">
        <v>1529</v>
      </c>
      <c r="BB189" s="1" t="s">
        <v>1530</v>
      </c>
      <c r="BC189" s="1" t="s">
        <v>1531</v>
      </c>
      <c r="BD189" s="1" t="s">
        <v>1532</v>
      </c>
      <c r="BE189" s="1" t="s">
        <v>1603</v>
      </c>
      <c r="BF189" s="1" t="s">
        <v>1534</v>
      </c>
      <c r="BG189" s="1" t="s">
        <v>45</v>
      </c>
      <c r="BH189" s="1" t="s">
        <v>46</v>
      </c>
      <c r="BI189" s="1" t="s">
        <v>1535</v>
      </c>
      <c r="BJ189" s="1" t="s">
        <v>45</v>
      </c>
      <c r="BK189" s="1" t="s">
        <v>1549</v>
      </c>
      <c r="BL189" s="32">
        <v>45356</v>
      </c>
      <c r="BM189" s="1" t="s">
        <v>1054</v>
      </c>
      <c r="BO189" s="1" t="s">
        <v>1537</v>
      </c>
      <c r="BP189" s="1" t="s">
        <v>1538</v>
      </c>
      <c r="BQ189" s="1" t="s">
        <v>1647</v>
      </c>
      <c r="BR189" s="1" t="s">
        <v>1552</v>
      </c>
      <c r="BS189" s="1" t="s">
        <v>106</v>
      </c>
      <c r="BU189" s="1" t="s">
        <v>45</v>
      </c>
      <c r="BW189" s="1" t="s">
        <v>1563</v>
      </c>
      <c r="BX189" s="32">
        <v>45462</v>
      </c>
      <c r="BY189" s="1">
        <v>12</v>
      </c>
      <c r="BZ189" s="1" t="s">
        <v>2074</v>
      </c>
      <c r="CA189" s="1" t="s">
        <v>51</v>
      </c>
      <c r="CB189" s="1" t="s">
        <v>51</v>
      </c>
      <c r="CC189" s="32">
        <v>45385</v>
      </c>
      <c r="CD189" s="1">
        <v>59.4</v>
      </c>
      <c r="CE189" s="1">
        <v>33</v>
      </c>
      <c r="CF189" s="1" t="s">
        <v>2075</v>
      </c>
      <c r="CJ189" s="1" t="s">
        <v>45</v>
      </c>
      <c r="DH189" s="1" t="s">
        <v>45</v>
      </c>
      <c r="DM189" s="1" t="s">
        <v>45</v>
      </c>
      <c r="DO189" s="1" t="s">
        <v>45</v>
      </c>
      <c r="DQ189" s="1" t="s">
        <v>45</v>
      </c>
      <c r="DT189" s="32">
        <v>45791</v>
      </c>
      <c r="DU189" s="1" t="s">
        <v>1598</v>
      </c>
      <c r="DV189" s="1">
        <v>16.951379763469099</v>
      </c>
      <c r="DW189" s="1" t="s">
        <v>51</v>
      </c>
      <c r="DY189" s="32">
        <v>45812</v>
      </c>
      <c r="DZ189" s="1" t="s">
        <v>1544</v>
      </c>
    </row>
    <row r="190" spans="1:130" ht="15.75" customHeight="1" x14ac:dyDescent="0.2">
      <c r="A190" s="8" t="s">
        <v>1058</v>
      </c>
      <c r="B190" s="32">
        <v>31564</v>
      </c>
      <c r="C190" s="32">
        <v>45248</v>
      </c>
      <c r="D190" s="1">
        <v>37.4655194836307</v>
      </c>
      <c r="E190" s="1" t="s">
        <v>1587</v>
      </c>
      <c r="F190" s="1" t="s">
        <v>1524</v>
      </c>
      <c r="G190" s="1" t="s">
        <v>1574</v>
      </c>
      <c r="H190" s="1" t="s">
        <v>51</v>
      </c>
      <c r="I190" s="1">
        <v>1.6</v>
      </c>
      <c r="J190" s="1" t="s">
        <v>51</v>
      </c>
      <c r="K190" s="1">
        <v>59.5</v>
      </c>
      <c r="L190" s="1">
        <v>23.242187499999901</v>
      </c>
      <c r="M190" s="1" t="s">
        <v>45</v>
      </c>
      <c r="N190" s="1" t="s">
        <v>45</v>
      </c>
      <c r="O190" s="1" t="s">
        <v>45</v>
      </c>
      <c r="P190" s="1" t="s">
        <v>51</v>
      </c>
      <c r="Q190" s="1" t="s">
        <v>45</v>
      </c>
      <c r="R190" s="1" t="s">
        <v>45</v>
      </c>
      <c r="S190" s="1" t="s">
        <v>45</v>
      </c>
      <c r="T190" s="1" t="s">
        <v>45</v>
      </c>
      <c r="U190" s="1" t="s">
        <v>45</v>
      </c>
      <c r="V190" s="1" t="s">
        <v>45</v>
      </c>
      <c r="W190" s="1" t="s">
        <v>45</v>
      </c>
      <c r="X190" s="1" t="s">
        <v>45</v>
      </c>
      <c r="Y190" s="1" t="s">
        <v>45</v>
      </c>
      <c r="Z190" s="1" t="s">
        <v>45</v>
      </c>
      <c r="AA190" s="1" t="s">
        <v>45</v>
      </c>
      <c r="AB190" s="1" t="s">
        <v>45</v>
      </c>
      <c r="AC190" s="1" t="s">
        <v>45</v>
      </c>
      <c r="AD190" s="1" t="s">
        <v>45</v>
      </c>
      <c r="AE190" s="1" t="s">
        <v>45</v>
      </c>
      <c r="AF190" s="32">
        <v>45365</v>
      </c>
      <c r="AG190" s="1">
        <v>37.7858546034483</v>
      </c>
      <c r="AH190" s="1" t="s">
        <v>1526</v>
      </c>
      <c r="AI190" s="1" t="s">
        <v>1527</v>
      </c>
      <c r="AJ190" s="1" t="s">
        <v>45</v>
      </c>
      <c r="AK190" s="1" t="s">
        <v>45</v>
      </c>
      <c r="AL190" s="1" t="s">
        <v>45</v>
      </c>
      <c r="AM190" s="1" t="s">
        <v>51</v>
      </c>
      <c r="AN190" s="1" t="s">
        <v>45</v>
      </c>
      <c r="AO190" s="1" t="s">
        <v>45</v>
      </c>
      <c r="AP190" s="1" t="s">
        <v>45</v>
      </c>
      <c r="AQ190" s="1" t="s">
        <v>45</v>
      </c>
      <c r="AR190" s="1" t="s">
        <v>51</v>
      </c>
      <c r="AS190" s="1" t="s">
        <v>2076</v>
      </c>
      <c r="AT190" s="1" t="s">
        <v>1546</v>
      </c>
      <c r="AV190" s="1" t="s">
        <v>2077</v>
      </c>
      <c r="AW190" s="33" t="s">
        <v>1463</v>
      </c>
      <c r="AX190" s="33" t="s">
        <v>1656</v>
      </c>
      <c r="AY190" s="3"/>
      <c r="AZ190" s="1">
        <v>4</v>
      </c>
      <c r="BA190" s="1" t="s">
        <v>1529</v>
      </c>
      <c r="BB190" s="1" t="s">
        <v>1530</v>
      </c>
      <c r="BC190" s="1" t="s">
        <v>1531</v>
      </c>
      <c r="BD190" s="1" t="s">
        <v>1532</v>
      </c>
      <c r="BE190" s="1" t="s">
        <v>1525</v>
      </c>
      <c r="BG190" s="1" t="s">
        <v>45</v>
      </c>
      <c r="BH190" s="1" t="s">
        <v>46</v>
      </c>
      <c r="BI190" s="1" t="s">
        <v>1599</v>
      </c>
      <c r="BJ190" s="1" t="s">
        <v>45</v>
      </c>
      <c r="BK190" s="1" t="s">
        <v>1549</v>
      </c>
      <c r="BL190" s="32">
        <v>45365</v>
      </c>
      <c r="BM190" s="1" t="s">
        <v>1059</v>
      </c>
      <c r="BO190" s="1" t="s">
        <v>1853</v>
      </c>
      <c r="BP190" s="1" t="s">
        <v>1551</v>
      </c>
      <c r="BQ190" s="1" t="s">
        <v>1605</v>
      </c>
      <c r="BR190" s="1" t="s">
        <v>1552</v>
      </c>
      <c r="BS190" s="1" t="s">
        <v>1658</v>
      </c>
      <c r="BU190" s="1" t="s">
        <v>51</v>
      </c>
      <c r="BV190" s="1" t="s">
        <v>1541</v>
      </c>
      <c r="BW190" s="1" t="s">
        <v>1542</v>
      </c>
      <c r="CA190" s="1" t="s">
        <v>45</v>
      </c>
      <c r="CB190" s="1" t="s">
        <v>45</v>
      </c>
      <c r="CI190" s="1" t="s">
        <v>2078</v>
      </c>
      <c r="CJ190" s="1" t="s">
        <v>45</v>
      </c>
      <c r="DH190" s="1" t="s">
        <v>45</v>
      </c>
      <c r="DM190" s="1" t="s">
        <v>45</v>
      </c>
      <c r="DQ190" s="1" t="s">
        <v>45</v>
      </c>
      <c r="DT190" s="32">
        <v>45478</v>
      </c>
      <c r="DU190" s="1" t="s">
        <v>1598</v>
      </c>
      <c r="DV190" s="1">
        <v>3.71222076215505</v>
      </c>
      <c r="DW190" s="1" t="s">
        <v>45</v>
      </c>
      <c r="DY190" s="32">
        <v>45812</v>
      </c>
      <c r="DZ190" s="1" t="s">
        <v>1544</v>
      </c>
    </row>
    <row r="191" spans="1:130" ht="15.75" customHeight="1" x14ac:dyDescent="0.2">
      <c r="A191" s="8" t="s">
        <v>652</v>
      </c>
      <c r="B191" s="32">
        <v>32825</v>
      </c>
      <c r="C191" s="32">
        <v>43788</v>
      </c>
      <c r="D191" s="1">
        <v>30.015674517615</v>
      </c>
      <c r="E191" s="1" t="s">
        <v>1587</v>
      </c>
      <c r="F191" s="1" t="s">
        <v>1524</v>
      </c>
      <c r="G191" s="1" t="s">
        <v>1545</v>
      </c>
      <c r="H191" s="1" t="s">
        <v>51</v>
      </c>
      <c r="I191" s="1">
        <v>1.74</v>
      </c>
      <c r="J191" s="1" t="s">
        <v>51</v>
      </c>
      <c r="K191" s="1">
        <v>77.8</v>
      </c>
      <c r="L191" s="1">
        <v>25.6969216541154</v>
      </c>
      <c r="M191" s="1" t="s">
        <v>45</v>
      </c>
      <c r="N191" s="1" t="s">
        <v>45</v>
      </c>
      <c r="O191" s="1" t="s">
        <v>45</v>
      </c>
      <c r="P191" s="1" t="s">
        <v>45</v>
      </c>
      <c r="Q191" s="1" t="s">
        <v>45</v>
      </c>
      <c r="R191" s="1" t="s">
        <v>45</v>
      </c>
      <c r="S191" s="1" t="s">
        <v>45</v>
      </c>
      <c r="T191" s="1" t="s">
        <v>45</v>
      </c>
      <c r="U191" s="1" t="s">
        <v>45</v>
      </c>
      <c r="V191" s="1" t="s">
        <v>45</v>
      </c>
      <c r="W191" s="1" t="s">
        <v>45</v>
      </c>
      <c r="X191" s="1" t="s">
        <v>45</v>
      </c>
      <c r="Y191" s="1" t="s">
        <v>45</v>
      </c>
      <c r="Z191" s="1" t="s">
        <v>45</v>
      </c>
      <c r="AA191" s="1" t="s">
        <v>45</v>
      </c>
      <c r="AB191" s="1" t="s">
        <v>45</v>
      </c>
      <c r="AC191" s="1" t="s">
        <v>45</v>
      </c>
      <c r="AD191" s="1" t="s">
        <v>45</v>
      </c>
      <c r="AE191" s="1" t="s">
        <v>45</v>
      </c>
      <c r="AF191" s="32">
        <v>45365</v>
      </c>
      <c r="AG191" s="1">
        <v>34.3333538676358</v>
      </c>
      <c r="AH191" s="1" t="s">
        <v>1526</v>
      </c>
      <c r="AI191" s="1" t="s">
        <v>1527</v>
      </c>
      <c r="AJ191" s="1" t="s">
        <v>45</v>
      </c>
      <c r="AK191" s="1" t="s">
        <v>51</v>
      </c>
      <c r="AL191" s="1" t="s">
        <v>51</v>
      </c>
      <c r="AM191" s="1" t="s">
        <v>45</v>
      </c>
      <c r="AN191" s="1" t="s">
        <v>45</v>
      </c>
      <c r="AO191" s="1" t="s">
        <v>45</v>
      </c>
      <c r="AP191" s="1" t="s">
        <v>45</v>
      </c>
      <c r="AQ191" s="1" t="s">
        <v>45</v>
      </c>
      <c r="AR191" s="1" t="s">
        <v>45</v>
      </c>
      <c r="AT191" s="1" t="s">
        <v>1601</v>
      </c>
      <c r="AW191" s="33" t="s">
        <v>1464</v>
      </c>
      <c r="AX191" s="3"/>
      <c r="AY191" s="3" t="s">
        <v>1601</v>
      </c>
      <c r="AZ191" s="1">
        <v>2</v>
      </c>
      <c r="BA191" s="1" t="s">
        <v>1821</v>
      </c>
      <c r="BB191" s="1" t="s">
        <v>1567</v>
      </c>
      <c r="BC191" s="1" t="s">
        <v>1602</v>
      </c>
      <c r="BD191" s="1" t="s">
        <v>1990</v>
      </c>
      <c r="BE191" s="1" t="s">
        <v>1603</v>
      </c>
      <c r="BF191" s="1" t="s">
        <v>1534</v>
      </c>
      <c r="BG191" s="1" t="s">
        <v>45</v>
      </c>
      <c r="BH191" s="1" t="s">
        <v>46</v>
      </c>
      <c r="BI191" s="1" t="s">
        <v>1535</v>
      </c>
      <c r="BJ191" s="1" t="s">
        <v>45</v>
      </c>
      <c r="BK191" s="1" t="s">
        <v>1536</v>
      </c>
      <c r="BL191" s="32">
        <v>45365</v>
      </c>
      <c r="BM191" s="1" t="s">
        <v>653</v>
      </c>
      <c r="BO191" s="1" t="s">
        <v>1537</v>
      </c>
      <c r="BP191" s="1" t="s">
        <v>1538</v>
      </c>
      <c r="BQ191" s="1" t="s">
        <v>1539</v>
      </c>
      <c r="BR191" s="1" t="s">
        <v>1540</v>
      </c>
      <c r="BS191" s="1" t="s">
        <v>106</v>
      </c>
      <c r="BW191" s="1" t="s">
        <v>1542</v>
      </c>
      <c r="CA191" s="1" t="s">
        <v>45</v>
      </c>
      <c r="CB191" s="1" t="s">
        <v>45</v>
      </c>
      <c r="CG191" s="1" t="s">
        <v>2079</v>
      </c>
      <c r="CJ191" s="1" t="s">
        <v>45</v>
      </c>
      <c r="DH191" s="1" t="s">
        <v>45</v>
      </c>
      <c r="DM191" s="1" t="s">
        <v>45</v>
      </c>
      <c r="DO191" s="1" t="s">
        <v>45</v>
      </c>
      <c r="DQ191" s="1" t="s">
        <v>45</v>
      </c>
      <c r="DT191" s="32">
        <v>45792</v>
      </c>
      <c r="DU191" s="1" t="s">
        <v>1598</v>
      </c>
      <c r="DV191" s="1">
        <v>14.027595269382299</v>
      </c>
      <c r="DW191" s="1" t="s">
        <v>45</v>
      </c>
      <c r="DY191" s="32">
        <v>45806</v>
      </c>
      <c r="DZ191" s="1" t="s">
        <v>1544</v>
      </c>
    </row>
    <row r="192" spans="1:130" ht="15.75" customHeight="1" x14ac:dyDescent="0.2">
      <c r="A192" s="8" t="s">
        <v>656</v>
      </c>
      <c r="B192" s="32">
        <v>33103</v>
      </c>
      <c r="C192" s="32">
        <v>45362</v>
      </c>
      <c r="D192" s="1">
        <v>33.564001998672097</v>
      </c>
      <c r="E192" s="1" t="s">
        <v>1587</v>
      </c>
      <c r="F192" s="1" t="s">
        <v>1524</v>
      </c>
      <c r="G192" s="1" t="s">
        <v>1574</v>
      </c>
      <c r="H192" s="1" t="s">
        <v>51</v>
      </c>
      <c r="I192" s="1">
        <v>1.655</v>
      </c>
      <c r="J192" s="1" t="s">
        <v>51</v>
      </c>
      <c r="K192" s="1">
        <v>84.8</v>
      </c>
      <c r="L192" s="1">
        <v>30.959921870008401</v>
      </c>
      <c r="M192" s="1" t="s">
        <v>45</v>
      </c>
      <c r="N192" s="1" t="s">
        <v>45</v>
      </c>
      <c r="O192" s="1" t="s">
        <v>45</v>
      </c>
      <c r="P192" s="1" t="s">
        <v>45</v>
      </c>
      <c r="Q192" s="1" t="s">
        <v>45</v>
      </c>
      <c r="R192" s="1" t="s">
        <v>45</v>
      </c>
      <c r="S192" s="1" t="s">
        <v>45</v>
      </c>
      <c r="T192" s="1" t="s">
        <v>45</v>
      </c>
      <c r="U192" s="1" t="s">
        <v>45</v>
      </c>
      <c r="V192" s="1" t="s">
        <v>45</v>
      </c>
      <c r="W192" s="1" t="s">
        <v>45</v>
      </c>
      <c r="X192" s="1" t="s">
        <v>45</v>
      </c>
      <c r="Y192" s="1" t="s">
        <v>45</v>
      </c>
      <c r="Z192" s="1" t="s">
        <v>45</v>
      </c>
      <c r="AA192" s="1" t="s">
        <v>45</v>
      </c>
      <c r="AB192" s="1" t="s">
        <v>45</v>
      </c>
      <c r="AC192" s="1" t="s">
        <v>45</v>
      </c>
      <c r="AD192" s="1" t="s">
        <v>45</v>
      </c>
      <c r="AE192" s="1" t="s">
        <v>45</v>
      </c>
      <c r="AF192" s="32">
        <v>45365</v>
      </c>
      <c r="AG192" s="1">
        <v>33.572215719692998</v>
      </c>
      <c r="AH192" s="1" t="s">
        <v>1526</v>
      </c>
      <c r="AI192" s="1" t="s">
        <v>1527</v>
      </c>
      <c r="AJ192" s="1" t="s">
        <v>45</v>
      </c>
      <c r="AK192" s="1" t="s">
        <v>45</v>
      </c>
      <c r="AL192" s="1" t="s">
        <v>45</v>
      </c>
      <c r="AM192" s="1" t="s">
        <v>51</v>
      </c>
      <c r="AN192" s="1" t="s">
        <v>45</v>
      </c>
      <c r="AO192" s="1" t="s">
        <v>45</v>
      </c>
      <c r="AP192" s="1" t="s">
        <v>45</v>
      </c>
      <c r="AQ192" s="1" t="s">
        <v>45</v>
      </c>
      <c r="AR192" s="1" t="s">
        <v>51</v>
      </c>
      <c r="AS192" s="1" t="s">
        <v>2080</v>
      </c>
      <c r="AT192" s="1" t="s">
        <v>1560</v>
      </c>
      <c r="AW192" s="33" t="s">
        <v>1463</v>
      </c>
      <c r="AX192" s="3" t="s">
        <v>1560</v>
      </c>
      <c r="AY192" s="3"/>
      <c r="AZ192" s="1">
        <v>4</v>
      </c>
      <c r="BA192" s="1" t="s">
        <v>1529</v>
      </c>
      <c r="BB192" s="1" t="s">
        <v>1567</v>
      </c>
      <c r="BC192" s="1" t="s">
        <v>1531</v>
      </c>
      <c r="BD192" s="1" t="s">
        <v>1822</v>
      </c>
      <c r="BE192" s="1" t="s">
        <v>1603</v>
      </c>
      <c r="BF192" s="1" t="s">
        <v>1534</v>
      </c>
      <c r="BG192" s="1" t="s">
        <v>45</v>
      </c>
      <c r="BH192" s="1" t="s">
        <v>46</v>
      </c>
      <c r="BI192" s="1" t="s">
        <v>1599</v>
      </c>
      <c r="BJ192" s="1" t="s">
        <v>51</v>
      </c>
      <c r="BK192" s="1" t="s">
        <v>1536</v>
      </c>
      <c r="BL192" s="32">
        <v>45365</v>
      </c>
      <c r="BM192" s="1" t="s">
        <v>657</v>
      </c>
      <c r="BO192" s="1" t="s">
        <v>1537</v>
      </c>
      <c r="BP192" s="1" t="s">
        <v>1538</v>
      </c>
      <c r="BQ192" s="1" t="s">
        <v>1647</v>
      </c>
      <c r="BR192" s="1" t="s">
        <v>1540</v>
      </c>
      <c r="BS192" s="1" t="s">
        <v>177</v>
      </c>
      <c r="BW192" s="1" t="s">
        <v>1563</v>
      </c>
      <c r="BX192" s="32">
        <v>45469</v>
      </c>
      <c r="BY192" s="1">
        <v>12</v>
      </c>
      <c r="BZ192" s="1" t="s">
        <v>2081</v>
      </c>
      <c r="CA192" s="1" t="s">
        <v>51</v>
      </c>
      <c r="CB192" s="1" t="s">
        <v>51</v>
      </c>
      <c r="CC192" s="32">
        <v>45391</v>
      </c>
      <c r="CD192" s="1">
        <v>59.5</v>
      </c>
      <c r="CE192" s="1">
        <v>33</v>
      </c>
      <c r="CJ192" s="1" t="s">
        <v>45</v>
      </c>
      <c r="DH192" s="1" t="s">
        <v>45</v>
      </c>
      <c r="DM192" s="1" t="s">
        <v>45</v>
      </c>
      <c r="DO192" s="1" t="s">
        <v>45</v>
      </c>
      <c r="DQ192" s="1" t="s">
        <v>45</v>
      </c>
      <c r="DT192" s="32">
        <v>45803</v>
      </c>
      <c r="DU192" s="1" t="s">
        <v>1598</v>
      </c>
      <c r="DV192" s="1">
        <v>14.388961892247</v>
      </c>
      <c r="DW192" s="1" t="s">
        <v>45</v>
      </c>
      <c r="DY192" s="32">
        <v>45806</v>
      </c>
      <c r="DZ192" s="1" t="s">
        <v>1544</v>
      </c>
    </row>
    <row r="193" spans="1:130" ht="15.75" customHeight="1" x14ac:dyDescent="0.2">
      <c r="A193" s="8" t="s">
        <v>659</v>
      </c>
      <c r="B193" s="32">
        <v>34402</v>
      </c>
      <c r="C193" s="32">
        <v>45355</v>
      </c>
      <c r="D193" s="1">
        <v>29.988295447545099</v>
      </c>
      <c r="E193" s="1" t="s">
        <v>1587</v>
      </c>
      <c r="F193" s="1" t="s">
        <v>1524</v>
      </c>
      <c r="G193" s="1" t="s">
        <v>1574</v>
      </c>
      <c r="H193" s="1" t="s">
        <v>51</v>
      </c>
      <c r="I193" s="1">
        <v>1.62</v>
      </c>
      <c r="J193" s="1" t="s">
        <v>51</v>
      </c>
      <c r="K193" s="1">
        <v>59.2</v>
      </c>
      <c r="L193" s="1">
        <v>22.557536960829101</v>
      </c>
      <c r="M193" s="1" t="s">
        <v>45</v>
      </c>
      <c r="N193" s="1" t="s">
        <v>45</v>
      </c>
      <c r="O193" s="1" t="s">
        <v>45</v>
      </c>
      <c r="P193" s="1" t="s">
        <v>45</v>
      </c>
      <c r="Q193" s="1" t="s">
        <v>45</v>
      </c>
      <c r="R193" s="1" t="s">
        <v>45</v>
      </c>
      <c r="S193" s="1" t="s">
        <v>45</v>
      </c>
      <c r="T193" s="1" t="s">
        <v>45</v>
      </c>
      <c r="U193" s="1" t="s">
        <v>45</v>
      </c>
      <c r="V193" s="1" t="s">
        <v>45</v>
      </c>
      <c r="W193" s="1" t="s">
        <v>45</v>
      </c>
      <c r="X193" s="1" t="s">
        <v>45</v>
      </c>
      <c r="Y193" s="1" t="s">
        <v>45</v>
      </c>
      <c r="Z193" s="1" t="s">
        <v>45</v>
      </c>
      <c r="AA193" s="1" t="s">
        <v>45</v>
      </c>
      <c r="AB193" s="1" t="s">
        <v>45</v>
      </c>
      <c r="AC193" s="1" t="s">
        <v>45</v>
      </c>
      <c r="AD193" s="1" t="s">
        <v>45</v>
      </c>
      <c r="AE193" s="1" t="s">
        <v>45</v>
      </c>
      <c r="AF193" s="32">
        <v>45377</v>
      </c>
      <c r="AG193" s="1">
        <v>30.048529401698801</v>
      </c>
      <c r="AH193" s="1" t="s">
        <v>1526</v>
      </c>
      <c r="AI193" s="1" t="s">
        <v>1527</v>
      </c>
      <c r="AJ193" s="1" t="s">
        <v>45</v>
      </c>
      <c r="AK193" s="1" t="s">
        <v>51</v>
      </c>
      <c r="AL193" s="1" t="s">
        <v>45</v>
      </c>
      <c r="AM193" s="1" t="s">
        <v>51</v>
      </c>
      <c r="AN193" s="1" t="s">
        <v>45</v>
      </c>
      <c r="AO193" s="1" t="s">
        <v>45</v>
      </c>
      <c r="AP193" s="1" t="s">
        <v>45</v>
      </c>
      <c r="AQ193" s="1" t="s">
        <v>45</v>
      </c>
      <c r="AR193" s="1" t="s">
        <v>45</v>
      </c>
      <c r="AT193" s="1" t="s">
        <v>1560</v>
      </c>
      <c r="AW193" s="33" t="s">
        <v>1464</v>
      </c>
      <c r="AX193" s="3"/>
      <c r="AY193" s="3" t="s">
        <v>1560</v>
      </c>
      <c r="AZ193" s="1">
        <v>2</v>
      </c>
      <c r="BA193" s="1" t="s">
        <v>1821</v>
      </c>
      <c r="BB193" s="1" t="s">
        <v>1567</v>
      </c>
      <c r="BC193" s="1" t="s">
        <v>1531</v>
      </c>
      <c r="BD193" s="1" t="s">
        <v>1822</v>
      </c>
      <c r="BE193" s="1" t="s">
        <v>1525</v>
      </c>
      <c r="BG193" s="1" t="s">
        <v>45</v>
      </c>
      <c r="BH193" s="1" t="s">
        <v>46</v>
      </c>
      <c r="BI193" s="1" t="s">
        <v>1599</v>
      </c>
      <c r="BJ193" s="1" t="s">
        <v>45</v>
      </c>
      <c r="BK193" s="1" t="s">
        <v>1536</v>
      </c>
      <c r="BL193" s="32">
        <v>45377</v>
      </c>
      <c r="BM193" s="1" t="s">
        <v>660</v>
      </c>
      <c r="BO193" s="1" t="s">
        <v>1537</v>
      </c>
      <c r="BP193" s="1" t="s">
        <v>1538</v>
      </c>
      <c r="BQ193" s="1" t="s">
        <v>1539</v>
      </c>
      <c r="BR193" s="1" t="s">
        <v>1552</v>
      </c>
      <c r="BS193" s="1" t="s">
        <v>2082</v>
      </c>
      <c r="BU193" s="1" t="s">
        <v>51</v>
      </c>
      <c r="BV193" s="1" t="s">
        <v>1541</v>
      </c>
      <c r="BW193" s="1" t="s">
        <v>1563</v>
      </c>
      <c r="BX193" s="32">
        <v>45485</v>
      </c>
      <c r="BY193" s="1">
        <v>12</v>
      </c>
      <c r="BZ193" s="1" t="s">
        <v>2083</v>
      </c>
      <c r="CA193" s="1" t="s">
        <v>51</v>
      </c>
      <c r="CB193" s="1" t="s">
        <v>51</v>
      </c>
      <c r="CC193" s="32">
        <v>45418</v>
      </c>
      <c r="CD193" s="1">
        <v>54</v>
      </c>
      <c r="CE193" s="1">
        <v>30</v>
      </c>
      <c r="CJ193" s="1" t="s">
        <v>45</v>
      </c>
      <c r="DH193" s="1" t="s">
        <v>45</v>
      </c>
      <c r="DM193" s="1" t="s">
        <v>45</v>
      </c>
      <c r="DO193" s="1" t="s">
        <v>45</v>
      </c>
      <c r="DQ193" s="1" t="s">
        <v>45</v>
      </c>
      <c r="DT193" s="32">
        <v>45803</v>
      </c>
      <c r="DU193" s="1" t="s">
        <v>1598</v>
      </c>
      <c r="DV193" s="1">
        <v>13.994743758212801</v>
      </c>
      <c r="DW193" s="1" t="s">
        <v>45</v>
      </c>
      <c r="DY193" s="32">
        <v>45806</v>
      </c>
      <c r="DZ193" s="1" t="s">
        <v>1544</v>
      </c>
    </row>
    <row r="194" spans="1:130" ht="15.75" customHeight="1" x14ac:dyDescent="0.2">
      <c r="A194" s="8" t="s">
        <v>1062</v>
      </c>
      <c r="B194" s="32">
        <v>20637</v>
      </c>
      <c r="C194" s="32">
        <v>43987</v>
      </c>
      <c r="D194" s="1">
        <v>63.930128613181601</v>
      </c>
      <c r="E194" s="1" t="s">
        <v>1523</v>
      </c>
      <c r="F194" s="1" t="s">
        <v>1524</v>
      </c>
      <c r="G194" s="1" t="s">
        <v>1574</v>
      </c>
      <c r="H194" s="1" t="s">
        <v>51</v>
      </c>
      <c r="I194" s="1">
        <v>1.65</v>
      </c>
      <c r="J194" s="1" t="s">
        <v>51</v>
      </c>
      <c r="K194" s="1">
        <v>62</v>
      </c>
      <c r="L194" s="1">
        <v>22.77318640955</v>
      </c>
      <c r="M194" s="1" t="s">
        <v>45</v>
      </c>
      <c r="N194" s="1" t="s">
        <v>45</v>
      </c>
      <c r="O194" s="1" t="s">
        <v>45</v>
      </c>
      <c r="P194" s="1" t="s">
        <v>45</v>
      </c>
      <c r="Q194" s="1" t="s">
        <v>45</v>
      </c>
      <c r="R194" s="1" t="s">
        <v>45</v>
      </c>
      <c r="S194" s="1" t="s">
        <v>45</v>
      </c>
      <c r="T194" s="1" t="s">
        <v>45</v>
      </c>
      <c r="U194" s="1" t="s">
        <v>45</v>
      </c>
      <c r="V194" s="1" t="s">
        <v>45</v>
      </c>
      <c r="W194" s="1" t="s">
        <v>45</v>
      </c>
      <c r="X194" s="1" t="s">
        <v>45</v>
      </c>
      <c r="Y194" s="1" t="s">
        <v>45</v>
      </c>
      <c r="Z194" s="1" t="s">
        <v>45</v>
      </c>
      <c r="AA194" s="1" t="s">
        <v>45</v>
      </c>
      <c r="AB194" s="1" t="s">
        <v>45</v>
      </c>
      <c r="AC194" s="1" t="s">
        <v>45</v>
      </c>
      <c r="AD194" s="1" t="s">
        <v>45</v>
      </c>
      <c r="AE194" s="1" t="s">
        <v>45</v>
      </c>
      <c r="AF194" s="32">
        <v>44015</v>
      </c>
      <c r="AG194" s="1">
        <v>64.006790009377298</v>
      </c>
      <c r="AH194" s="1" t="s">
        <v>1526</v>
      </c>
      <c r="AI194" s="1" t="s">
        <v>1527</v>
      </c>
      <c r="AJ194" s="1" t="s">
        <v>45</v>
      </c>
      <c r="AK194" s="1" t="s">
        <v>45</v>
      </c>
      <c r="AL194" s="1" t="s">
        <v>45</v>
      </c>
      <c r="AM194" s="1" t="s">
        <v>45</v>
      </c>
      <c r="AN194" s="1" t="s">
        <v>45</v>
      </c>
      <c r="AO194" s="1" t="s">
        <v>45</v>
      </c>
      <c r="AP194" s="1" t="s">
        <v>45</v>
      </c>
      <c r="AQ194" s="1" t="s">
        <v>51</v>
      </c>
      <c r="AR194" s="1" t="s">
        <v>45</v>
      </c>
      <c r="AT194" s="1" t="s">
        <v>1528</v>
      </c>
      <c r="AW194" s="33" t="s">
        <v>1463</v>
      </c>
      <c r="AX194" s="3" t="s">
        <v>1528</v>
      </c>
      <c r="AY194" s="3"/>
      <c r="AZ194" s="1">
        <v>4</v>
      </c>
      <c r="BA194" s="1" t="s">
        <v>1529</v>
      </c>
      <c r="BB194" s="1" t="s">
        <v>1530</v>
      </c>
      <c r="BC194" s="1" t="s">
        <v>1531</v>
      </c>
      <c r="BD194" s="1" t="s">
        <v>1532</v>
      </c>
      <c r="BE194" s="1" t="s">
        <v>1603</v>
      </c>
      <c r="BF194" s="1" t="s">
        <v>1534</v>
      </c>
      <c r="BG194" s="1" t="s">
        <v>45</v>
      </c>
      <c r="BH194" s="1" t="s">
        <v>46</v>
      </c>
      <c r="BI194" s="1" t="s">
        <v>1535</v>
      </c>
      <c r="BJ194" s="1" t="s">
        <v>45</v>
      </c>
      <c r="BK194" s="1" t="s">
        <v>1549</v>
      </c>
      <c r="BL194" s="32">
        <v>44015</v>
      </c>
      <c r="BM194" s="1" t="s">
        <v>1063</v>
      </c>
      <c r="BO194" s="1" t="s">
        <v>1537</v>
      </c>
      <c r="BP194" s="1" t="s">
        <v>1538</v>
      </c>
      <c r="BQ194" s="1" t="s">
        <v>1539</v>
      </c>
      <c r="BR194" s="1" t="s">
        <v>1540</v>
      </c>
      <c r="BS194" s="1" t="s">
        <v>1581</v>
      </c>
      <c r="BU194" s="1" t="s">
        <v>1525</v>
      </c>
      <c r="BW194" s="1" t="s">
        <v>1563</v>
      </c>
      <c r="BX194" s="32">
        <v>44131</v>
      </c>
      <c r="BY194" s="1">
        <v>6</v>
      </c>
      <c r="BZ194" s="1" t="s">
        <v>2084</v>
      </c>
      <c r="CA194" s="1" t="s">
        <v>51</v>
      </c>
      <c r="CB194" s="1" t="s">
        <v>51</v>
      </c>
      <c r="CC194" s="32">
        <v>44057</v>
      </c>
      <c r="CD194" s="1">
        <v>60</v>
      </c>
      <c r="CE194" s="1">
        <v>30</v>
      </c>
      <c r="CI194" s="1" t="s">
        <v>2085</v>
      </c>
      <c r="CJ194" s="1" t="s">
        <v>51</v>
      </c>
      <c r="CK194" s="32">
        <v>45290</v>
      </c>
      <c r="CL194" s="1" t="s">
        <v>51</v>
      </c>
      <c r="CM194" s="32">
        <v>45378</v>
      </c>
      <c r="CN194" s="1">
        <v>3.7317672505253299</v>
      </c>
      <c r="CO194" s="1" t="s">
        <v>1537</v>
      </c>
      <c r="CP194" s="1" t="s">
        <v>1796</v>
      </c>
      <c r="CQ194" s="1" t="s">
        <v>1539</v>
      </c>
      <c r="CR194" s="1" t="s">
        <v>1540</v>
      </c>
      <c r="CS194" s="1" t="s">
        <v>106</v>
      </c>
      <c r="CT194" s="1" t="s">
        <v>1528</v>
      </c>
      <c r="CW194" s="1">
        <v>4</v>
      </c>
      <c r="CX194" s="1" t="s">
        <v>1529</v>
      </c>
      <c r="CY194" s="1" t="s">
        <v>1530</v>
      </c>
      <c r="CZ194" s="1" t="s">
        <v>1531</v>
      </c>
      <c r="DA194" s="1" t="s">
        <v>1532</v>
      </c>
      <c r="DB194" s="1" t="s">
        <v>1603</v>
      </c>
      <c r="DC194" s="1" t="s">
        <v>1534</v>
      </c>
      <c r="DD194" s="1" t="s">
        <v>45</v>
      </c>
      <c r="DE194" s="1" t="s">
        <v>68</v>
      </c>
      <c r="DF194" s="1" t="s">
        <v>46</v>
      </c>
      <c r="DG194" s="1" t="s">
        <v>45</v>
      </c>
      <c r="DH194" s="1" t="s">
        <v>45</v>
      </c>
      <c r="DM194" s="1" t="s">
        <v>45</v>
      </c>
      <c r="DO194" s="1" t="s">
        <v>45</v>
      </c>
      <c r="DQ194" s="1" t="s">
        <v>45</v>
      </c>
      <c r="DT194" s="32">
        <v>45594</v>
      </c>
      <c r="DU194" s="1" t="s">
        <v>1543</v>
      </c>
      <c r="DV194" s="1">
        <v>51.872536136662198</v>
      </c>
      <c r="DW194" s="1" t="s">
        <v>51</v>
      </c>
      <c r="DX194" s="1" t="s">
        <v>2086</v>
      </c>
      <c r="DY194" s="32">
        <v>45812</v>
      </c>
      <c r="DZ194" s="1" t="s">
        <v>1544</v>
      </c>
    </row>
    <row r="195" spans="1:130" ht="15.75" customHeight="1" x14ac:dyDescent="0.2">
      <c r="A195" s="8" t="s">
        <v>661</v>
      </c>
      <c r="B195" s="32">
        <v>28315</v>
      </c>
      <c r="C195" s="32">
        <v>45138</v>
      </c>
      <c r="D195" s="1">
        <v>46.059809578567602</v>
      </c>
      <c r="E195" s="1" t="s">
        <v>1587</v>
      </c>
      <c r="F195" s="1" t="s">
        <v>1524</v>
      </c>
      <c r="G195" s="1" t="s">
        <v>1574</v>
      </c>
      <c r="H195" s="1" t="s">
        <v>51</v>
      </c>
      <c r="I195" s="1">
        <v>1.6819999999999999</v>
      </c>
      <c r="J195" s="1" t="s">
        <v>51</v>
      </c>
      <c r="K195" s="1">
        <v>60</v>
      </c>
      <c r="L195" s="1">
        <v>21.207978158610199</v>
      </c>
      <c r="M195" s="1" t="s">
        <v>45</v>
      </c>
      <c r="N195" s="1" t="s">
        <v>45</v>
      </c>
      <c r="O195" s="1" t="s">
        <v>45</v>
      </c>
      <c r="P195" s="1" t="s">
        <v>45</v>
      </c>
      <c r="Q195" s="1" t="s">
        <v>45</v>
      </c>
      <c r="R195" s="1" t="s">
        <v>45</v>
      </c>
      <c r="S195" s="1" t="s">
        <v>45</v>
      </c>
      <c r="T195" s="1" t="s">
        <v>45</v>
      </c>
      <c r="U195" s="1" t="s">
        <v>45</v>
      </c>
      <c r="V195" s="1" t="s">
        <v>45</v>
      </c>
      <c r="W195" s="1" t="s">
        <v>45</v>
      </c>
      <c r="X195" s="1" t="s">
        <v>45</v>
      </c>
      <c r="Y195" s="1" t="s">
        <v>45</v>
      </c>
      <c r="Z195" s="1" t="s">
        <v>45</v>
      </c>
      <c r="AA195" s="1" t="s">
        <v>45</v>
      </c>
      <c r="AB195" s="1" t="s">
        <v>45</v>
      </c>
      <c r="AC195" s="1" t="s">
        <v>45</v>
      </c>
      <c r="AD195" s="1" t="s">
        <v>45</v>
      </c>
      <c r="AE195" s="1" t="s">
        <v>45</v>
      </c>
      <c r="AF195" s="32">
        <v>45379</v>
      </c>
      <c r="AG195" s="1">
        <v>46.719645167251898</v>
      </c>
      <c r="AH195" s="1" t="s">
        <v>1526</v>
      </c>
      <c r="AI195" s="1" t="s">
        <v>1527</v>
      </c>
      <c r="AJ195" s="1" t="s">
        <v>45</v>
      </c>
      <c r="AK195" s="1" t="s">
        <v>51</v>
      </c>
      <c r="AL195" s="1" t="s">
        <v>51</v>
      </c>
      <c r="AM195" s="1" t="s">
        <v>45</v>
      </c>
      <c r="AN195" s="1" t="s">
        <v>45</v>
      </c>
      <c r="AO195" s="1" t="s">
        <v>45</v>
      </c>
      <c r="AP195" s="1" t="s">
        <v>45</v>
      </c>
      <c r="AQ195" s="1" t="s">
        <v>45</v>
      </c>
      <c r="AR195" s="1" t="s">
        <v>45</v>
      </c>
      <c r="AT195" s="1" t="s">
        <v>1560</v>
      </c>
      <c r="AW195" s="33" t="s">
        <v>1463</v>
      </c>
      <c r="AX195" s="3" t="s">
        <v>1560</v>
      </c>
      <c r="AY195" s="3"/>
      <c r="AZ195" s="1">
        <v>4</v>
      </c>
      <c r="BA195" s="1" t="s">
        <v>1529</v>
      </c>
      <c r="BB195" s="1" t="s">
        <v>1567</v>
      </c>
      <c r="BC195" s="1" t="s">
        <v>1531</v>
      </c>
      <c r="BD195" s="1" t="s">
        <v>1822</v>
      </c>
      <c r="BE195" s="1" t="s">
        <v>1603</v>
      </c>
      <c r="BF195" s="1" t="s">
        <v>1534</v>
      </c>
      <c r="BG195" s="1" t="s">
        <v>45</v>
      </c>
      <c r="BH195" s="1" t="s">
        <v>46</v>
      </c>
      <c r="BI195" s="1" t="s">
        <v>1599</v>
      </c>
      <c r="BJ195" s="1" t="s">
        <v>51</v>
      </c>
      <c r="BK195" s="1" t="s">
        <v>1536</v>
      </c>
      <c r="BL195" s="32">
        <v>45379</v>
      </c>
      <c r="BM195" s="1" t="s">
        <v>662</v>
      </c>
      <c r="BO195" s="1" t="s">
        <v>1537</v>
      </c>
      <c r="BP195" s="1" t="s">
        <v>1538</v>
      </c>
      <c r="BQ195" s="1" t="s">
        <v>1539</v>
      </c>
      <c r="BR195" s="1" t="s">
        <v>1540</v>
      </c>
      <c r="BS195" s="1" t="s">
        <v>106</v>
      </c>
      <c r="BW195" s="1" t="s">
        <v>1563</v>
      </c>
      <c r="BX195" s="32">
        <v>45558</v>
      </c>
      <c r="BY195" s="1">
        <v>12</v>
      </c>
      <c r="BZ195" s="1" t="s">
        <v>2087</v>
      </c>
      <c r="CA195" s="1" t="s">
        <v>51</v>
      </c>
      <c r="CB195" s="1" t="s">
        <v>51</v>
      </c>
      <c r="CC195" s="32">
        <v>45433</v>
      </c>
      <c r="CD195" s="1">
        <v>60</v>
      </c>
      <c r="CE195" s="1">
        <v>30</v>
      </c>
      <c r="CJ195" s="1" t="s">
        <v>45</v>
      </c>
      <c r="DH195" s="1" t="s">
        <v>45</v>
      </c>
      <c r="DM195" s="1" t="s">
        <v>45</v>
      </c>
      <c r="DO195" s="1" t="s">
        <v>45</v>
      </c>
      <c r="DQ195" s="1" t="s">
        <v>45</v>
      </c>
      <c r="DT195" s="32">
        <v>45786</v>
      </c>
      <c r="DU195" s="1" t="s">
        <v>1598</v>
      </c>
      <c r="DV195" s="1">
        <v>13.3705650459921</v>
      </c>
      <c r="DW195" s="1" t="s">
        <v>45</v>
      </c>
      <c r="DY195" s="32">
        <v>45806</v>
      </c>
      <c r="DZ195" s="1" t="s">
        <v>1544</v>
      </c>
    </row>
    <row r="196" spans="1:130" ht="15.75" customHeight="1" x14ac:dyDescent="0.2">
      <c r="A196" s="8" t="s">
        <v>1072</v>
      </c>
      <c r="B196" s="32">
        <v>22129</v>
      </c>
      <c r="C196" s="32">
        <v>45384</v>
      </c>
      <c r="D196" s="1">
        <v>63.670027447517697</v>
      </c>
      <c r="E196" s="1" t="s">
        <v>1587</v>
      </c>
      <c r="F196" s="1" t="s">
        <v>1578</v>
      </c>
      <c r="G196" s="1" t="s">
        <v>1574</v>
      </c>
      <c r="H196" s="1" t="s">
        <v>45</v>
      </c>
      <c r="J196" s="1" t="s">
        <v>51</v>
      </c>
      <c r="K196" s="1">
        <v>61.2</v>
      </c>
      <c r="M196" s="1" t="s">
        <v>45</v>
      </c>
      <c r="N196" s="1" t="s">
        <v>45</v>
      </c>
      <c r="O196" s="1" t="s">
        <v>45</v>
      </c>
      <c r="P196" s="1" t="s">
        <v>45</v>
      </c>
      <c r="Q196" s="1" t="s">
        <v>45</v>
      </c>
      <c r="R196" s="1" t="s">
        <v>45</v>
      </c>
      <c r="S196" s="1" t="s">
        <v>45</v>
      </c>
      <c r="T196" s="1" t="s">
        <v>45</v>
      </c>
      <c r="U196" s="1" t="s">
        <v>45</v>
      </c>
      <c r="V196" s="1" t="s">
        <v>45</v>
      </c>
      <c r="W196" s="1" t="s">
        <v>45</v>
      </c>
      <c r="X196" s="1" t="s">
        <v>45</v>
      </c>
      <c r="Y196" s="1" t="s">
        <v>45</v>
      </c>
      <c r="Z196" s="1" t="s">
        <v>45</v>
      </c>
      <c r="AA196" s="1" t="s">
        <v>45</v>
      </c>
      <c r="AB196" s="1" t="s">
        <v>45</v>
      </c>
      <c r="AC196" s="1" t="s">
        <v>45</v>
      </c>
      <c r="AD196" s="1" t="s">
        <v>45</v>
      </c>
      <c r="AE196" s="1" t="s">
        <v>45</v>
      </c>
      <c r="AF196" s="32">
        <v>45377</v>
      </c>
      <c r="AG196" s="1">
        <v>63.650862098468799</v>
      </c>
      <c r="AH196" s="1" t="s">
        <v>1613</v>
      </c>
      <c r="AI196" s="1" t="s">
        <v>1527</v>
      </c>
      <c r="AJ196" s="1" t="s">
        <v>45</v>
      </c>
      <c r="AK196" s="1" t="s">
        <v>45</v>
      </c>
      <c r="AL196" s="1" t="s">
        <v>51</v>
      </c>
      <c r="AM196" s="1" t="s">
        <v>51</v>
      </c>
      <c r="AN196" s="1" t="s">
        <v>51</v>
      </c>
      <c r="AO196" s="1" t="s">
        <v>45</v>
      </c>
      <c r="AP196" s="1" t="s">
        <v>51</v>
      </c>
      <c r="AQ196" s="1" t="s">
        <v>51</v>
      </c>
      <c r="AR196" s="1" t="s">
        <v>45</v>
      </c>
      <c r="AT196" s="1" t="s">
        <v>1528</v>
      </c>
      <c r="AW196" s="33" t="s">
        <v>1463</v>
      </c>
      <c r="AX196" s="3" t="s">
        <v>1528</v>
      </c>
      <c r="AY196" s="3"/>
      <c r="AZ196" s="1">
        <v>4</v>
      </c>
      <c r="BA196" s="1" t="s">
        <v>1529</v>
      </c>
      <c r="BB196" s="1" t="s">
        <v>1530</v>
      </c>
      <c r="BC196" s="1" t="s">
        <v>1531</v>
      </c>
      <c r="BD196" s="1" t="s">
        <v>2088</v>
      </c>
      <c r="BE196" s="1" t="s">
        <v>1603</v>
      </c>
      <c r="BF196" s="1" t="s">
        <v>1534</v>
      </c>
      <c r="BG196" s="1" t="s">
        <v>45</v>
      </c>
      <c r="BH196" s="1" t="s">
        <v>46</v>
      </c>
      <c r="BI196" s="1" t="s">
        <v>1535</v>
      </c>
      <c r="BJ196" s="1" t="s">
        <v>51</v>
      </c>
      <c r="BK196" s="1" t="s">
        <v>1549</v>
      </c>
      <c r="BL196" s="32">
        <v>45381</v>
      </c>
      <c r="BM196" s="1" t="s">
        <v>1073</v>
      </c>
      <c r="BO196" s="1" t="s">
        <v>1537</v>
      </c>
      <c r="BP196" s="1" t="s">
        <v>1538</v>
      </c>
      <c r="BQ196" s="1" t="s">
        <v>1539</v>
      </c>
      <c r="BR196" s="1" t="s">
        <v>1552</v>
      </c>
      <c r="BS196" s="1" t="s">
        <v>1658</v>
      </c>
      <c r="BU196" s="1" t="s">
        <v>51</v>
      </c>
      <c r="BV196" s="1" t="s">
        <v>1541</v>
      </c>
      <c r="BW196" s="1" t="s">
        <v>1542</v>
      </c>
      <c r="CA196" s="1" t="s">
        <v>45</v>
      </c>
      <c r="CB196" s="1" t="s">
        <v>45</v>
      </c>
      <c r="CI196" s="1" t="s">
        <v>2089</v>
      </c>
      <c r="CJ196" s="1" t="s">
        <v>51</v>
      </c>
      <c r="CK196" s="32">
        <v>45383</v>
      </c>
      <c r="CL196" s="1" t="s">
        <v>45</v>
      </c>
      <c r="DH196" s="1" t="s">
        <v>45</v>
      </c>
      <c r="DM196" s="1" t="s">
        <v>45</v>
      </c>
      <c r="DO196" s="1" t="s">
        <v>45</v>
      </c>
      <c r="DQ196" s="1" t="s">
        <v>45</v>
      </c>
      <c r="DT196" s="32">
        <v>45396</v>
      </c>
      <c r="DU196" s="1" t="s">
        <v>1543</v>
      </c>
      <c r="DV196" s="1">
        <v>0.62417871222076204</v>
      </c>
      <c r="DW196" s="1" t="s">
        <v>45</v>
      </c>
      <c r="DY196" s="32">
        <v>45812</v>
      </c>
      <c r="DZ196" s="1" t="s">
        <v>1544</v>
      </c>
    </row>
    <row r="197" spans="1:130" ht="15.75" customHeight="1" x14ac:dyDescent="0.2">
      <c r="A197" s="8" t="s">
        <v>1080</v>
      </c>
      <c r="B197" s="32">
        <v>26268</v>
      </c>
      <c r="C197" s="32">
        <v>45083</v>
      </c>
      <c r="D197" s="1">
        <v>51.513720336488703</v>
      </c>
      <c r="E197" s="1" t="s">
        <v>1523</v>
      </c>
      <c r="F197" s="1" t="s">
        <v>1524</v>
      </c>
      <c r="G197" s="1" t="s">
        <v>1574</v>
      </c>
      <c r="H197" s="1" t="s">
        <v>51</v>
      </c>
      <c r="I197" s="1">
        <v>1.7350000000000001</v>
      </c>
      <c r="J197" s="1" t="s">
        <v>51</v>
      </c>
      <c r="K197" s="1">
        <v>68.8</v>
      </c>
      <c r="L197" s="1">
        <v>22.855434394438898</v>
      </c>
      <c r="M197" s="1" t="s">
        <v>45</v>
      </c>
      <c r="N197" s="1" t="s">
        <v>45</v>
      </c>
      <c r="O197" s="1" t="s">
        <v>45</v>
      </c>
      <c r="P197" s="1" t="s">
        <v>45</v>
      </c>
      <c r="Q197" s="1" t="s">
        <v>45</v>
      </c>
      <c r="R197" s="1" t="s">
        <v>45</v>
      </c>
      <c r="S197" s="1" t="s">
        <v>45</v>
      </c>
      <c r="T197" s="1" t="s">
        <v>45</v>
      </c>
      <c r="U197" s="1" t="s">
        <v>45</v>
      </c>
      <c r="V197" s="1" t="s">
        <v>45</v>
      </c>
      <c r="W197" s="1" t="s">
        <v>45</v>
      </c>
      <c r="X197" s="1" t="s">
        <v>45</v>
      </c>
      <c r="Y197" s="1" t="s">
        <v>45</v>
      </c>
      <c r="Z197" s="1" t="s">
        <v>45</v>
      </c>
      <c r="AA197" s="1" t="s">
        <v>45</v>
      </c>
      <c r="AB197" s="1" t="s">
        <v>45</v>
      </c>
      <c r="AC197" s="1" t="s">
        <v>45</v>
      </c>
      <c r="AD197" s="1" t="s">
        <v>45</v>
      </c>
      <c r="AE197" s="1" t="s">
        <v>45</v>
      </c>
      <c r="AF197" s="32">
        <v>45386</v>
      </c>
      <c r="AG197" s="1">
        <v>52.3433061596062</v>
      </c>
      <c r="AH197" s="1" t="s">
        <v>1526</v>
      </c>
      <c r="AI197" s="1" t="s">
        <v>1527</v>
      </c>
      <c r="AJ197" s="1" t="s">
        <v>45</v>
      </c>
      <c r="AK197" s="1" t="s">
        <v>51</v>
      </c>
      <c r="AL197" s="1" t="s">
        <v>45</v>
      </c>
      <c r="AM197" s="1" t="s">
        <v>45</v>
      </c>
      <c r="AN197" s="1" t="s">
        <v>45</v>
      </c>
      <c r="AO197" s="1" t="s">
        <v>45</v>
      </c>
      <c r="AP197" s="1" t="s">
        <v>45</v>
      </c>
      <c r="AQ197" s="1" t="s">
        <v>45</v>
      </c>
      <c r="AR197" s="1" t="s">
        <v>45</v>
      </c>
      <c r="AT197" s="1" t="s">
        <v>1546</v>
      </c>
      <c r="AV197" s="1" t="s">
        <v>1889</v>
      </c>
      <c r="AW197" s="33" t="s">
        <v>1464</v>
      </c>
      <c r="AX197" s="3"/>
      <c r="AY197" s="33" t="s">
        <v>1889</v>
      </c>
      <c r="BB197" s="1" t="s">
        <v>1530</v>
      </c>
      <c r="BC197" s="1" t="s">
        <v>1531</v>
      </c>
      <c r="BD197" s="1" t="s">
        <v>1532</v>
      </c>
      <c r="BE197" s="1" t="s">
        <v>1525</v>
      </c>
      <c r="BG197" s="1" t="s">
        <v>45</v>
      </c>
      <c r="BH197" s="1" t="s">
        <v>68</v>
      </c>
      <c r="BI197" s="1" t="s">
        <v>1535</v>
      </c>
      <c r="BJ197" s="1" t="s">
        <v>45</v>
      </c>
      <c r="BK197" s="1" t="s">
        <v>1549</v>
      </c>
      <c r="BL197" s="32">
        <v>45386</v>
      </c>
      <c r="BM197" s="1" t="s">
        <v>1081</v>
      </c>
      <c r="BO197" s="1" t="s">
        <v>1537</v>
      </c>
      <c r="BP197" s="1" t="s">
        <v>1538</v>
      </c>
      <c r="BQ197" s="1" t="s">
        <v>1647</v>
      </c>
      <c r="BR197" s="1" t="s">
        <v>1540</v>
      </c>
      <c r="BS197" s="1" t="s">
        <v>106</v>
      </c>
      <c r="BU197" s="1" t="s">
        <v>45</v>
      </c>
      <c r="BW197" s="1" t="s">
        <v>1542</v>
      </c>
      <c r="CA197" s="1" t="s">
        <v>45</v>
      </c>
      <c r="CB197" s="1" t="s">
        <v>45</v>
      </c>
      <c r="CJ197" s="1" t="s">
        <v>45</v>
      </c>
      <c r="DH197" s="1" t="s">
        <v>45</v>
      </c>
      <c r="DM197" s="1" t="s">
        <v>45</v>
      </c>
      <c r="DO197" s="1" t="s">
        <v>45</v>
      </c>
      <c r="DQ197" s="1" t="s">
        <v>45</v>
      </c>
      <c r="DT197" s="32">
        <v>45678</v>
      </c>
      <c r="DU197" s="1" t="s">
        <v>1598</v>
      </c>
      <c r="DV197" s="1">
        <v>9.5926412614980201</v>
      </c>
      <c r="DW197" s="1" t="s">
        <v>45</v>
      </c>
      <c r="DY197" s="32">
        <v>45812</v>
      </c>
      <c r="DZ197" s="1" t="s">
        <v>1544</v>
      </c>
    </row>
    <row r="198" spans="1:130" ht="15.75" customHeight="1" x14ac:dyDescent="0.2">
      <c r="A198" s="8" t="s">
        <v>665</v>
      </c>
      <c r="B198" s="32">
        <v>33744</v>
      </c>
      <c r="C198" s="32">
        <v>45382</v>
      </c>
      <c r="D198" s="1">
        <v>31.863761747332202</v>
      </c>
      <c r="E198" s="1" t="s">
        <v>1523</v>
      </c>
      <c r="F198" s="1" t="s">
        <v>1524</v>
      </c>
      <c r="G198" s="1" t="s">
        <v>1574</v>
      </c>
      <c r="H198" s="1" t="s">
        <v>51</v>
      </c>
      <c r="I198" s="1">
        <v>1.74</v>
      </c>
      <c r="J198" s="1" t="s">
        <v>51</v>
      </c>
      <c r="K198" s="1">
        <v>74.2</v>
      </c>
      <c r="L198" s="1">
        <v>24.507861012022701</v>
      </c>
      <c r="M198" s="1" t="s">
        <v>45</v>
      </c>
      <c r="N198" s="1" t="s">
        <v>45</v>
      </c>
      <c r="O198" s="1" t="s">
        <v>45</v>
      </c>
      <c r="P198" s="1" t="s">
        <v>45</v>
      </c>
      <c r="Q198" s="1" t="s">
        <v>45</v>
      </c>
      <c r="R198" s="1" t="s">
        <v>45</v>
      </c>
      <c r="S198" s="1" t="s">
        <v>45</v>
      </c>
      <c r="T198" s="1" t="s">
        <v>45</v>
      </c>
      <c r="U198" s="1" t="s">
        <v>45</v>
      </c>
      <c r="V198" s="1" t="s">
        <v>45</v>
      </c>
      <c r="W198" s="1" t="s">
        <v>45</v>
      </c>
      <c r="X198" s="1" t="s">
        <v>45</v>
      </c>
      <c r="Y198" s="1" t="s">
        <v>45</v>
      </c>
      <c r="Z198" s="1" t="s">
        <v>45</v>
      </c>
      <c r="AA198" s="1" t="s">
        <v>45</v>
      </c>
      <c r="AB198" s="1" t="s">
        <v>45</v>
      </c>
      <c r="AC198" s="1" t="s">
        <v>45</v>
      </c>
      <c r="AD198" s="1" t="s">
        <v>45</v>
      </c>
      <c r="AE198" s="1" t="s">
        <v>45</v>
      </c>
      <c r="AF198" s="32">
        <v>45390</v>
      </c>
      <c r="AG198" s="1">
        <v>31.885665003388102</v>
      </c>
      <c r="AH198" s="1" t="s">
        <v>1526</v>
      </c>
      <c r="AI198" s="1" t="s">
        <v>1618</v>
      </c>
      <c r="AJ198" s="1" t="s">
        <v>45</v>
      </c>
      <c r="AK198" s="1" t="s">
        <v>45</v>
      </c>
      <c r="AL198" s="1" t="s">
        <v>51</v>
      </c>
      <c r="AM198" s="1" t="s">
        <v>51</v>
      </c>
      <c r="AN198" s="1" t="s">
        <v>45</v>
      </c>
      <c r="AO198" s="1" t="s">
        <v>51</v>
      </c>
      <c r="AP198" s="1" t="s">
        <v>51</v>
      </c>
      <c r="AQ198" s="1" t="s">
        <v>45</v>
      </c>
      <c r="AR198" s="1" t="s">
        <v>45</v>
      </c>
      <c r="AT198" s="1" t="s">
        <v>1560</v>
      </c>
      <c r="AW198" s="33" t="s">
        <v>1464</v>
      </c>
      <c r="AX198" s="3"/>
      <c r="AY198" s="3" t="s">
        <v>1560</v>
      </c>
      <c r="AZ198" s="1">
        <v>2</v>
      </c>
      <c r="BA198" s="1" t="s">
        <v>1821</v>
      </c>
      <c r="BB198" s="1" t="s">
        <v>1567</v>
      </c>
      <c r="BC198" s="1" t="s">
        <v>1531</v>
      </c>
      <c r="BD198" s="1" t="s">
        <v>1822</v>
      </c>
      <c r="BE198" s="1" t="s">
        <v>1603</v>
      </c>
      <c r="BF198" s="1" t="s">
        <v>1534</v>
      </c>
      <c r="BG198" s="1" t="s">
        <v>45</v>
      </c>
      <c r="BH198" s="1" t="s">
        <v>1525</v>
      </c>
      <c r="BI198" s="1" t="s">
        <v>1599</v>
      </c>
      <c r="BJ198" s="1" t="s">
        <v>45</v>
      </c>
      <c r="BK198" s="1" t="s">
        <v>1536</v>
      </c>
      <c r="BL198" s="32">
        <v>45390</v>
      </c>
      <c r="BM198" s="1" t="s">
        <v>666</v>
      </c>
      <c r="BO198" s="1" t="s">
        <v>1537</v>
      </c>
      <c r="BP198" s="1" t="s">
        <v>1538</v>
      </c>
      <c r="BQ198" s="1" t="s">
        <v>1539</v>
      </c>
      <c r="BR198" s="1" t="s">
        <v>1540</v>
      </c>
      <c r="BS198" s="1" t="s">
        <v>43</v>
      </c>
      <c r="BU198" s="1" t="s">
        <v>45</v>
      </c>
      <c r="BW198" s="1" t="s">
        <v>1542</v>
      </c>
      <c r="CA198" s="1" t="s">
        <v>45</v>
      </c>
      <c r="CB198" s="1" t="s">
        <v>45</v>
      </c>
      <c r="CG198" s="1" t="s">
        <v>2090</v>
      </c>
      <c r="CJ198" s="1" t="s">
        <v>51</v>
      </c>
      <c r="CK198" s="32">
        <v>45531</v>
      </c>
      <c r="CL198" s="1" t="s">
        <v>51</v>
      </c>
      <c r="CM198" s="32">
        <v>45570</v>
      </c>
      <c r="CN198" s="1">
        <v>0.49282326125793102</v>
      </c>
      <c r="CO198" s="1" t="s">
        <v>1537</v>
      </c>
      <c r="CP198" s="1" t="s">
        <v>1566</v>
      </c>
      <c r="CQ198" s="1" t="s">
        <v>1539</v>
      </c>
      <c r="CR198" s="1" t="s">
        <v>1540</v>
      </c>
      <c r="CS198" s="1" t="s">
        <v>43</v>
      </c>
      <c r="CT198" s="1" t="s">
        <v>1560</v>
      </c>
      <c r="CW198" s="1">
        <v>4</v>
      </c>
      <c r="CX198" s="1" t="s">
        <v>1529</v>
      </c>
      <c r="CY198" s="1" t="s">
        <v>1567</v>
      </c>
      <c r="CZ198" s="1" t="s">
        <v>1531</v>
      </c>
      <c r="DA198" s="1" t="s">
        <v>1822</v>
      </c>
      <c r="DB198" s="1" t="s">
        <v>1603</v>
      </c>
      <c r="DC198" s="1" t="s">
        <v>1534</v>
      </c>
      <c r="DD198" s="1" t="s">
        <v>45</v>
      </c>
      <c r="DE198" s="1" t="s">
        <v>46</v>
      </c>
      <c r="DF198" s="1" t="s">
        <v>46</v>
      </c>
      <c r="DG198" s="1" t="s">
        <v>51</v>
      </c>
      <c r="DH198" s="1" t="s">
        <v>51</v>
      </c>
      <c r="DI198" s="1" t="s">
        <v>2091</v>
      </c>
      <c r="DJ198" s="32">
        <v>45719</v>
      </c>
      <c r="DM198" s="1" t="s">
        <v>51</v>
      </c>
      <c r="DN198" s="1" t="s">
        <v>2092</v>
      </c>
      <c r="DO198" s="1" t="s">
        <v>45</v>
      </c>
      <c r="DQ198" s="1" t="s">
        <v>45</v>
      </c>
      <c r="DT198" s="32">
        <v>45723</v>
      </c>
      <c r="DU198" s="1" t="s">
        <v>1598</v>
      </c>
      <c r="DV198" s="1">
        <v>10.939553219447999</v>
      </c>
      <c r="DW198" s="1" t="s">
        <v>45</v>
      </c>
      <c r="DY198" s="32">
        <v>45806</v>
      </c>
      <c r="DZ198" s="1" t="s">
        <v>1544</v>
      </c>
    </row>
    <row r="199" spans="1:130" ht="15.75" customHeight="1" x14ac:dyDescent="0.2">
      <c r="A199" s="8" t="s">
        <v>667</v>
      </c>
      <c r="B199" s="32">
        <v>24380</v>
      </c>
      <c r="C199" s="32">
        <v>42741</v>
      </c>
      <c r="D199" s="1">
        <v>50.270710555315901</v>
      </c>
      <c r="E199" s="1" t="s">
        <v>1587</v>
      </c>
      <c r="F199" s="1" t="s">
        <v>1524</v>
      </c>
      <c r="G199" s="1" t="s">
        <v>1574</v>
      </c>
      <c r="H199" s="1" t="s">
        <v>51</v>
      </c>
      <c r="I199" s="1">
        <v>1.5</v>
      </c>
      <c r="J199" s="1" t="s">
        <v>51</v>
      </c>
      <c r="K199" s="1">
        <v>66.5</v>
      </c>
      <c r="L199" s="1">
        <v>29.5555555555555</v>
      </c>
      <c r="M199" s="1" t="s">
        <v>45</v>
      </c>
      <c r="N199" s="1" t="s">
        <v>45</v>
      </c>
      <c r="O199" s="1" t="s">
        <v>45</v>
      </c>
      <c r="P199" s="1" t="s">
        <v>45</v>
      </c>
      <c r="Q199" s="1" t="s">
        <v>45</v>
      </c>
      <c r="R199" s="1" t="s">
        <v>45</v>
      </c>
      <c r="S199" s="1" t="s">
        <v>45</v>
      </c>
      <c r="T199" s="1" t="s">
        <v>45</v>
      </c>
      <c r="U199" s="1" t="s">
        <v>45</v>
      </c>
      <c r="V199" s="1" t="s">
        <v>45</v>
      </c>
      <c r="W199" s="1" t="s">
        <v>45</v>
      </c>
      <c r="X199" s="1" t="s">
        <v>45</v>
      </c>
      <c r="Y199" s="1" t="s">
        <v>45</v>
      </c>
      <c r="Z199" s="1" t="s">
        <v>45</v>
      </c>
      <c r="AA199" s="1" t="s">
        <v>45</v>
      </c>
      <c r="AB199" s="1" t="s">
        <v>45</v>
      </c>
      <c r="AC199" s="1" t="s">
        <v>45</v>
      </c>
      <c r="AD199" s="1" t="s">
        <v>45</v>
      </c>
      <c r="AE199" s="1" t="s">
        <v>45</v>
      </c>
      <c r="AF199" s="32">
        <v>39638</v>
      </c>
      <c r="AG199" s="1">
        <v>41.774985112630603</v>
      </c>
      <c r="AH199" s="1" t="s">
        <v>1558</v>
      </c>
      <c r="AI199" s="1" t="s">
        <v>1527</v>
      </c>
      <c r="AJ199" s="1" t="s">
        <v>45</v>
      </c>
      <c r="AK199" s="1" t="s">
        <v>45</v>
      </c>
      <c r="AL199" s="1" t="s">
        <v>45</v>
      </c>
      <c r="AM199" s="1" t="s">
        <v>45</v>
      </c>
      <c r="AN199" s="1" t="s">
        <v>45</v>
      </c>
      <c r="AO199" s="1" t="s">
        <v>45</v>
      </c>
      <c r="AP199" s="1" t="s">
        <v>45</v>
      </c>
      <c r="AQ199" s="1" t="s">
        <v>45</v>
      </c>
      <c r="AR199" s="1" t="s">
        <v>45</v>
      </c>
      <c r="AT199" s="1" t="s">
        <v>1601</v>
      </c>
      <c r="AV199" s="1" t="s">
        <v>2093</v>
      </c>
      <c r="AW199" s="33" t="s">
        <v>1463</v>
      </c>
      <c r="AX199" s="3" t="s">
        <v>1601</v>
      </c>
      <c r="AY199" s="3"/>
      <c r="AZ199" s="1">
        <v>3</v>
      </c>
      <c r="BA199" s="1" t="s">
        <v>1978</v>
      </c>
      <c r="BB199" s="1" t="s">
        <v>1567</v>
      </c>
      <c r="BC199" s="1" t="s">
        <v>1602</v>
      </c>
      <c r="BD199" s="1" t="s">
        <v>1990</v>
      </c>
      <c r="BE199" s="1" t="s">
        <v>1525</v>
      </c>
      <c r="BG199" s="1" t="s">
        <v>45</v>
      </c>
      <c r="BH199" s="1" t="s">
        <v>46</v>
      </c>
      <c r="BI199" s="1" t="s">
        <v>1535</v>
      </c>
      <c r="BJ199" s="1" t="s">
        <v>45</v>
      </c>
      <c r="BK199" s="1" t="s">
        <v>1536</v>
      </c>
      <c r="BL199" s="32">
        <v>39638</v>
      </c>
      <c r="BO199" s="1" t="s">
        <v>1537</v>
      </c>
      <c r="BP199" s="1" t="s">
        <v>1538</v>
      </c>
      <c r="BQ199" s="1" t="s">
        <v>1539</v>
      </c>
      <c r="BR199" s="1" t="s">
        <v>1552</v>
      </c>
      <c r="BS199" s="1" t="s">
        <v>50</v>
      </c>
      <c r="BU199" s="1" t="s">
        <v>45</v>
      </c>
      <c r="BW199" s="1" t="s">
        <v>1563</v>
      </c>
      <c r="BX199" s="32">
        <v>39673</v>
      </c>
      <c r="BY199" s="1">
        <v>12</v>
      </c>
      <c r="BZ199" s="1" t="s">
        <v>2094</v>
      </c>
      <c r="CA199" s="1" t="s">
        <v>45</v>
      </c>
      <c r="CB199" s="1" t="s">
        <v>45</v>
      </c>
      <c r="CI199" s="1" t="s">
        <v>2095</v>
      </c>
      <c r="CJ199" s="1" t="s">
        <v>51</v>
      </c>
      <c r="CK199" s="32">
        <v>45391</v>
      </c>
      <c r="CL199" s="1" t="s">
        <v>51</v>
      </c>
      <c r="CM199" s="32">
        <v>45391</v>
      </c>
      <c r="CN199" s="1">
        <v>15.751179011204799</v>
      </c>
      <c r="CO199" s="1" t="s">
        <v>1537</v>
      </c>
      <c r="CP199" s="1" t="s">
        <v>1796</v>
      </c>
      <c r="CQ199" s="1" t="s">
        <v>1539</v>
      </c>
      <c r="CR199" s="1" t="s">
        <v>1552</v>
      </c>
      <c r="CS199" s="1" t="s">
        <v>50</v>
      </c>
      <c r="CT199" s="1" t="s">
        <v>1601</v>
      </c>
      <c r="CV199" s="1" t="s">
        <v>1989</v>
      </c>
      <c r="CW199" s="1">
        <v>3</v>
      </c>
      <c r="CX199" s="1" t="s">
        <v>1978</v>
      </c>
      <c r="CY199" s="1" t="s">
        <v>1567</v>
      </c>
      <c r="CZ199" s="1" t="s">
        <v>1602</v>
      </c>
      <c r="DA199" s="1" t="s">
        <v>1990</v>
      </c>
      <c r="DB199" s="1" t="s">
        <v>1525</v>
      </c>
      <c r="DD199" s="1" t="s">
        <v>45</v>
      </c>
      <c r="DE199" s="1" t="s">
        <v>46</v>
      </c>
      <c r="DF199" s="1" t="s">
        <v>68</v>
      </c>
      <c r="DG199" s="1" t="s">
        <v>45</v>
      </c>
      <c r="DH199" s="1" t="s">
        <v>51</v>
      </c>
      <c r="DI199" s="1" t="s">
        <v>2096</v>
      </c>
      <c r="DJ199" s="32">
        <v>45590</v>
      </c>
      <c r="DK199" s="1" t="s">
        <v>1631</v>
      </c>
      <c r="DM199" s="1" t="s">
        <v>51</v>
      </c>
      <c r="DN199" s="1" t="s">
        <v>2097</v>
      </c>
      <c r="DO199" s="1" t="s">
        <v>45</v>
      </c>
      <c r="DQ199" s="1" t="s">
        <v>45</v>
      </c>
      <c r="DT199" s="32">
        <v>45792</v>
      </c>
      <c r="DU199" s="1" t="s">
        <v>1598</v>
      </c>
      <c r="DV199" s="1">
        <v>202.168199737187</v>
      </c>
      <c r="DW199" s="1" t="s">
        <v>51</v>
      </c>
      <c r="DX199" s="1" t="s">
        <v>2098</v>
      </c>
      <c r="DY199" s="32">
        <v>45810</v>
      </c>
      <c r="DZ199" s="1" t="s">
        <v>1544</v>
      </c>
    </row>
    <row r="200" spans="1:130" ht="15.75" customHeight="1" x14ac:dyDescent="0.2">
      <c r="A200" s="8" t="s">
        <v>1082</v>
      </c>
      <c r="B200" s="32">
        <v>32843</v>
      </c>
      <c r="C200" s="32">
        <v>45428</v>
      </c>
      <c r="D200" s="1">
        <v>34.456559682950299</v>
      </c>
      <c r="E200" s="1" t="s">
        <v>1587</v>
      </c>
      <c r="F200" s="1" t="s">
        <v>1524</v>
      </c>
      <c r="G200" s="1" t="s">
        <v>1574</v>
      </c>
      <c r="H200" s="1" t="s">
        <v>51</v>
      </c>
      <c r="I200" s="1">
        <v>1.6</v>
      </c>
      <c r="J200" s="1" t="s">
        <v>51</v>
      </c>
      <c r="K200" s="1">
        <v>59.5</v>
      </c>
      <c r="L200" s="1">
        <v>23.242187499999901</v>
      </c>
      <c r="M200" s="1" t="s">
        <v>45</v>
      </c>
      <c r="N200" s="1" t="s">
        <v>45</v>
      </c>
      <c r="O200" s="1" t="s">
        <v>45</v>
      </c>
      <c r="P200" s="1" t="s">
        <v>45</v>
      </c>
      <c r="Q200" s="1" t="s">
        <v>45</v>
      </c>
      <c r="R200" s="1" t="s">
        <v>45</v>
      </c>
      <c r="S200" s="1" t="s">
        <v>45</v>
      </c>
      <c r="T200" s="1" t="s">
        <v>45</v>
      </c>
      <c r="U200" s="1" t="s">
        <v>45</v>
      </c>
      <c r="V200" s="1" t="s">
        <v>45</v>
      </c>
      <c r="W200" s="1" t="s">
        <v>45</v>
      </c>
      <c r="X200" s="1" t="s">
        <v>45</v>
      </c>
      <c r="Y200" s="1" t="s">
        <v>45</v>
      </c>
      <c r="Z200" s="1" t="s">
        <v>45</v>
      </c>
      <c r="AA200" s="1" t="s">
        <v>45</v>
      </c>
      <c r="AB200" s="1" t="s">
        <v>45</v>
      </c>
      <c r="AC200" s="1" t="s">
        <v>45</v>
      </c>
      <c r="AD200" s="1" t="s">
        <v>45</v>
      </c>
      <c r="AE200" s="1" t="s">
        <v>45</v>
      </c>
      <c r="AF200" s="32">
        <v>45394</v>
      </c>
      <c r="AG200" s="1">
        <v>34.363470844712701</v>
      </c>
      <c r="AH200" s="1" t="s">
        <v>1526</v>
      </c>
      <c r="AI200" s="1" t="s">
        <v>1527</v>
      </c>
      <c r="AJ200" s="1" t="s">
        <v>45</v>
      </c>
      <c r="AK200" s="1" t="s">
        <v>51</v>
      </c>
      <c r="AL200" s="1" t="s">
        <v>45</v>
      </c>
      <c r="AM200" s="1" t="s">
        <v>45</v>
      </c>
      <c r="AN200" s="1" t="s">
        <v>45</v>
      </c>
      <c r="AO200" s="1" t="s">
        <v>45</v>
      </c>
      <c r="AP200" s="1" t="s">
        <v>45</v>
      </c>
      <c r="AQ200" s="1" t="s">
        <v>45</v>
      </c>
      <c r="AR200" s="1" t="s">
        <v>45</v>
      </c>
      <c r="AT200" s="1" t="s">
        <v>1560</v>
      </c>
      <c r="AV200" s="1" t="s">
        <v>2099</v>
      </c>
      <c r="AW200" s="33" t="s">
        <v>1463</v>
      </c>
      <c r="AX200" s="3" t="s">
        <v>1560</v>
      </c>
      <c r="AY200" s="3"/>
      <c r="AZ200" s="1">
        <v>4</v>
      </c>
      <c r="BA200" s="1" t="s">
        <v>1529</v>
      </c>
      <c r="BB200" s="1" t="s">
        <v>1567</v>
      </c>
      <c r="BC200" s="1" t="s">
        <v>1531</v>
      </c>
      <c r="BD200" s="1" t="s">
        <v>2100</v>
      </c>
      <c r="BE200" s="1" t="s">
        <v>1603</v>
      </c>
      <c r="BF200" s="1" t="s">
        <v>1534</v>
      </c>
      <c r="BG200" s="1" t="s">
        <v>45</v>
      </c>
      <c r="BH200" s="1" t="s">
        <v>46</v>
      </c>
      <c r="BI200" s="1" t="s">
        <v>1599</v>
      </c>
      <c r="BJ200" s="1" t="s">
        <v>51</v>
      </c>
      <c r="BK200" s="1" t="s">
        <v>1549</v>
      </c>
      <c r="BL200" s="32">
        <v>45394</v>
      </c>
      <c r="BM200" s="1" t="s">
        <v>1083</v>
      </c>
      <c r="BO200" s="1" t="s">
        <v>1537</v>
      </c>
      <c r="BP200" s="1" t="s">
        <v>1538</v>
      </c>
      <c r="BQ200" s="1" t="s">
        <v>1539</v>
      </c>
      <c r="BR200" s="1" t="s">
        <v>1552</v>
      </c>
      <c r="BS200" s="1" t="s">
        <v>106</v>
      </c>
      <c r="BU200" s="1" t="s">
        <v>51</v>
      </c>
      <c r="BV200" s="1" t="s">
        <v>1541</v>
      </c>
      <c r="BW200" s="1" t="s">
        <v>1563</v>
      </c>
      <c r="BX200" s="32">
        <v>45525</v>
      </c>
      <c r="BY200" s="1">
        <v>12</v>
      </c>
      <c r="BZ200" s="1" t="s">
        <v>2101</v>
      </c>
      <c r="CA200" s="1" t="s">
        <v>51</v>
      </c>
      <c r="CB200" s="1" t="s">
        <v>51</v>
      </c>
      <c r="CC200" s="32">
        <v>45440</v>
      </c>
      <c r="CD200" s="1">
        <v>59.4</v>
      </c>
      <c r="CE200" s="1">
        <v>33</v>
      </c>
      <c r="CJ200" s="1" t="s">
        <v>45</v>
      </c>
      <c r="DH200" s="1" t="s">
        <v>45</v>
      </c>
      <c r="DM200" s="1" t="s">
        <v>45</v>
      </c>
      <c r="DO200" s="1" t="s">
        <v>45</v>
      </c>
      <c r="DQ200" s="1" t="s">
        <v>45</v>
      </c>
      <c r="DT200" s="32">
        <v>45807</v>
      </c>
      <c r="DU200" s="1" t="s">
        <v>1598</v>
      </c>
      <c r="DV200" s="1">
        <v>13.567674113009099</v>
      </c>
      <c r="DW200" s="1" t="s">
        <v>45</v>
      </c>
      <c r="DY200" s="32">
        <v>45812</v>
      </c>
      <c r="DZ200" s="1" t="s">
        <v>1544</v>
      </c>
    </row>
    <row r="201" spans="1:130" ht="15.75" customHeight="1" x14ac:dyDescent="0.2">
      <c r="A201" s="8" t="s">
        <v>1088</v>
      </c>
      <c r="B201" s="32">
        <v>37266</v>
      </c>
      <c r="C201" s="32">
        <v>45393</v>
      </c>
      <c r="D201" s="1">
        <v>22.2509702457956</v>
      </c>
      <c r="E201" s="1" t="s">
        <v>1587</v>
      </c>
      <c r="F201" s="1" t="s">
        <v>1524</v>
      </c>
      <c r="G201" s="1" t="s">
        <v>1574</v>
      </c>
      <c r="H201" s="1" t="s">
        <v>51</v>
      </c>
      <c r="I201" s="1">
        <v>1.57</v>
      </c>
      <c r="J201" s="1" t="s">
        <v>51</v>
      </c>
      <c r="K201" s="1">
        <v>70</v>
      </c>
      <c r="L201" s="1">
        <v>28.398718000730199</v>
      </c>
      <c r="M201" s="1" t="s">
        <v>45</v>
      </c>
      <c r="N201" s="1" t="s">
        <v>45</v>
      </c>
      <c r="O201" s="1" t="s">
        <v>45</v>
      </c>
      <c r="P201" s="1" t="s">
        <v>45</v>
      </c>
      <c r="Q201" s="1" t="s">
        <v>45</v>
      </c>
      <c r="R201" s="1" t="s">
        <v>45</v>
      </c>
      <c r="S201" s="1" t="s">
        <v>45</v>
      </c>
      <c r="T201" s="1" t="s">
        <v>45</v>
      </c>
      <c r="U201" s="1" t="s">
        <v>45</v>
      </c>
      <c r="V201" s="1" t="s">
        <v>45</v>
      </c>
      <c r="W201" s="1" t="s">
        <v>45</v>
      </c>
      <c r="X201" s="1" t="s">
        <v>45</v>
      </c>
      <c r="Z201" s="1" t="s">
        <v>45</v>
      </c>
      <c r="AA201" s="1" t="s">
        <v>45</v>
      </c>
      <c r="AB201" s="1" t="s">
        <v>45</v>
      </c>
      <c r="AC201" s="1" t="s">
        <v>45</v>
      </c>
      <c r="AD201" s="1" t="s">
        <v>45</v>
      </c>
      <c r="AE201" s="1" t="s">
        <v>45</v>
      </c>
      <c r="AF201" s="32">
        <v>45031</v>
      </c>
      <c r="AG201" s="1">
        <v>21.259847909265702</v>
      </c>
      <c r="AH201" s="1" t="s">
        <v>1526</v>
      </c>
      <c r="AI201" s="1" t="s">
        <v>1527</v>
      </c>
      <c r="AJ201" s="1" t="s">
        <v>45</v>
      </c>
      <c r="AK201" s="1" t="s">
        <v>45</v>
      </c>
      <c r="AL201" s="1" t="s">
        <v>45</v>
      </c>
      <c r="AM201" s="1" t="s">
        <v>51</v>
      </c>
      <c r="AN201" s="1" t="s">
        <v>45</v>
      </c>
      <c r="AO201" s="1" t="s">
        <v>51</v>
      </c>
      <c r="AP201" s="1" t="s">
        <v>51</v>
      </c>
      <c r="AQ201" s="1" t="s">
        <v>45</v>
      </c>
      <c r="AR201" s="1" t="s">
        <v>45</v>
      </c>
      <c r="AT201" s="1" t="s">
        <v>1546</v>
      </c>
      <c r="AW201" s="33" t="s">
        <v>1463</v>
      </c>
      <c r="AX201" s="33" t="s">
        <v>1547</v>
      </c>
      <c r="AY201" s="3"/>
      <c r="AZ201" s="1">
        <v>3</v>
      </c>
      <c r="BA201" s="1" t="s">
        <v>1529</v>
      </c>
      <c r="BB201" s="1" t="s">
        <v>1530</v>
      </c>
      <c r="BC201" s="1" t="s">
        <v>1531</v>
      </c>
      <c r="BD201" s="1" t="s">
        <v>1532</v>
      </c>
      <c r="BE201" s="1" t="s">
        <v>1603</v>
      </c>
      <c r="BF201" s="1" t="s">
        <v>1534</v>
      </c>
      <c r="BG201" s="1" t="s">
        <v>45</v>
      </c>
      <c r="BH201" s="1" t="s">
        <v>46</v>
      </c>
      <c r="BI201" s="1" t="s">
        <v>1599</v>
      </c>
      <c r="BJ201" s="1" t="s">
        <v>51</v>
      </c>
      <c r="BK201" s="1" t="s">
        <v>1549</v>
      </c>
      <c r="BL201" s="32">
        <v>45024</v>
      </c>
      <c r="BM201" s="1" t="s">
        <v>2102</v>
      </c>
      <c r="BO201" s="1" t="s">
        <v>1537</v>
      </c>
      <c r="BP201" s="1" t="s">
        <v>1551</v>
      </c>
      <c r="BQ201" s="1" t="s">
        <v>1605</v>
      </c>
      <c r="BR201" s="1" t="s">
        <v>1540</v>
      </c>
      <c r="BS201" s="1" t="s">
        <v>1691</v>
      </c>
      <c r="BU201" s="1" t="s">
        <v>1525</v>
      </c>
      <c r="BW201" s="1" t="s">
        <v>1542</v>
      </c>
      <c r="CA201" s="1" t="s">
        <v>45</v>
      </c>
      <c r="CB201" s="1" t="s">
        <v>51</v>
      </c>
      <c r="CC201" s="32">
        <v>45122</v>
      </c>
      <c r="CD201" s="1">
        <v>54</v>
      </c>
      <c r="CE201" s="1">
        <v>33</v>
      </c>
      <c r="CJ201" s="1" t="s">
        <v>51</v>
      </c>
      <c r="CK201" s="32">
        <v>45391</v>
      </c>
      <c r="CL201" s="1" t="s">
        <v>51</v>
      </c>
      <c r="CM201" s="32">
        <v>45396</v>
      </c>
      <c r="CN201" s="1">
        <v>1.01850140659972</v>
      </c>
      <c r="CO201" s="1" t="s">
        <v>1537</v>
      </c>
      <c r="CP201" s="1" t="s">
        <v>1796</v>
      </c>
      <c r="CQ201" s="1" t="s">
        <v>1539</v>
      </c>
      <c r="CR201" s="1" t="s">
        <v>1540</v>
      </c>
      <c r="CS201" s="1" t="s">
        <v>1691</v>
      </c>
      <c r="CT201" s="1" t="s">
        <v>1560</v>
      </c>
      <c r="CW201" s="1">
        <v>3</v>
      </c>
      <c r="CX201" s="1" t="s">
        <v>1978</v>
      </c>
      <c r="CY201" s="1" t="s">
        <v>1530</v>
      </c>
      <c r="CZ201" s="1" t="s">
        <v>1531</v>
      </c>
      <c r="DA201" s="1" t="s">
        <v>2088</v>
      </c>
      <c r="DB201" s="1" t="s">
        <v>1603</v>
      </c>
      <c r="DC201" s="1" t="s">
        <v>2103</v>
      </c>
      <c r="DD201" s="1" t="s">
        <v>45</v>
      </c>
      <c r="DE201" s="1" t="s">
        <v>46</v>
      </c>
      <c r="DF201" s="1" t="s">
        <v>46</v>
      </c>
      <c r="DG201" s="1" t="s">
        <v>51</v>
      </c>
      <c r="DH201" s="1" t="s">
        <v>51</v>
      </c>
      <c r="DI201" s="1" t="s">
        <v>2104</v>
      </c>
      <c r="DJ201" s="32">
        <v>45415</v>
      </c>
      <c r="DM201" s="1" t="s">
        <v>45</v>
      </c>
      <c r="DO201" s="1" t="s">
        <v>45</v>
      </c>
      <c r="DQ201" s="1" t="s">
        <v>45</v>
      </c>
      <c r="DT201" s="32">
        <v>45761</v>
      </c>
      <c r="DU201" s="1" t="s">
        <v>1598</v>
      </c>
      <c r="DV201" s="1">
        <v>23.981603153744999</v>
      </c>
      <c r="DW201" s="1" t="s">
        <v>45</v>
      </c>
      <c r="DY201" s="32">
        <v>45812</v>
      </c>
      <c r="DZ201" s="1" t="s">
        <v>1544</v>
      </c>
    </row>
    <row r="202" spans="1:130" ht="15.75" customHeight="1" x14ac:dyDescent="0.2">
      <c r="A202" s="8" t="s">
        <v>1092</v>
      </c>
      <c r="B202" s="32">
        <v>33329</v>
      </c>
      <c r="C202" s="32">
        <v>45390</v>
      </c>
      <c r="D202" s="1">
        <v>33.021896411288303</v>
      </c>
      <c r="E202" s="1" t="s">
        <v>1523</v>
      </c>
      <c r="F202" s="1" t="s">
        <v>1524</v>
      </c>
      <c r="G202" s="1" t="s">
        <v>1574</v>
      </c>
      <c r="H202" s="1" t="s">
        <v>51</v>
      </c>
      <c r="I202" s="1">
        <v>1.72</v>
      </c>
      <c r="J202" s="1" t="s">
        <v>51</v>
      </c>
      <c r="K202" s="1">
        <v>57.6</v>
      </c>
      <c r="L202" s="1">
        <v>19.4699837750135</v>
      </c>
      <c r="M202" s="1" t="s">
        <v>45</v>
      </c>
      <c r="N202" s="1" t="s">
        <v>45</v>
      </c>
      <c r="O202" s="1" t="s">
        <v>45</v>
      </c>
      <c r="P202" s="1" t="s">
        <v>45</v>
      </c>
      <c r="Q202" s="1" t="s">
        <v>45</v>
      </c>
      <c r="R202" s="1" t="s">
        <v>45</v>
      </c>
      <c r="S202" s="1" t="s">
        <v>45</v>
      </c>
      <c r="T202" s="1" t="s">
        <v>45</v>
      </c>
      <c r="U202" s="1" t="s">
        <v>45</v>
      </c>
      <c r="V202" s="1" t="s">
        <v>45</v>
      </c>
      <c r="W202" s="1" t="s">
        <v>45</v>
      </c>
      <c r="X202" s="1" t="s">
        <v>45</v>
      </c>
      <c r="Y202" s="1" t="s">
        <v>45</v>
      </c>
      <c r="Z202" s="1" t="s">
        <v>45</v>
      </c>
      <c r="AA202" s="1" t="s">
        <v>45</v>
      </c>
      <c r="AB202" s="1" t="s">
        <v>45</v>
      </c>
      <c r="AC202" s="1" t="s">
        <v>45</v>
      </c>
      <c r="AD202" s="1" t="s">
        <v>45</v>
      </c>
      <c r="AE202" s="1" t="s">
        <v>45</v>
      </c>
      <c r="AF202" s="32">
        <v>45397</v>
      </c>
      <c r="AG202" s="1">
        <v>33.0410617603373</v>
      </c>
      <c r="AH202" s="1" t="s">
        <v>1526</v>
      </c>
      <c r="AI202" s="1" t="s">
        <v>1527</v>
      </c>
      <c r="AJ202" s="1" t="s">
        <v>45</v>
      </c>
      <c r="AK202" s="1" t="s">
        <v>51</v>
      </c>
      <c r="AL202" s="1" t="s">
        <v>45</v>
      </c>
      <c r="AM202" s="1" t="s">
        <v>45</v>
      </c>
      <c r="AN202" s="1" t="s">
        <v>45</v>
      </c>
      <c r="AO202" s="1" t="s">
        <v>45</v>
      </c>
      <c r="AP202" s="1" t="s">
        <v>45</v>
      </c>
      <c r="AQ202" s="1" t="s">
        <v>45</v>
      </c>
      <c r="AR202" s="1" t="s">
        <v>45</v>
      </c>
      <c r="AT202" s="1" t="s">
        <v>1528</v>
      </c>
      <c r="AW202" s="33" t="s">
        <v>1463</v>
      </c>
      <c r="AX202" s="3" t="s">
        <v>1528</v>
      </c>
      <c r="AY202" s="3"/>
      <c r="AZ202" s="1">
        <v>4</v>
      </c>
      <c r="BA202" s="1" t="s">
        <v>1529</v>
      </c>
      <c r="BB202" s="1" t="s">
        <v>1530</v>
      </c>
      <c r="BC202" s="1" t="s">
        <v>1531</v>
      </c>
      <c r="BD202" s="1" t="s">
        <v>1532</v>
      </c>
      <c r="BE202" s="1" t="s">
        <v>1525</v>
      </c>
      <c r="BF202" s="1" t="s">
        <v>1534</v>
      </c>
      <c r="BG202" s="1" t="s">
        <v>51</v>
      </c>
      <c r="BH202" s="1" t="s">
        <v>46</v>
      </c>
      <c r="BI202" s="1" t="s">
        <v>1535</v>
      </c>
      <c r="BJ202" s="1" t="s">
        <v>45</v>
      </c>
      <c r="BK202" s="1" t="s">
        <v>1549</v>
      </c>
      <c r="BL202" s="32">
        <v>45397</v>
      </c>
      <c r="BM202" s="1" t="s">
        <v>1093</v>
      </c>
      <c r="BO202" s="1" t="s">
        <v>1537</v>
      </c>
      <c r="BP202" s="1" t="s">
        <v>1551</v>
      </c>
      <c r="BQ202" s="1" t="s">
        <v>1605</v>
      </c>
      <c r="BR202" s="1" t="s">
        <v>1552</v>
      </c>
      <c r="BS202" s="1" t="s">
        <v>50</v>
      </c>
      <c r="BU202" s="1" t="s">
        <v>45</v>
      </c>
      <c r="BW202" s="1" t="s">
        <v>1542</v>
      </c>
      <c r="CA202" s="1" t="s">
        <v>45</v>
      </c>
      <c r="CB202" s="1" t="s">
        <v>51</v>
      </c>
      <c r="CC202" s="32">
        <v>45428</v>
      </c>
      <c r="CD202" s="1">
        <v>59.4</v>
      </c>
      <c r="CE202" s="1">
        <v>33</v>
      </c>
      <c r="CF202" s="1" t="s">
        <v>2105</v>
      </c>
      <c r="CG202" s="1" t="s">
        <v>2106</v>
      </c>
      <c r="CJ202" s="1" t="s">
        <v>45</v>
      </c>
      <c r="DH202" s="1" t="s">
        <v>45</v>
      </c>
      <c r="DM202" s="1" t="s">
        <v>45</v>
      </c>
      <c r="DO202" s="1" t="s">
        <v>45</v>
      </c>
      <c r="DQ202" s="1" t="s">
        <v>45</v>
      </c>
      <c r="DT202" s="32">
        <v>45797</v>
      </c>
      <c r="DU202" s="1" t="s">
        <v>1598</v>
      </c>
      <c r="DV202" s="1">
        <v>13.140604467805501</v>
      </c>
      <c r="DW202" s="1" t="s">
        <v>45</v>
      </c>
      <c r="DY202" s="32">
        <v>45812</v>
      </c>
      <c r="DZ202" s="1" t="s">
        <v>1544</v>
      </c>
    </row>
    <row r="203" spans="1:130" ht="15.75" customHeight="1" x14ac:dyDescent="0.2">
      <c r="A203" s="8" t="s">
        <v>669</v>
      </c>
      <c r="B203" s="32">
        <v>31797</v>
      </c>
      <c r="C203" s="32">
        <v>45372</v>
      </c>
      <c r="D203" s="1">
        <v>37.167087619868902</v>
      </c>
      <c r="E203" s="1" t="s">
        <v>1523</v>
      </c>
      <c r="F203" s="1" t="s">
        <v>1524</v>
      </c>
      <c r="G203" s="1" t="s">
        <v>1574</v>
      </c>
      <c r="H203" s="1" t="s">
        <v>51</v>
      </c>
      <c r="I203" s="1">
        <v>1.79</v>
      </c>
      <c r="J203" s="1" t="s">
        <v>51</v>
      </c>
      <c r="K203" s="1">
        <v>86.2</v>
      </c>
      <c r="L203" s="1">
        <v>26.903030492181799</v>
      </c>
      <c r="M203" s="1" t="s">
        <v>45</v>
      </c>
      <c r="N203" s="1" t="s">
        <v>45</v>
      </c>
      <c r="O203" s="1" t="s">
        <v>45</v>
      </c>
      <c r="P203" s="1" t="s">
        <v>45</v>
      </c>
      <c r="Q203" s="1" t="s">
        <v>45</v>
      </c>
      <c r="R203" s="1" t="s">
        <v>45</v>
      </c>
      <c r="S203" s="1" t="s">
        <v>45</v>
      </c>
      <c r="T203" s="1" t="s">
        <v>45</v>
      </c>
      <c r="U203" s="1" t="s">
        <v>45</v>
      </c>
      <c r="V203" s="1" t="s">
        <v>45</v>
      </c>
      <c r="W203" s="1" t="s">
        <v>45</v>
      </c>
      <c r="X203" s="1" t="s">
        <v>45</v>
      </c>
      <c r="Y203" s="1" t="s">
        <v>45</v>
      </c>
      <c r="Z203" s="1" t="s">
        <v>45</v>
      </c>
      <c r="AA203" s="1" t="s">
        <v>45</v>
      </c>
      <c r="AB203" s="1" t="s">
        <v>45</v>
      </c>
      <c r="AC203" s="1" t="s">
        <v>45</v>
      </c>
      <c r="AD203" s="1" t="s">
        <v>45</v>
      </c>
      <c r="AE203" s="1" t="s">
        <v>45</v>
      </c>
      <c r="AF203" s="32">
        <v>42536</v>
      </c>
      <c r="AG203" s="1">
        <v>29.402383348049501</v>
      </c>
      <c r="AH203" s="1" t="s">
        <v>1526</v>
      </c>
      <c r="AI203" s="1" t="s">
        <v>1527</v>
      </c>
      <c r="AJ203" s="1" t="s">
        <v>45</v>
      </c>
      <c r="AK203" s="1" t="s">
        <v>51</v>
      </c>
      <c r="AL203" s="1" t="s">
        <v>45</v>
      </c>
      <c r="AM203" s="1" t="s">
        <v>45</v>
      </c>
      <c r="AN203" s="1" t="s">
        <v>45</v>
      </c>
      <c r="AO203" s="1" t="s">
        <v>45</v>
      </c>
      <c r="AP203" s="1" t="s">
        <v>45</v>
      </c>
      <c r="AQ203" s="1" t="s">
        <v>45</v>
      </c>
      <c r="AR203" s="1" t="s">
        <v>45</v>
      </c>
      <c r="AT203" s="1" t="s">
        <v>1601</v>
      </c>
      <c r="AW203" s="33" t="s">
        <v>1464</v>
      </c>
      <c r="AX203" s="3"/>
      <c r="AY203" s="3" t="s">
        <v>1601</v>
      </c>
      <c r="AZ203" s="1">
        <v>2</v>
      </c>
      <c r="BA203" s="1" t="s">
        <v>1821</v>
      </c>
      <c r="BB203" s="1" t="s">
        <v>1567</v>
      </c>
      <c r="BC203" s="1" t="s">
        <v>1602</v>
      </c>
      <c r="BD203" s="1" t="s">
        <v>1990</v>
      </c>
      <c r="BE203" s="1" t="s">
        <v>1525</v>
      </c>
      <c r="BG203" s="1" t="s">
        <v>45</v>
      </c>
      <c r="BH203" s="1" t="s">
        <v>46</v>
      </c>
      <c r="BI203" s="1" t="s">
        <v>1535</v>
      </c>
      <c r="BJ203" s="1" t="s">
        <v>45</v>
      </c>
      <c r="BK203" s="1" t="s">
        <v>1536</v>
      </c>
      <c r="BL203" s="32">
        <v>42536</v>
      </c>
      <c r="BO203" s="1" t="s">
        <v>1537</v>
      </c>
      <c r="BP203" s="1" t="s">
        <v>1538</v>
      </c>
      <c r="BQ203" s="1" t="s">
        <v>1539</v>
      </c>
      <c r="BR203" s="1" t="s">
        <v>1552</v>
      </c>
      <c r="BS203" s="1" t="s">
        <v>106</v>
      </c>
      <c r="BU203" s="1" t="s">
        <v>1525</v>
      </c>
      <c r="BW203" s="1" t="s">
        <v>1563</v>
      </c>
      <c r="BZ203" s="1" t="s">
        <v>2107</v>
      </c>
      <c r="CA203" s="1" t="s">
        <v>45</v>
      </c>
      <c r="CB203" s="1" t="s">
        <v>51</v>
      </c>
      <c r="CF203" s="1" t="s">
        <v>2107</v>
      </c>
      <c r="CJ203" s="1" t="s">
        <v>51</v>
      </c>
      <c r="CK203" s="32">
        <v>45372</v>
      </c>
      <c r="CL203" s="1" t="s">
        <v>51</v>
      </c>
      <c r="CM203" s="32">
        <v>45404</v>
      </c>
      <c r="CN203" s="1">
        <v>7.8523172960430401</v>
      </c>
      <c r="CO203" s="1" t="s">
        <v>1537</v>
      </c>
      <c r="CP203" s="1" t="s">
        <v>1796</v>
      </c>
      <c r="CQ203" s="1" t="s">
        <v>1539</v>
      </c>
      <c r="CR203" s="1" t="s">
        <v>1552</v>
      </c>
      <c r="CS203" s="1" t="s">
        <v>106</v>
      </c>
      <c r="CT203" s="1" t="s">
        <v>1601</v>
      </c>
      <c r="CW203" s="1">
        <v>3</v>
      </c>
      <c r="CX203" s="1" t="s">
        <v>1978</v>
      </c>
      <c r="CY203" s="1" t="s">
        <v>1567</v>
      </c>
      <c r="CZ203" s="1" t="s">
        <v>1602</v>
      </c>
      <c r="DA203" s="1" t="s">
        <v>1990</v>
      </c>
      <c r="DB203" s="1" t="s">
        <v>1525</v>
      </c>
      <c r="DD203" s="1" t="s">
        <v>45</v>
      </c>
      <c r="DE203" s="1" t="s">
        <v>46</v>
      </c>
      <c r="DF203" s="1" t="s">
        <v>68</v>
      </c>
      <c r="DG203" s="1" t="s">
        <v>45</v>
      </c>
      <c r="DH203" s="1" t="s">
        <v>51</v>
      </c>
      <c r="DI203" s="1" t="s">
        <v>2108</v>
      </c>
      <c r="DJ203" s="32">
        <v>45394</v>
      </c>
      <c r="DM203" s="1" t="s">
        <v>45</v>
      </c>
      <c r="DO203" s="1" t="s">
        <v>45</v>
      </c>
      <c r="DQ203" s="1" t="s">
        <v>45</v>
      </c>
      <c r="DT203" s="32">
        <v>45786</v>
      </c>
      <c r="DU203" s="1" t="s">
        <v>1598</v>
      </c>
      <c r="DV203" s="1">
        <v>106.76741130091899</v>
      </c>
      <c r="DW203" s="1" t="s">
        <v>45</v>
      </c>
      <c r="DY203" s="32">
        <v>45810</v>
      </c>
      <c r="DZ203" s="1" t="s">
        <v>1544</v>
      </c>
    </row>
    <row r="204" spans="1:130" ht="15.75" customHeight="1" x14ac:dyDescent="0.2">
      <c r="A204" s="8" t="s">
        <v>1100</v>
      </c>
      <c r="B204" s="32">
        <v>25508</v>
      </c>
      <c r="C204" s="32">
        <v>45401</v>
      </c>
      <c r="D204" s="1">
        <v>54.465184090022298</v>
      </c>
      <c r="E204" s="1" t="s">
        <v>1587</v>
      </c>
      <c r="F204" s="1" t="s">
        <v>1524</v>
      </c>
      <c r="G204" s="1" t="s">
        <v>1574</v>
      </c>
      <c r="H204" s="1" t="s">
        <v>51</v>
      </c>
      <c r="I204" s="1">
        <v>1.72</v>
      </c>
      <c r="J204" s="1" t="s">
        <v>51</v>
      </c>
      <c r="K204" s="1">
        <v>67.2</v>
      </c>
      <c r="L204" s="1">
        <v>22.714981070849099</v>
      </c>
      <c r="M204" s="1" t="s">
        <v>45</v>
      </c>
      <c r="N204" s="1" t="s">
        <v>45</v>
      </c>
      <c r="O204" s="1" t="s">
        <v>45</v>
      </c>
      <c r="P204" s="1" t="s">
        <v>45</v>
      </c>
      <c r="Q204" s="1" t="s">
        <v>45</v>
      </c>
      <c r="R204" s="1" t="s">
        <v>45</v>
      </c>
      <c r="S204" s="1" t="s">
        <v>45</v>
      </c>
      <c r="T204" s="1" t="s">
        <v>45</v>
      </c>
      <c r="U204" s="1" t="s">
        <v>45</v>
      </c>
      <c r="V204" s="1" t="s">
        <v>45</v>
      </c>
      <c r="W204" s="1" t="s">
        <v>45</v>
      </c>
      <c r="X204" s="1" t="s">
        <v>45</v>
      </c>
      <c r="Y204" s="1" t="s">
        <v>45</v>
      </c>
      <c r="Z204" s="1" t="s">
        <v>45</v>
      </c>
      <c r="AA204" s="1" t="s">
        <v>45</v>
      </c>
      <c r="AB204" s="1" t="s">
        <v>45</v>
      </c>
      <c r="AC204" s="1" t="s">
        <v>45</v>
      </c>
      <c r="AD204" s="1" t="s">
        <v>45</v>
      </c>
      <c r="AE204" s="1" t="s">
        <v>45</v>
      </c>
      <c r="AF204" s="32">
        <v>45405</v>
      </c>
      <c r="AG204" s="1">
        <v>54.476135718050301</v>
      </c>
      <c r="AH204" s="1" t="s">
        <v>1526</v>
      </c>
      <c r="AI204" s="1" t="s">
        <v>1527</v>
      </c>
      <c r="AJ204" s="1" t="s">
        <v>45</v>
      </c>
      <c r="AK204" s="1" t="s">
        <v>51</v>
      </c>
      <c r="AL204" s="1" t="s">
        <v>45</v>
      </c>
      <c r="AM204" s="1" t="s">
        <v>51</v>
      </c>
      <c r="AN204" s="1" t="s">
        <v>45</v>
      </c>
      <c r="AO204" s="1" t="s">
        <v>45</v>
      </c>
      <c r="AP204" s="1" t="s">
        <v>45</v>
      </c>
      <c r="AQ204" s="1" t="s">
        <v>45</v>
      </c>
      <c r="AR204" s="1" t="s">
        <v>45</v>
      </c>
      <c r="AT204" s="1" t="s">
        <v>1528</v>
      </c>
      <c r="AW204" s="33" t="s">
        <v>1463</v>
      </c>
      <c r="AX204" s="3" t="s">
        <v>1528</v>
      </c>
      <c r="AY204" s="3"/>
      <c r="AZ204" s="1">
        <v>4</v>
      </c>
      <c r="BA204" s="1" t="s">
        <v>1529</v>
      </c>
      <c r="BB204" s="1" t="s">
        <v>1530</v>
      </c>
      <c r="BC204" s="1" t="s">
        <v>1531</v>
      </c>
      <c r="BD204" s="1" t="s">
        <v>1532</v>
      </c>
      <c r="BE204" s="1" t="s">
        <v>1603</v>
      </c>
      <c r="BF204" s="1" t="s">
        <v>1534</v>
      </c>
      <c r="BG204" s="1" t="s">
        <v>1525</v>
      </c>
      <c r="BH204" s="1" t="s">
        <v>46</v>
      </c>
      <c r="BI204" s="1" t="s">
        <v>1535</v>
      </c>
      <c r="BJ204" s="1" t="s">
        <v>51</v>
      </c>
      <c r="BK204" s="1" t="s">
        <v>1549</v>
      </c>
      <c r="BL204" s="32">
        <v>45405</v>
      </c>
      <c r="BM204" s="1" t="s">
        <v>1101</v>
      </c>
      <c r="BO204" s="1" t="s">
        <v>1537</v>
      </c>
      <c r="BP204" s="1" t="s">
        <v>1538</v>
      </c>
      <c r="BQ204" s="1" t="s">
        <v>1647</v>
      </c>
      <c r="BR204" s="1" t="s">
        <v>1552</v>
      </c>
      <c r="BS204" s="1" t="s">
        <v>106</v>
      </c>
      <c r="BU204" s="1" t="s">
        <v>51</v>
      </c>
      <c r="BV204" s="1" t="s">
        <v>1541</v>
      </c>
      <c r="BW204" s="1" t="s">
        <v>1563</v>
      </c>
      <c r="BX204" s="32">
        <v>45497</v>
      </c>
      <c r="BY204" s="1">
        <v>7</v>
      </c>
      <c r="BZ204" s="1" t="s">
        <v>2109</v>
      </c>
      <c r="CA204" s="1" t="s">
        <v>51</v>
      </c>
      <c r="CB204" s="1" t="s">
        <v>51</v>
      </c>
      <c r="CC204" s="32">
        <v>45446</v>
      </c>
      <c r="CD204" s="1">
        <v>34.200000000000003</v>
      </c>
      <c r="CE204" s="1">
        <v>19</v>
      </c>
      <c r="CF204" s="1" t="s">
        <v>2110</v>
      </c>
      <c r="CJ204" s="1" t="s">
        <v>45</v>
      </c>
      <c r="DH204" s="1" t="s">
        <v>45</v>
      </c>
      <c r="DM204" s="1" t="s">
        <v>45</v>
      </c>
      <c r="DO204" s="1" t="s">
        <v>45</v>
      </c>
      <c r="DQ204" s="1" t="s">
        <v>45</v>
      </c>
      <c r="DT204" s="32">
        <v>45783</v>
      </c>
      <c r="DU204" s="1" t="s">
        <v>1598</v>
      </c>
      <c r="DV204" s="1">
        <v>12.417871222076201</v>
      </c>
      <c r="DW204" s="1" t="s">
        <v>45</v>
      </c>
      <c r="DY204" s="32">
        <v>45812</v>
      </c>
      <c r="DZ204" s="1" t="s">
        <v>1544</v>
      </c>
    </row>
    <row r="205" spans="1:130" ht="15.75" customHeight="1" x14ac:dyDescent="0.2">
      <c r="A205" s="8" t="s">
        <v>1102</v>
      </c>
      <c r="B205" s="32">
        <v>36647</v>
      </c>
      <c r="C205" s="32">
        <v>45381</v>
      </c>
      <c r="D205" s="1">
        <v>23.912879799037601</v>
      </c>
      <c r="E205" s="1" t="s">
        <v>1523</v>
      </c>
      <c r="F205" s="1" t="s">
        <v>1524</v>
      </c>
      <c r="G205" s="1" t="s">
        <v>1574</v>
      </c>
      <c r="H205" s="1" t="s">
        <v>51</v>
      </c>
      <c r="I205" s="1">
        <v>1.8</v>
      </c>
      <c r="J205" s="1" t="s">
        <v>51</v>
      </c>
      <c r="K205" s="1">
        <v>91</v>
      </c>
      <c r="L205" s="1">
        <v>28.0864197530864</v>
      </c>
      <c r="M205" s="1" t="s">
        <v>45</v>
      </c>
      <c r="N205" s="1" t="s">
        <v>45</v>
      </c>
      <c r="O205" s="1" t="s">
        <v>45</v>
      </c>
      <c r="P205" s="1" t="s">
        <v>45</v>
      </c>
      <c r="Q205" s="1" t="s">
        <v>45</v>
      </c>
      <c r="R205" s="1" t="s">
        <v>45</v>
      </c>
      <c r="S205" s="1" t="s">
        <v>45</v>
      </c>
      <c r="T205" s="1" t="s">
        <v>45</v>
      </c>
      <c r="U205" s="1" t="s">
        <v>45</v>
      </c>
      <c r="V205" s="1" t="s">
        <v>45</v>
      </c>
      <c r="W205" s="1" t="s">
        <v>45</v>
      </c>
      <c r="X205" s="1" t="s">
        <v>45</v>
      </c>
      <c r="Y205" s="1" t="s">
        <v>45</v>
      </c>
      <c r="Z205" s="1" t="s">
        <v>45</v>
      </c>
      <c r="AA205" s="1" t="s">
        <v>45</v>
      </c>
      <c r="AB205" s="1" t="s">
        <v>45</v>
      </c>
      <c r="AC205" s="1" t="s">
        <v>45</v>
      </c>
      <c r="AD205" s="1" t="s">
        <v>45</v>
      </c>
      <c r="AE205" s="1" t="s">
        <v>45</v>
      </c>
      <c r="AF205" s="32">
        <v>45406</v>
      </c>
      <c r="AG205" s="1">
        <v>23.9813274742123</v>
      </c>
      <c r="AH205" s="1" t="s">
        <v>1526</v>
      </c>
      <c r="AI205" s="1" t="s">
        <v>1527</v>
      </c>
      <c r="AJ205" s="1" t="s">
        <v>45</v>
      </c>
      <c r="AK205" s="1" t="s">
        <v>45</v>
      </c>
      <c r="AL205" s="1" t="s">
        <v>45</v>
      </c>
      <c r="AM205" s="1" t="s">
        <v>51</v>
      </c>
      <c r="AN205" s="1" t="s">
        <v>45</v>
      </c>
      <c r="AO205" s="1" t="s">
        <v>45</v>
      </c>
      <c r="AP205" s="1" t="s">
        <v>51</v>
      </c>
      <c r="AQ205" s="1" t="s">
        <v>45</v>
      </c>
      <c r="AR205" s="1" t="s">
        <v>45</v>
      </c>
      <c r="AT205" s="1" t="s">
        <v>1560</v>
      </c>
      <c r="AV205" s="1" t="s">
        <v>2111</v>
      </c>
      <c r="AW205" s="33" t="s">
        <v>1464</v>
      </c>
      <c r="AX205" s="3"/>
      <c r="AY205" s="3" t="s">
        <v>1560</v>
      </c>
      <c r="AZ205" s="1">
        <v>1</v>
      </c>
      <c r="BA205" s="1" t="s">
        <v>1814</v>
      </c>
      <c r="BB205" s="1" t="s">
        <v>1530</v>
      </c>
      <c r="BC205" s="1" t="s">
        <v>1561</v>
      </c>
      <c r="BD205" s="1" t="s">
        <v>1977</v>
      </c>
      <c r="BE205" s="1" t="s">
        <v>1525</v>
      </c>
      <c r="BG205" s="1" t="s">
        <v>1525</v>
      </c>
      <c r="BH205" s="1" t="s">
        <v>46</v>
      </c>
      <c r="BI205" s="1" t="s">
        <v>1535</v>
      </c>
      <c r="BJ205" s="1" t="s">
        <v>45</v>
      </c>
      <c r="BK205" s="1" t="s">
        <v>1549</v>
      </c>
      <c r="BL205" s="32">
        <v>45406</v>
      </c>
      <c r="BM205" s="1" t="s">
        <v>1103</v>
      </c>
      <c r="BO205" s="1" t="s">
        <v>1537</v>
      </c>
      <c r="BP205" s="1" t="s">
        <v>1538</v>
      </c>
      <c r="BQ205" s="1" t="s">
        <v>1647</v>
      </c>
      <c r="BR205" s="1" t="s">
        <v>1589</v>
      </c>
      <c r="BS205" s="1" t="s">
        <v>1691</v>
      </c>
      <c r="BU205" s="1" t="s">
        <v>45</v>
      </c>
      <c r="BW205" s="1" t="s">
        <v>1542</v>
      </c>
      <c r="CA205" s="1" t="s">
        <v>45</v>
      </c>
      <c r="CB205" s="1" t="s">
        <v>45</v>
      </c>
      <c r="CJ205" s="1" t="s">
        <v>45</v>
      </c>
      <c r="DH205" s="1" t="s">
        <v>45</v>
      </c>
      <c r="DM205" s="1" t="s">
        <v>45</v>
      </c>
      <c r="DO205" s="1" t="s">
        <v>45</v>
      </c>
      <c r="DQ205" s="1" t="s">
        <v>45</v>
      </c>
      <c r="DT205" s="32">
        <v>45544</v>
      </c>
      <c r="DU205" s="1" t="s">
        <v>1598</v>
      </c>
      <c r="DV205" s="1">
        <v>4.5335085413928997</v>
      </c>
      <c r="DW205" s="1" t="s">
        <v>45</v>
      </c>
      <c r="DY205" s="32">
        <v>45812</v>
      </c>
      <c r="DZ205" s="1" t="s">
        <v>1544</v>
      </c>
    </row>
    <row r="206" spans="1:130" ht="15.75" customHeight="1" x14ac:dyDescent="0.2">
      <c r="A206" s="8" t="s">
        <v>673</v>
      </c>
      <c r="B206" s="32">
        <v>31090</v>
      </c>
      <c r="C206" s="32">
        <v>45404</v>
      </c>
      <c r="D206" s="1">
        <v>39.190400898033403</v>
      </c>
      <c r="E206" s="1" t="s">
        <v>1523</v>
      </c>
      <c r="F206" s="1" t="s">
        <v>1524</v>
      </c>
      <c r="G206" s="1" t="s">
        <v>1525</v>
      </c>
      <c r="H206" s="1" t="s">
        <v>51</v>
      </c>
      <c r="I206" s="1">
        <v>1.778</v>
      </c>
      <c r="J206" s="1" t="s">
        <v>51</v>
      </c>
      <c r="K206" s="1">
        <v>98.4</v>
      </c>
      <c r="L206" s="1">
        <v>31.126592865430599</v>
      </c>
      <c r="M206" s="1" t="s">
        <v>45</v>
      </c>
      <c r="N206" s="1" t="s">
        <v>45</v>
      </c>
      <c r="O206" s="1" t="s">
        <v>45</v>
      </c>
      <c r="P206" s="1" t="s">
        <v>45</v>
      </c>
      <c r="Q206" s="1" t="s">
        <v>45</v>
      </c>
      <c r="R206" s="1" t="s">
        <v>45</v>
      </c>
      <c r="S206" s="1" t="s">
        <v>45</v>
      </c>
      <c r="T206" s="1" t="s">
        <v>45</v>
      </c>
      <c r="U206" s="1" t="s">
        <v>45</v>
      </c>
      <c r="V206" s="1" t="s">
        <v>45</v>
      </c>
      <c r="W206" s="1" t="s">
        <v>45</v>
      </c>
      <c r="X206" s="1" t="s">
        <v>45</v>
      </c>
      <c r="Y206" s="1" t="s">
        <v>45</v>
      </c>
      <c r="Z206" s="1" t="s">
        <v>45</v>
      </c>
      <c r="AA206" s="1" t="s">
        <v>45</v>
      </c>
      <c r="AB206" s="1" t="s">
        <v>45</v>
      </c>
      <c r="AC206" s="1" t="s">
        <v>45</v>
      </c>
      <c r="AD206" s="1" t="s">
        <v>45</v>
      </c>
      <c r="AE206" s="1" t="s">
        <v>45</v>
      </c>
      <c r="AF206" s="32">
        <v>45412</v>
      </c>
      <c r="AG206" s="1">
        <v>39.212304154089402</v>
      </c>
      <c r="AH206" s="1" t="s">
        <v>1526</v>
      </c>
      <c r="AI206" s="1" t="s">
        <v>1527</v>
      </c>
      <c r="AJ206" s="1" t="s">
        <v>45</v>
      </c>
      <c r="AK206" s="1" t="s">
        <v>45</v>
      </c>
      <c r="AL206" s="1" t="s">
        <v>45</v>
      </c>
      <c r="AM206" s="1" t="s">
        <v>51</v>
      </c>
      <c r="AN206" s="1" t="s">
        <v>45</v>
      </c>
      <c r="AO206" s="1" t="s">
        <v>45</v>
      </c>
      <c r="AP206" s="1" t="s">
        <v>45</v>
      </c>
      <c r="AQ206" s="1" t="s">
        <v>45</v>
      </c>
      <c r="AR206" s="1" t="s">
        <v>45</v>
      </c>
      <c r="AT206" s="1" t="s">
        <v>1560</v>
      </c>
      <c r="AW206" s="33" t="s">
        <v>1463</v>
      </c>
      <c r="AX206" s="3" t="s">
        <v>1560</v>
      </c>
      <c r="AY206" s="3"/>
      <c r="AZ206" s="1">
        <v>4</v>
      </c>
      <c r="BA206" s="1" t="s">
        <v>1529</v>
      </c>
      <c r="BB206" s="1" t="s">
        <v>1567</v>
      </c>
      <c r="BC206" s="1" t="s">
        <v>1531</v>
      </c>
      <c r="BD206" s="1" t="s">
        <v>1822</v>
      </c>
      <c r="BE206" s="1" t="s">
        <v>1603</v>
      </c>
      <c r="BF206" s="1" t="s">
        <v>1534</v>
      </c>
      <c r="BG206" s="1" t="s">
        <v>45</v>
      </c>
      <c r="BH206" s="1" t="s">
        <v>46</v>
      </c>
      <c r="BI206" s="1" t="s">
        <v>1599</v>
      </c>
      <c r="BJ206" s="1" t="s">
        <v>45</v>
      </c>
      <c r="BK206" s="1" t="s">
        <v>1536</v>
      </c>
      <c r="BL206" s="32">
        <v>45412</v>
      </c>
      <c r="BM206" s="1" t="s">
        <v>674</v>
      </c>
      <c r="BO206" s="1" t="s">
        <v>1537</v>
      </c>
      <c r="BP206" s="1" t="s">
        <v>1538</v>
      </c>
      <c r="BQ206" s="1" t="s">
        <v>1539</v>
      </c>
      <c r="BR206" s="1" t="s">
        <v>1552</v>
      </c>
      <c r="BS206" s="1" t="s">
        <v>43</v>
      </c>
      <c r="BU206" s="1" t="s">
        <v>51</v>
      </c>
      <c r="BV206" s="1" t="s">
        <v>1541</v>
      </c>
      <c r="BW206" s="1" t="s">
        <v>1561</v>
      </c>
      <c r="CA206" s="1" t="s">
        <v>51</v>
      </c>
      <c r="CB206" s="1" t="s">
        <v>51</v>
      </c>
      <c r="CF206" s="1" t="s">
        <v>2112</v>
      </c>
      <c r="CI206" s="1" t="s">
        <v>2113</v>
      </c>
      <c r="CJ206" s="1" t="s">
        <v>45</v>
      </c>
      <c r="DH206" s="1" t="s">
        <v>45</v>
      </c>
      <c r="DM206" s="1" t="s">
        <v>45</v>
      </c>
      <c r="DO206" s="1" t="s">
        <v>45</v>
      </c>
      <c r="DQ206" s="1" t="s">
        <v>45</v>
      </c>
      <c r="DT206" s="32">
        <v>45467</v>
      </c>
      <c r="DU206" s="1" t="s">
        <v>1598</v>
      </c>
      <c r="DV206" s="1">
        <v>1.8068331143232499</v>
      </c>
      <c r="DW206" s="1" t="s">
        <v>45</v>
      </c>
      <c r="DY206" s="32">
        <v>45810</v>
      </c>
      <c r="DZ206" s="1" t="s">
        <v>1544</v>
      </c>
    </row>
    <row r="207" spans="1:130" ht="15.75" customHeight="1" x14ac:dyDescent="0.2">
      <c r="A207" s="8" t="s">
        <v>1104</v>
      </c>
      <c r="B207" s="32">
        <v>23774</v>
      </c>
      <c r="C207" s="32">
        <v>45414</v>
      </c>
      <c r="D207" s="1">
        <v>59.248307631231299</v>
      </c>
      <c r="E207" s="1" t="s">
        <v>1523</v>
      </c>
      <c r="F207" s="1" t="s">
        <v>1524</v>
      </c>
      <c r="G207" s="1" t="s">
        <v>1574</v>
      </c>
      <c r="H207" s="1" t="s">
        <v>51</v>
      </c>
      <c r="I207" s="1">
        <v>1.65</v>
      </c>
      <c r="J207" s="1" t="s">
        <v>51</v>
      </c>
      <c r="K207" s="1">
        <v>81</v>
      </c>
      <c r="L207" s="1">
        <v>29.752066115702402</v>
      </c>
      <c r="M207" s="1" t="s">
        <v>45</v>
      </c>
      <c r="N207" s="1" t="s">
        <v>45</v>
      </c>
      <c r="O207" s="1" t="s">
        <v>45</v>
      </c>
      <c r="P207" s="1" t="s">
        <v>45</v>
      </c>
      <c r="Q207" s="1" t="s">
        <v>45</v>
      </c>
      <c r="R207" s="1" t="s">
        <v>45</v>
      </c>
      <c r="S207" s="1" t="s">
        <v>45</v>
      </c>
      <c r="T207" s="1" t="s">
        <v>45</v>
      </c>
      <c r="U207" s="1" t="s">
        <v>45</v>
      </c>
      <c r="V207" s="1" t="s">
        <v>45</v>
      </c>
      <c r="W207" s="1" t="s">
        <v>45</v>
      </c>
      <c r="X207" s="1" t="s">
        <v>45</v>
      </c>
      <c r="Y207" s="1" t="s">
        <v>45</v>
      </c>
      <c r="Z207" s="1" t="s">
        <v>45</v>
      </c>
      <c r="AA207" s="1" t="s">
        <v>45</v>
      </c>
      <c r="AB207" s="1" t="s">
        <v>45</v>
      </c>
      <c r="AC207" s="1" t="s">
        <v>45</v>
      </c>
      <c r="AD207" s="1" t="s">
        <v>45</v>
      </c>
      <c r="AE207" s="1" t="s">
        <v>45</v>
      </c>
      <c r="AF207" s="32">
        <v>45413</v>
      </c>
      <c r="AG207" s="1">
        <v>59.245569724224303</v>
      </c>
      <c r="AH207" s="1" t="s">
        <v>1526</v>
      </c>
      <c r="AI207" s="1" t="s">
        <v>1527</v>
      </c>
      <c r="AJ207" s="1" t="s">
        <v>45</v>
      </c>
      <c r="AK207" s="1" t="s">
        <v>45</v>
      </c>
      <c r="AL207" s="1" t="s">
        <v>51</v>
      </c>
      <c r="AM207" s="1" t="s">
        <v>45</v>
      </c>
      <c r="AN207" s="1" t="s">
        <v>51</v>
      </c>
      <c r="AO207" s="1" t="s">
        <v>45</v>
      </c>
      <c r="AP207" s="1" t="s">
        <v>51</v>
      </c>
      <c r="AQ207" s="1" t="s">
        <v>45</v>
      </c>
      <c r="AR207" s="1" t="s">
        <v>45</v>
      </c>
      <c r="AT207" s="1" t="s">
        <v>1528</v>
      </c>
      <c r="AW207" s="33" t="s">
        <v>1463</v>
      </c>
      <c r="AX207" s="3" t="s">
        <v>1528</v>
      </c>
      <c r="AY207" s="3"/>
      <c r="AZ207" s="1">
        <v>4</v>
      </c>
      <c r="BA207" s="1" t="s">
        <v>1529</v>
      </c>
      <c r="BB207" s="1" t="s">
        <v>1530</v>
      </c>
      <c r="BC207" s="1" t="s">
        <v>1602</v>
      </c>
      <c r="BD207" s="1" t="s">
        <v>2114</v>
      </c>
      <c r="BE207" s="1" t="s">
        <v>1525</v>
      </c>
      <c r="BF207" s="1" t="s">
        <v>1534</v>
      </c>
      <c r="BG207" s="1" t="s">
        <v>1525</v>
      </c>
      <c r="BH207" s="1" t="s">
        <v>46</v>
      </c>
      <c r="BI207" s="1" t="s">
        <v>1535</v>
      </c>
      <c r="BJ207" s="1" t="s">
        <v>45</v>
      </c>
      <c r="BK207" s="1" t="s">
        <v>1549</v>
      </c>
      <c r="BL207" s="32">
        <v>45413</v>
      </c>
      <c r="BM207" s="1" t="s">
        <v>1105</v>
      </c>
      <c r="BO207" s="1" t="s">
        <v>1537</v>
      </c>
      <c r="BP207" s="1" t="s">
        <v>1551</v>
      </c>
      <c r="BQ207" s="1" t="s">
        <v>1605</v>
      </c>
      <c r="BR207" s="1" t="s">
        <v>1540</v>
      </c>
      <c r="BS207" s="1" t="s">
        <v>1658</v>
      </c>
      <c r="BU207" s="1" t="s">
        <v>51</v>
      </c>
      <c r="BV207" s="1" t="s">
        <v>1541</v>
      </c>
      <c r="CA207" s="1" t="s">
        <v>51</v>
      </c>
      <c r="CB207" s="1" t="s">
        <v>51</v>
      </c>
      <c r="CC207" s="32">
        <v>45435</v>
      </c>
      <c r="CD207" s="1">
        <v>45.39</v>
      </c>
      <c r="CE207" s="1">
        <v>17</v>
      </c>
      <c r="CF207" s="1" t="s">
        <v>2115</v>
      </c>
      <c r="CI207" s="1" t="s">
        <v>2116</v>
      </c>
      <c r="CJ207" s="1" t="s">
        <v>51</v>
      </c>
      <c r="CK207" s="32">
        <v>45485</v>
      </c>
      <c r="CL207" s="1" t="s">
        <v>45</v>
      </c>
      <c r="DH207" s="1" t="s">
        <v>45</v>
      </c>
      <c r="DM207" s="1" t="s">
        <v>45</v>
      </c>
      <c r="DO207" s="1" t="s">
        <v>45</v>
      </c>
      <c r="DQ207" s="1" t="s">
        <v>45</v>
      </c>
      <c r="DT207" s="32">
        <v>45618</v>
      </c>
      <c r="DU207" s="1" t="s">
        <v>1543</v>
      </c>
      <c r="DV207" s="1">
        <v>6.7345597897503202</v>
      </c>
      <c r="DW207" s="1" t="s">
        <v>45</v>
      </c>
      <c r="DY207" s="32">
        <v>45812</v>
      </c>
      <c r="DZ207" s="1" t="s">
        <v>1544</v>
      </c>
    </row>
    <row r="208" spans="1:130" ht="15.75" customHeight="1" x14ac:dyDescent="0.2">
      <c r="A208" s="8" t="s">
        <v>1106</v>
      </c>
      <c r="B208" s="32">
        <v>26877</v>
      </c>
      <c r="C208" s="32">
        <v>45420</v>
      </c>
      <c r="D208" s="1">
        <v>50.769009630587803</v>
      </c>
      <c r="E208" s="1" t="s">
        <v>1523</v>
      </c>
      <c r="F208" s="1" t="s">
        <v>1524</v>
      </c>
      <c r="G208" s="1" t="s">
        <v>1574</v>
      </c>
      <c r="H208" s="1" t="s">
        <v>51</v>
      </c>
      <c r="I208" s="1">
        <v>1.83</v>
      </c>
      <c r="J208" s="1" t="s">
        <v>51</v>
      </c>
      <c r="K208" s="1">
        <v>121</v>
      </c>
      <c r="L208" s="1">
        <v>36.131266983188503</v>
      </c>
      <c r="M208" s="1" t="s">
        <v>45</v>
      </c>
      <c r="N208" s="1" t="s">
        <v>45</v>
      </c>
      <c r="O208" s="1" t="s">
        <v>45</v>
      </c>
      <c r="P208" s="1" t="s">
        <v>45</v>
      </c>
      <c r="Q208" s="1" t="s">
        <v>45</v>
      </c>
      <c r="R208" s="1" t="s">
        <v>45</v>
      </c>
      <c r="S208" s="1" t="s">
        <v>45</v>
      </c>
      <c r="T208" s="1" t="s">
        <v>45</v>
      </c>
      <c r="U208" s="1" t="s">
        <v>51</v>
      </c>
      <c r="V208" s="1" t="s">
        <v>45</v>
      </c>
      <c r="W208" s="1" t="s">
        <v>45</v>
      </c>
      <c r="X208" s="1" t="s">
        <v>45</v>
      </c>
      <c r="Y208" s="1" t="s">
        <v>45</v>
      </c>
      <c r="Z208" s="1" t="s">
        <v>45</v>
      </c>
      <c r="AA208" s="1" t="s">
        <v>45</v>
      </c>
      <c r="AB208" s="1" t="s">
        <v>45</v>
      </c>
      <c r="AC208" s="1" t="s">
        <v>45</v>
      </c>
      <c r="AD208" s="1" t="s">
        <v>45</v>
      </c>
      <c r="AE208" s="1" t="s">
        <v>45</v>
      </c>
      <c r="AF208" s="32">
        <v>45419</v>
      </c>
      <c r="AG208" s="1">
        <v>50.7662717235809</v>
      </c>
      <c r="AH208" s="1" t="s">
        <v>1526</v>
      </c>
      <c r="AI208" s="1" t="s">
        <v>1527</v>
      </c>
      <c r="AJ208" s="1" t="s">
        <v>51</v>
      </c>
      <c r="AK208" s="1" t="s">
        <v>45</v>
      </c>
      <c r="AL208" s="1" t="s">
        <v>45</v>
      </c>
      <c r="AM208" s="1" t="s">
        <v>51</v>
      </c>
      <c r="AN208" s="1" t="s">
        <v>45</v>
      </c>
      <c r="AO208" s="1" t="s">
        <v>45</v>
      </c>
      <c r="AP208" s="1" t="s">
        <v>45</v>
      </c>
      <c r="AQ208" s="1" t="s">
        <v>45</v>
      </c>
      <c r="AR208" s="1" t="s">
        <v>51</v>
      </c>
      <c r="AS208" s="1" t="s">
        <v>2117</v>
      </c>
      <c r="AT208" s="1" t="s">
        <v>1528</v>
      </c>
      <c r="AW208" s="33" t="s">
        <v>1463</v>
      </c>
      <c r="AX208" s="3" t="s">
        <v>1528</v>
      </c>
      <c r="AY208" s="3"/>
      <c r="AZ208" s="1">
        <v>4</v>
      </c>
      <c r="BA208" s="1" t="s">
        <v>1529</v>
      </c>
      <c r="BB208" s="1" t="s">
        <v>1530</v>
      </c>
      <c r="BC208" s="1" t="s">
        <v>1531</v>
      </c>
      <c r="BD208" s="1" t="s">
        <v>1532</v>
      </c>
      <c r="BE208" s="1" t="s">
        <v>1533</v>
      </c>
      <c r="BF208" s="1" t="s">
        <v>2118</v>
      </c>
      <c r="BG208" s="1" t="s">
        <v>1525</v>
      </c>
      <c r="BH208" s="1" t="s">
        <v>46</v>
      </c>
      <c r="BI208" s="1" t="s">
        <v>1535</v>
      </c>
      <c r="BJ208" s="1" t="s">
        <v>45</v>
      </c>
      <c r="BK208" s="1" t="s">
        <v>1549</v>
      </c>
      <c r="BL208" s="32">
        <v>45419</v>
      </c>
      <c r="BM208" s="1" t="s">
        <v>1107</v>
      </c>
      <c r="BO208" s="1" t="s">
        <v>1537</v>
      </c>
      <c r="BP208" s="1" t="s">
        <v>1538</v>
      </c>
      <c r="BQ208" s="1" t="s">
        <v>1647</v>
      </c>
      <c r="BR208" s="1" t="s">
        <v>1540</v>
      </c>
      <c r="BS208" s="1" t="s">
        <v>177</v>
      </c>
      <c r="BU208" s="1" t="s">
        <v>51</v>
      </c>
      <c r="BV208" s="1" t="s">
        <v>2119</v>
      </c>
      <c r="BW208" s="1" t="s">
        <v>1542</v>
      </c>
      <c r="CA208" s="1" t="s">
        <v>45</v>
      </c>
      <c r="CB208" s="1" t="s">
        <v>51</v>
      </c>
      <c r="CC208" s="32">
        <v>45450</v>
      </c>
      <c r="CD208" s="1">
        <v>25</v>
      </c>
      <c r="CE208" s="1">
        <v>5</v>
      </c>
      <c r="CF208" s="1" t="s">
        <v>2120</v>
      </c>
      <c r="CJ208" s="1" t="s">
        <v>51</v>
      </c>
      <c r="CK208" s="32">
        <v>45436</v>
      </c>
      <c r="CL208" s="1" t="s">
        <v>45</v>
      </c>
      <c r="DH208" s="1" t="s">
        <v>45</v>
      </c>
      <c r="DM208" s="1" t="s">
        <v>45</v>
      </c>
      <c r="DO208" s="1" t="s">
        <v>45</v>
      </c>
      <c r="DQ208" s="1" t="s">
        <v>45</v>
      </c>
      <c r="DS208" s="1" t="s">
        <v>2121</v>
      </c>
      <c r="DT208" s="32">
        <v>45478</v>
      </c>
      <c r="DU208" s="1" t="s">
        <v>1543</v>
      </c>
      <c r="DV208" s="1">
        <v>1.9382391590013099</v>
      </c>
      <c r="DW208" s="1" t="s">
        <v>45</v>
      </c>
      <c r="DY208" s="32">
        <v>45812</v>
      </c>
      <c r="DZ208" s="1" t="s">
        <v>1544</v>
      </c>
    </row>
    <row r="209" spans="1:130" ht="15.75" customHeight="1" x14ac:dyDescent="0.2">
      <c r="A209" s="8" t="s">
        <v>675</v>
      </c>
      <c r="B209" s="32">
        <v>32047</v>
      </c>
      <c r="C209" s="32">
        <v>45349</v>
      </c>
      <c r="D209" s="1">
        <v>36.419639006961098</v>
      </c>
      <c r="E209" s="1" t="s">
        <v>1587</v>
      </c>
      <c r="F209" s="1" t="s">
        <v>1524</v>
      </c>
      <c r="G209" s="1" t="s">
        <v>1574</v>
      </c>
      <c r="H209" s="1" t="s">
        <v>51</v>
      </c>
      <c r="I209" s="1">
        <v>1.67</v>
      </c>
      <c r="J209" s="1" t="s">
        <v>51</v>
      </c>
      <c r="K209" s="1">
        <v>73.7</v>
      </c>
      <c r="L209" s="1">
        <v>26.4261895370934</v>
      </c>
      <c r="M209" s="1" t="s">
        <v>45</v>
      </c>
      <c r="N209" s="1" t="s">
        <v>45</v>
      </c>
      <c r="O209" s="1" t="s">
        <v>45</v>
      </c>
      <c r="P209" s="1" t="s">
        <v>45</v>
      </c>
      <c r="Q209" s="1" t="s">
        <v>45</v>
      </c>
      <c r="R209" s="1" t="s">
        <v>45</v>
      </c>
      <c r="S209" s="1" t="s">
        <v>45</v>
      </c>
      <c r="T209" s="1" t="s">
        <v>51</v>
      </c>
      <c r="U209" s="1" t="s">
        <v>45</v>
      </c>
      <c r="V209" s="1" t="s">
        <v>45</v>
      </c>
      <c r="W209" s="1" t="s">
        <v>45</v>
      </c>
      <c r="X209" s="1" t="s">
        <v>45</v>
      </c>
      <c r="Y209" s="1" t="s">
        <v>45</v>
      </c>
      <c r="Z209" s="1" t="s">
        <v>45</v>
      </c>
      <c r="AA209" s="1" t="s">
        <v>45</v>
      </c>
      <c r="AB209" s="1" t="s">
        <v>45</v>
      </c>
      <c r="AC209" s="1" t="s">
        <v>45</v>
      </c>
      <c r="AD209" s="1" t="s">
        <v>45</v>
      </c>
      <c r="AE209" s="1" t="s">
        <v>45</v>
      </c>
      <c r="AF209" s="32">
        <v>45420</v>
      </c>
      <c r="AG209" s="1">
        <v>36.614030404457303</v>
      </c>
      <c r="AH209" s="1" t="s">
        <v>1526</v>
      </c>
      <c r="AI209" s="1" t="s">
        <v>1527</v>
      </c>
      <c r="AJ209" s="1" t="s">
        <v>45</v>
      </c>
      <c r="AK209" s="1" t="s">
        <v>45</v>
      </c>
      <c r="AL209" s="1" t="s">
        <v>45</v>
      </c>
      <c r="AM209" s="1" t="s">
        <v>51</v>
      </c>
      <c r="AN209" s="1" t="s">
        <v>45</v>
      </c>
      <c r="AO209" s="1" t="s">
        <v>51</v>
      </c>
      <c r="AP209" s="1" t="s">
        <v>45</v>
      </c>
      <c r="AQ209" s="1" t="s">
        <v>45</v>
      </c>
      <c r="AR209" s="1" t="s">
        <v>51</v>
      </c>
      <c r="AS209" s="1" t="s">
        <v>2122</v>
      </c>
      <c r="AT209" s="1" t="s">
        <v>1560</v>
      </c>
      <c r="AW209" s="33" t="s">
        <v>1464</v>
      </c>
      <c r="AX209" s="3"/>
      <c r="AY209" s="3" t="s">
        <v>1560</v>
      </c>
      <c r="AZ209" s="1">
        <v>2</v>
      </c>
      <c r="BA209" s="1" t="s">
        <v>1821</v>
      </c>
      <c r="BB209" s="1" t="s">
        <v>1567</v>
      </c>
      <c r="BC209" s="1" t="s">
        <v>1531</v>
      </c>
      <c r="BD209" s="1" t="s">
        <v>1822</v>
      </c>
      <c r="BE209" s="1" t="s">
        <v>1525</v>
      </c>
      <c r="BG209" s="1" t="s">
        <v>1525</v>
      </c>
      <c r="BH209" s="1" t="s">
        <v>46</v>
      </c>
      <c r="BI209" s="1" t="s">
        <v>1599</v>
      </c>
      <c r="BJ209" s="1" t="s">
        <v>45</v>
      </c>
      <c r="BK209" s="1" t="s">
        <v>1536</v>
      </c>
      <c r="BL209" s="32">
        <v>45420</v>
      </c>
      <c r="BM209" s="1" t="s">
        <v>676</v>
      </c>
      <c r="BO209" s="1" t="s">
        <v>1537</v>
      </c>
      <c r="BP209" s="1" t="s">
        <v>1538</v>
      </c>
      <c r="BQ209" s="1" t="s">
        <v>1539</v>
      </c>
      <c r="BR209" s="1" t="s">
        <v>1540</v>
      </c>
      <c r="BS209" s="1" t="s">
        <v>106</v>
      </c>
      <c r="BU209" s="1" t="s">
        <v>51</v>
      </c>
      <c r="BV209" s="1" t="s">
        <v>1541</v>
      </c>
      <c r="BW209" s="1" t="s">
        <v>1542</v>
      </c>
      <c r="CA209" s="1" t="s">
        <v>45</v>
      </c>
      <c r="CB209" s="1" t="s">
        <v>45</v>
      </c>
      <c r="CG209" s="1" t="s">
        <v>2123</v>
      </c>
      <c r="CJ209" s="1" t="s">
        <v>45</v>
      </c>
      <c r="DH209" s="1" t="s">
        <v>45</v>
      </c>
      <c r="DM209" s="1" t="s">
        <v>45</v>
      </c>
      <c r="DO209" s="1" t="s">
        <v>45</v>
      </c>
      <c r="DQ209" s="1" t="s">
        <v>45</v>
      </c>
      <c r="DT209" s="32">
        <v>45806</v>
      </c>
      <c r="DU209" s="1" t="s">
        <v>1598</v>
      </c>
      <c r="DV209" s="1">
        <v>12.680683311432301</v>
      </c>
      <c r="DW209" s="1" t="s">
        <v>45</v>
      </c>
      <c r="DY209" s="32">
        <v>45810</v>
      </c>
      <c r="DZ209" s="1" t="s">
        <v>1544</v>
      </c>
    </row>
    <row r="210" spans="1:130" ht="15.75" customHeight="1" x14ac:dyDescent="0.2">
      <c r="A210" s="8" t="s">
        <v>677</v>
      </c>
      <c r="B210" s="32">
        <v>22668</v>
      </c>
      <c r="C210" s="32">
        <v>42774</v>
      </c>
      <c r="D210" s="1">
        <v>55.048358282510897</v>
      </c>
      <c r="E210" s="1" t="s">
        <v>1587</v>
      </c>
      <c r="F210" s="1" t="s">
        <v>1524</v>
      </c>
      <c r="G210" s="1" t="s">
        <v>1545</v>
      </c>
      <c r="H210" s="1" t="s">
        <v>51</v>
      </c>
      <c r="I210" s="1">
        <v>1.61</v>
      </c>
      <c r="J210" s="1" t="s">
        <v>51</v>
      </c>
      <c r="K210" s="1">
        <v>81.2</v>
      </c>
      <c r="L210" s="1">
        <v>31.3259519308668</v>
      </c>
      <c r="M210" s="1" t="s">
        <v>45</v>
      </c>
      <c r="N210" s="1" t="s">
        <v>45</v>
      </c>
      <c r="O210" s="1" t="s">
        <v>45</v>
      </c>
      <c r="P210" s="1" t="s">
        <v>45</v>
      </c>
      <c r="Q210" s="1" t="s">
        <v>45</v>
      </c>
      <c r="R210" s="1" t="s">
        <v>45</v>
      </c>
      <c r="S210" s="1" t="s">
        <v>45</v>
      </c>
      <c r="T210" s="1" t="s">
        <v>45</v>
      </c>
      <c r="U210" s="1" t="s">
        <v>45</v>
      </c>
      <c r="V210" s="1" t="s">
        <v>45</v>
      </c>
      <c r="W210" s="1" t="s">
        <v>45</v>
      </c>
      <c r="X210" s="1" t="s">
        <v>45</v>
      </c>
      <c r="Y210" s="1" t="s">
        <v>45</v>
      </c>
      <c r="Z210" s="1" t="s">
        <v>45</v>
      </c>
      <c r="AA210" s="1" t="s">
        <v>45</v>
      </c>
      <c r="AB210" s="1" t="s">
        <v>45</v>
      </c>
      <c r="AC210" s="1" t="s">
        <v>45</v>
      </c>
      <c r="AD210" s="1" t="s">
        <v>45</v>
      </c>
      <c r="AE210" s="1" t="s">
        <v>45</v>
      </c>
      <c r="AF210" s="32">
        <v>39583</v>
      </c>
      <c r="AG210" s="1">
        <v>46.311697023210598</v>
      </c>
      <c r="AH210" s="1" t="s">
        <v>1558</v>
      </c>
      <c r="AI210" s="1" t="s">
        <v>1527</v>
      </c>
      <c r="AJ210" s="1" t="s">
        <v>45</v>
      </c>
      <c r="AK210" s="1" t="s">
        <v>45</v>
      </c>
      <c r="AL210" s="1" t="s">
        <v>45</v>
      </c>
      <c r="AM210" s="1" t="s">
        <v>45</v>
      </c>
      <c r="AN210" s="1" t="s">
        <v>45</v>
      </c>
      <c r="AO210" s="1" t="s">
        <v>45</v>
      </c>
      <c r="AP210" s="1" t="s">
        <v>45</v>
      </c>
      <c r="AQ210" s="1" t="s">
        <v>45</v>
      </c>
      <c r="AR210" s="1" t="s">
        <v>45</v>
      </c>
      <c r="AT210" s="1" t="s">
        <v>1601</v>
      </c>
      <c r="AW210" s="33" t="s">
        <v>1463</v>
      </c>
      <c r="AX210" s="3" t="s">
        <v>1601</v>
      </c>
      <c r="AY210" s="3"/>
      <c r="AZ210" s="1">
        <v>3</v>
      </c>
      <c r="BA210" s="1" t="s">
        <v>1978</v>
      </c>
      <c r="BB210" s="1" t="s">
        <v>1567</v>
      </c>
      <c r="BC210" s="1" t="s">
        <v>1602</v>
      </c>
      <c r="BD210" s="1" t="s">
        <v>1990</v>
      </c>
      <c r="BE210" s="1" t="s">
        <v>1603</v>
      </c>
      <c r="BF210" s="1" t="s">
        <v>1534</v>
      </c>
      <c r="BG210" s="1" t="s">
        <v>1525</v>
      </c>
      <c r="BH210" s="1" t="s">
        <v>46</v>
      </c>
      <c r="BI210" s="1" t="s">
        <v>1535</v>
      </c>
      <c r="BJ210" s="1" t="s">
        <v>45</v>
      </c>
      <c r="BK210" s="1" t="s">
        <v>1536</v>
      </c>
      <c r="BL210" s="32">
        <v>39583</v>
      </c>
      <c r="BM210" s="1" t="s">
        <v>678</v>
      </c>
      <c r="BO210" s="1" t="s">
        <v>1537</v>
      </c>
      <c r="BP210" s="1" t="s">
        <v>1538</v>
      </c>
      <c r="BQ210" s="1" t="s">
        <v>1539</v>
      </c>
      <c r="BR210" s="1" t="s">
        <v>1552</v>
      </c>
      <c r="BS210" s="1" t="s">
        <v>50</v>
      </c>
      <c r="BU210" s="1" t="s">
        <v>1525</v>
      </c>
      <c r="BW210" s="1" t="s">
        <v>1563</v>
      </c>
      <c r="BX210" s="32">
        <v>39644</v>
      </c>
      <c r="BY210" s="1">
        <v>7</v>
      </c>
      <c r="BZ210" s="1" t="s">
        <v>2124</v>
      </c>
      <c r="CA210" s="1" t="s">
        <v>51</v>
      </c>
      <c r="CB210" s="1" t="s">
        <v>51</v>
      </c>
      <c r="CC210" s="32">
        <v>39603</v>
      </c>
      <c r="CF210" s="1" t="s">
        <v>2125</v>
      </c>
      <c r="CI210" s="1" t="s">
        <v>2126</v>
      </c>
      <c r="CJ210" s="1" t="s">
        <v>51</v>
      </c>
      <c r="CK210" s="32">
        <v>45426</v>
      </c>
      <c r="CL210" s="1" t="s">
        <v>51</v>
      </c>
      <c r="CM210" s="32">
        <v>45426</v>
      </c>
      <c r="CN210" s="1">
        <v>15.997590641833799</v>
      </c>
      <c r="CO210" s="1" t="s">
        <v>1537</v>
      </c>
      <c r="CP210" s="1" t="s">
        <v>1796</v>
      </c>
      <c r="CQ210" s="1" t="s">
        <v>1539</v>
      </c>
      <c r="CR210" s="1" t="s">
        <v>1552</v>
      </c>
      <c r="CS210" s="1" t="s">
        <v>50</v>
      </c>
      <c r="CT210" s="1" t="s">
        <v>1601</v>
      </c>
      <c r="CW210" s="1">
        <v>3</v>
      </c>
      <c r="CX210" s="1" t="s">
        <v>1978</v>
      </c>
      <c r="CY210" s="1" t="s">
        <v>1567</v>
      </c>
      <c r="CZ210" s="1" t="s">
        <v>1602</v>
      </c>
      <c r="DA210" s="1" t="s">
        <v>1990</v>
      </c>
      <c r="DB210" s="1" t="s">
        <v>1603</v>
      </c>
      <c r="DC210" s="1" t="s">
        <v>1534</v>
      </c>
      <c r="DD210" s="1" t="s">
        <v>1525</v>
      </c>
      <c r="DE210" s="1" t="s">
        <v>46</v>
      </c>
      <c r="DF210" s="1" t="s">
        <v>68</v>
      </c>
      <c r="DG210" s="1" t="s">
        <v>45</v>
      </c>
      <c r="DH210" s="1" t="s">
        <v>51</v>
      </c>
      <c r="DI210" s="1" t="s">
        <v>2127</v>
      </c>
      <c r="DJ210" s="32">
        <v>45455</v>
      </c>
      <c r="DM210" s="1" t="s">
        <v>45</v>
      </c>
      <c r="DO210" s="1" t="s">
        <v>45</v>
      </c>
      <c r="DQ210" s="1" t="s">
        <v>45</v>
      </c>
      <c r="DT210" s="32">
        <v>45770</v>
      </c>
      <c r="DU210" s="1" t="s">
        <v>1598</v>
      </c>
      <c r="DV210" s="1">
        <v>203.25229960578099</v>
      </c>
      <c r="DW210" s="1" t="s">
        <v>45</v>
      </c>
      <c r="DY210" s="32">
        <v>45810</v>
      </c>
      <c r="DZ210" s="1" t="s">
        <v>1544</v>
      </c>
    </row>
    <row r="211" spans="1:130" ht="15.75" customHeight="1" x14ac:dyDescent="0.2">
      <c r="A211" s="8" t="s">
        <v>680</v>
      </c>
      <c r="B211" s="32">
        <v>23141</v>
      </c>
      <c r="C211" s="32">
        <v>45362</v>
      </c>
      <c r="D211" s="1">
        <v>60.839031602291598</v>
      </c>
      <c r="E211" s="1" t="s">
        <v>1587</v>
      </c>
      <c r="F211" s="1" t="s">
        <v>1524</v>
      </c>
      <c r="G211" s="1" t="s">
        <v>1574</v>
      </c>
      <c r="H211" s="1" t="s">
        <v>51</v>
      </c>
      <c r="I211" s="1">
        <v>1.5549999999999999</v>
      </c>
      <c r="J211" s="1" t="s">
        <v>51</v>
      </c>
      <c r="K211" s="1">
        <v>51.9</v>
      </c>
      <c r="L211" s="1">
        <v>21.463797934264498</v>
      </c>
      <c r="M211" s="1" t="s">
        <v>45</v>
      </c>
      <c r="N211" s="1" t="s">
        <v>45</v>
      </c>
      <c r="O211" s="1" t="s">
        <v>45</v>
      </c>
      <c r="P211" s="1" t="s">
        <v>45</v>
      </c>
      <c r="Q211" s="1" t="s">
        <v>45</v>
      </c>
      <c r="R211" s="1" t="s">
        <v>45</v>
      </c>
      <c r="S211" s="1" t="s">
        <v>45</v>
      </c>
      <c r="T211" s="1" t="s">
        <v>45</v>
      </c>
      <c r="U211" s="1" t="s">
        <v>45</v>
      </c>
      <c r="V211" s="1" t="s">
        <v>45</v>
      </c>
      <c r="W211" s="1" t="s">
        <v>45</v>
      </c>
      <c r="X211" s="1" t="s">
        <v>45</v>
      </c>
      <c r="Y211" s="1" t="s">
        <v>45</v>
      </c>
      <c r="Z211" s="1" t="s">
        <v>45</v>
      </c>
      <c r="AA211" s="1" t="s">
        <v>45</v>
      </c>
      <c r="AB211" s="1" t="s">
        <v>45</v>
      </c>
      <c r="AC211" s="1" t="s">
        <v>45</v>
      </c>
      <c r="AD211" s="1" t="s">
        <v>45</v>
      </c>
      <c r="AE211" s="1" t="s">
        <v>45</v>
      </c>
      <c r="AF211" s="32">
        <v>45428</v>
      </c>
      <c r="AG211" s="1">
        <v>61.019733464752797</v>
      </c>
      <c r="AH211" s="1" t="s">
        <v>1558</v>
      </c>
      <c r="AI211" s="1" t="s">
        <v>1527</v>
      </c>
      <c r="AJ211" s="1" t="s">
        <v>45</v>
      </c>
      <c r="AK211" s="1" t="s">
        <v>51</v>
      </c>
      <c r="AL211" s="1" t="s">
        <v>45</v>
      </c>
      <c r="AM211" s="1" t="s">
        <v>45</v>
      </c>
      <c r="AN211" s="1" t="s">
        <v>45</v>
      </c>
      <c r="AO211" s="1" t="s">
        <v>45</v>
      </c>
      <c r="AP211" s="1" t="s">
        <v>45</v>
      </c>
      <c r="AQ211" s="1" t="s">
        <v>45</v>
      </c>
      <c r="AR211" s="1" t="s">
        <v>45</v>
      </c>
      <c r="AT211" s="1" t="s">
        <v>1601</v>
      </c>
      <c r="AW211" s="33" t="s">
        <v>1463</v>
      </c>
      <c r="AX211" s="3" t="s">
        <v>1601</v>
      </c>
      <c r="AY211" s="3"/>
      <c r="AZ211" s="1">
        <v>3</v>
      </c>
      <c r="BA211" s="1" t="s">
        <v>1978</v>
      </c>
      <c r="BB211" s="1" t="s">
        <v>1567</v>
      </c>
      <c r="BC211" s="1" t="s">
        <v>1602</v>
      </c>
      <c r="BD211" s="1" t="s">
        <v>1990</v>
      </c>
      <c r="BE211" s="1" t="s">
        <v>1603</v>
      </c>
      <c r="BF211" s="1" t="s">
        <v>1534</v>
      </c>
      <c r="BG211" s="1" t="s">
        <v>1525</v>
      </c>
      <c r="BH211" s="1" t="s">
        <v>1525</v>
      </c>
      <c r="BI211" s="1" t="s">
        <v>1535</v>
      </c>
      <c r="BJ211" s="1" t="s">
        <v>45</v>
      </c>
      <c r="BK211" s="1" t="s">
        <v>1536</v>
      </c>
      <c r="BL211" s="32">
        <v>45428</v>
      </c>
      <c r="BM211" s="1" t="s">
        <v>681</v>
      </c>
      <c r="BO211" s="1" t="s">
        <v>1537</v>
      </c>
      <c r="BP211" s="1" t="s">
        <v>1538</v>
      </c>
      <c r="BQ211" s="1" t="s">
        <v>1539</v>
      </c>
      <c r="BR211" s="1" t="s">
        <v>1552</v>
      </c>
      <c r="BS211" s="1" t="s">
        <v>50</v>
      </c>
      <c r="BU211" s="1" t="s">
        <v>51</v>
      </c>
      <c r="BV211" s="1" t="s">
        <v>1541</v>
      </c>
      <c r="BW211" s="1" t="s">
        <v>1542</v>
      </c>
      <c r="CA211" s="1" t="s">
        <v>51</v>
      </c>
      <c r="CB211" s="1" t="s">
        <v>51</v>
      </c>
      <c r="CC211" s="32">
        <v>45510</v>
      </c>
      <c r="CD211" s="1">
        <v>54</v>
      </c>
      <c r="CE211" s="1">
        <v>30</v>
      </c>
      <c r="CG211" s="1" t="s">
        <v>2128</v>
      </c>
      <c r="CJ211" s="1" t="s">
        <v>45</v>
      </c>
      <c r="DH211" s="1" t="s">
        <v>45</v>
      </c>
      <c r="DM211" s="1" t="s">
        <v>45</v>
      </c>
      <c r="DO211" s="1" t="s">
        <v>45</v>
      </c>
      <c r="DQ211" s="1" t="s">
        <v>45</v>
      </c>
      <c r="DT211" s="32">
        <v>45800</v>
      </c>
      <c r="DU211" s="1" t="s">
        <v>1598</v>
      </c>
      <c r="DV211" s="1">
        <v>12.2207621550591</v>
      </c>
      <c r="DW211" s="1" t="s">
        <v>45</v>
      </c>
      <c r="DY211" s="32">
        <v>45810</v>
      </c>
      <c r="DZ211" s="1" t="s">
        <v>1544</v>
      </c>
    </row>
    <row r="212" spans="1:130" ht="15.75" customHeight="1" x14ac:dyDescent="0.2">
      <c r="A212" s="8" t="s">
        <v>683</v>
      </c>
      <c r="B212" s="32">
        <v>30882</v>
      </c>
      <c r="C212" s="32">
        <v>45376</v>
      </c>
      <c r="D212" s="1">
        <v>39.683224159291399</v>
      </c>
      <c r="E212" s="1" t="s">
        <v>1587</v>
      </c>
      <c r="F212" s="1" t="s">
        <v>1524</v>
      </c>
      <c r="G212" s="1" t="s">
        <v>1574</v>
      </c>
      <c r="H212" s="1" t="s">
        <v>51</v>
      </c>
      <c r="I212" s="1">
        <v>1.73</v>
      </c>
      <c r="J212" s="1" t="s">
        <v>51</v>
      </c>
      <c r="K212" s="1">
        <v>131.4</v>
      </c>
      <c r="L212" s="1">
        <v>43.903905910655197</v>
      </c>
      <c r="M212" s="1" t="s">
        <v>45</v>
      </c>
      <c r="N212" s="1" t="s">
        <v>45</v>
      </c>
      <c r="O212" s="1" t="s">
        <v>45</v>
      </c>
      <c r="P212" s="1" t="s">
        <v>45</v>
      </c>
      <c r="Q212" s="1" t="s">
        <v>45</v>
      </c>
      <c r="R212" s="1" t="s">
        <v>45</v>
      </c>
      <c r="S212" s="1" t="s">
        <v>45</v>
      </c>
      <c r="T212" s="1" t="s">
        <v>45</v>
      </c>
      <c r="U212" s="1" t="s">
        <v>45</v>
      </c>
      <c r="V212" s="1" t="s">
        <v>45</v>
      </c>
      <c r="W212" s="1" t="s">
        <v>45</v>
      </c>
      <c r="X212" s="1" t="s">
        <v>45</v>
      </c>
      <c r="Y212" s="1" t="s">
        <v>45</v>
      </c>
      <c r="Z212" s="1" t="s">
        <v>45</v>
      </c>
      <c r="AA212" s="1" t="s">
        <v>45</v>
      </c>
      <c r="AB212" s="1" t="s">
        <v>45</v>
      </c>
      <c r="AC212" s="1" t="s">
        <v>45</v>
      </c>
      <c r="AD212" s="1" t="s">
        <v>45</v>
      </c>
      <c r="AE212" s="1" t="s">
        <v>45</v>
      </c>
      <c r="AF212" s="32">
        <v>45434</v>
      </c>
      <c r="AG212" s="1">
        <v>39.842022765696697</v>
      </c>
      <c r="AH212" s="1" t="s">
        <v>1526</v>
      </c>
      <c r="AI212" s="1" t="s">
        <v>1527</v>
      </c>
      <c r="AJ212" s="1" t="s">
        <v>45</v>
      </c>
      <c r="AK212" s="1" t="s">
        <v>51</v>
      </c>
      <c r="AL212" s="1" t="s">
        <v>45</v>
      </c>
      <c r="AM212" s="1" t="s">
        <v>45</v>
      </c>
      <c r="AN212" s="1" t="s">
        <v>45</v>
      </c>
      <c r="AO212" s="1" t="s">
        <v>45</v>
      </c>
      <c r="AP212" s="1" t="s">
        <v>45</v>
      </c>
      <c r="AQ212" s="1" t="s">
        <v>45</v>
      </c>
      <c r="AR212" s="1" t="s">
        <v>45</v>
      </c>
      <c r="AT212" s="1" t="s">
        <v>1601</v>
      </c>
      <c r="AW212" s="33" t="s">
        <v>1464</v>
      </c>
      <c r="AX212" s="3"/>
      <c r="AY212" s="3" t="s">
        <v>1601</v>
      </c>
      <c r="AZ212" s="1">
        <v>2</v>
      </c>
      <c r="BA212" s="1" t="s">
        <v>1821</v>
      </c>
      <c r="BB212" s="1" t="s">
        <v>1567</v>
      </c>
      <c r="BC212" s="1" t="s">
        <v>1602</v>
      </c>
      <c r="BD212" s="1" t="s">
        <v>1990</v>
      </c>
      <c r="BE212" s="1" t="s">
        <v>1525</v>
      </c>
      <c r="BG212" s="1" t="s">
        <v>1525</v>
      </c>
      <c r="BH212" s="1" t="s">
        <v>46</v>
      </c>
      <c r="BI212" s="1" t="s">
        <v>1535</v>
      </c>
      <c r="BJ212" s="1" t="s">
        <v>45</v>
      </c>
      <c r="BK212" s="1" t="s">
        <v>1536</v>
      </c>
      <c r="BL212" s="32">
        <v>45434</v>
      </c>
      <c r="BM212" s="1" t="s">
        <v>684</v>
      </c>
      <c r="BO212" s="1" t="s">
        <v>1537</v>
      </c>
      <c r="BP212" s="1" t="s">
        <v>1538</v>
      </c>
      <c r="BQ212" s="1" t="s">
        <v>1539</v>
      </c>
      <c r="BR212" s="1" t="s">
        <v>1540</v>
      </c>
      <c r="BS212" s="1" t="s">
        <v>50</v>
      </c>
      <c r="BU212" s="1" t="s">
        <v>45</v>
      </c>
      <c r="BW212" s="1" t="s">
        <v>1542</v>
      </c>
      <c r="CA212" s="1" t="s">
        <v>45</v>
      </c>
      <c r="CB212" s="1" t="s">
        <v>45</v>
      </c>
      <c r="CG212" s="1" t="s">
        <v>2129</v>
      </c>
      <c r="CJ212" s="1" t="s">
        <v>45</v>
      </c>
      <c r="DH212" s="1" t="s">
        <v>45</v>
      </c>
      <c r="DM212" s="1" t="s">
        <v>45</v>
      </c>
      <c r="DO212" s="1" t="s">
        <v>45</v>
      </c>
      <c r="DQ212" s="1" t="s">
        <v>45</v>
      </c>
      <c r="DT212" s="32">
        <v>45797</v>
      </c>
      <c r="DU212" s="1" t="s">
        <v>1598</v>
      </c>
      <c r="DV212" s="1">
        <v>11.9250985545335</v>
      </c>
      <c r="DW212" s="1" t="s">
        <v>45</v>
      </c>
      <c r="DY212" s="32">
        <v>45810</v>
      </c>
      <c r="DZ212" s="1" t="s">
        <v>1544</v>
      </c>
    </row>
    <row r="213" spans="1:130" ht="15.75" customHeight="1" x14ac:dyDescent="0.2">
      <c r="A213" s="8" t="s">
        <v>686</v>
      </c>
      <c r="B213" s="32">
        <v>32080</v>
      </c>
      <c r="C213" s="32">
        <v>45390</v>
      </c>
      <c r="D213" s="1">
        <v>36.441542263016999</v>
      </c>
      <c r="E213" s="1" t="s">
        <v>1587</v>
      </c>
      <c r="F213" s="1" t="s">
        <v>1524</v>
      </c>
      <c r="G213" s="1" t="s">
        <v>1574</v>
      </c>
      <c r="H213" s="1" t="s">
        <v>51</v>
      </c>
      <c r="I213" s="1">
        <v>1.61</v>
      </c>
      <c r="J213" s="1" t="s">
        <v>51</v>
      </c>
      <c r="K213" s="1">
        <v>68.400000000000006</v>
      </c>
      <c r="L213" s="1">
        <v>26.387870838316399</v>
      </c>
      <c r="M213" s="1" t="s">
        <v>45</v>
      </c>
      <c r="N213" s="1" t="s">
        <v>45</v>
      </c>
      <c r="O213" s="1" t="s">
        <v>45</v>
      </c>
      <c r="P213" s="1" t="s">
        <v>45</v>
      </c>
      <c r="Q213" s="1" t="s">
        <v>45</v>
      </c>
      <c r="R213" s="1" t="s">
        <v>45</v>
      </c>
      <c r="S213" s="1" t="s">
        <v>45</v>
      </c>
      <c r="T213" s="1" t="s">
        <v>45</v>
      </c>
      <c r="U213" s="1" t="s">
        <v>45</v>
      </c>
      <c r="V213" s="1" t="s">
        <v>45</v>
      </c>
      <c r="W213" s="1" t="s">
        <v>45</v>
      </c>
      <c r="X213" s="1" t="s">
        <v>45</v>
      </c>
      <c r="Y213" s="1" t="s">
        <v>45</v>
      </c>
      <c r="Z213" s="1" t="s">
        <v>45</v>
      </c>
      <c r="AA213" s="1" t="s">
        <v>45</v>
      </c>
      <c r="AB213" s="1" t="s">
        <v>45</v>
      </c>
      <c r="AC213" s="1" t="s">
        <v>45</v>
      </c>
      <c r="AD213" s="1" t="s">
        <v>45</v>
      </c>
      <c r="AE213" s="1" t="s">
        <v>45</v>
      </c>
      <c r="AF213" s="32">
        <v>45435</v>
      </c>
      <c r="AG213" s="1">
        <v>36.564748078331498</v>
      </c>
      <c r="AH213" s="1" t="s">
        <v>1526</v>
      </c>
      <c r="AI213" s="1" t="s">
        <v>1527</v>
      </c>
      <c r="AJ213" s="1" t="s">
        <v>45</v>
      </c>
      <c r="AK213" s="1" t="s">
        <v>51</v>
      </c>
      <c r="AL213" s="1" t="s">
        <v>45</v>
      </c>
      <c r="AM213" s="1" t="s">
        <v>45</v>
      </c>
      <c r="AN213" s="1" t="s">
        <v>45</v>
      </c>
      <c r="AO213" s="1" t="s">
        <v>45</v>
      </c>
      <c r="AP213" s="1" t="s">
        <v>45</v>
      </c>
      <c r="AQ213" s="1" t="s">
        <v>45</v>
      </c>
      <c r="AR213" s="1" t="s">
        <v>45</v>
      </c>
      <c r="AT213" s="1" t="s">
        <v>1560</v>
      </c>
      <c r="AW213" s="33" t="s">
        <v>1463</v>
      </c>
      <c r="AX213" s="3" t="s">
        <v>1560</v>
      </c>
      <c r="AY213" s="3"/>
      <c r="AZ213" s="1">
        <v>4</v>
      </c>
      <c r="BA213" s="1" t="s">
        <v>1529</v>
      </c>
      <c r="BB213" s="1" t="s">
        <v>1567</v>
      </c>
      <c r="BC213" s="1" t="s">
        <v>1531</v>
      </c>
      <c r="BD213" s="1" t="s">
        <v>1822</v>
      </c>
      <c r="BE213" s="1" t="s">
        <v>1525</v>
      </c>
      <c r="BG213" s="1" t="s">
        <v>45</v>
      </c>
      <c r="BH213" s="1" t="s">
        <v>46</v>
      </c>
      <c r="BI213" s="1" t="s">
        <v>1599</v>
      </c>
      <c r="BJ213" s="1" t="s">
        <v>51</v>
      </c>
      <c r="BK213" s="1" t="s">
        <v>1536</v>
      </c>
      <c r="BL213" s="32">
        <v>45435</v>
      </c>
      <c r="BM213" s="1" t="s">
        <v>687</v>
      </c>
      <c r="BO213" s="1" t="s">
        <v>1537</v>
      </c>
      <c r="BP213" s="1" t="s">
        <v>1538</v>
      </c>
      <c r="BQ213" s="1" t="s">
        <v>1647</v>
      </c>
      <c r="BR213" s="1" t="s">
        <v>1552</v>
      </c>
      <c r="BS213" s="1" t="s">
        <v>50</v>
      </c>
      <c r="BU213" s="1" t="s">
        <v>51</v>
      </c>
      <c r="BV213" s="1" t="s">
        <v>1541</v>
      </c>
      <c r="BW213" s="1" t="s">
        <v>1563</v>
      </c>
      <c r="BX213" s="32">
        <v>45583</v>
      </c>
      <c r="BY213" s="1">
        <v>12</v>
      </c>
      <c r="BZ213" s="1" t="s">
        <v>2130</v>
      </c>
      <c r="CA213" s="1" t="s">
        <v>51</v>
      </c>
      <c r="CB213" s="1" t="s">
        <v>51</v>
      </c>
      <c r="CC213" s="32">
        <v>45490</v>
      </c>
      <c r="CD213" s="1">
        <v>59.4</v>
      </c>
      <c r="CE213" s="1">
        <v>33</v>
      </c>
      <c r="CF213" s="1" t="s">
        <v>2131</v>
      </c>
      <c r="CJ213" s="1" t="s">
        <v>45</v>
      </c>
      <c r="DH213" s="1" t="s">
        <v>45</v>
      </c>
      <c r="DM213" s="1" t="s">
        <v>45</v>
      </c>
      <c r="DO213" s="1" t="s">
        <v>45</v>
      </c>
      <c r="DQ213" s="1" t="s">
        <v>45</v>
      </c>
      <c r="DT213" s="32">
        <v>45791</v>
      </c>
      <c r="DU213" s="1" t="s">
        <v>1598</v>
      </c>
      <c r="DV213" s="1">
        <v>11.695137976346899</v>
      </c>
      <c r="DW213" s="1" t="s">
        <v>45</v>
      </c>
      <c r="DY213" s="32">
        <v>45810</v>
      </c>
      <c r="DZ213" s="1" t="s">
        <v>1544</v>
      </c>
    </row>
    <row r="214" spans="1:130" ht="15.75" customHeight="1" x14ac:dyDescent="0.2">
      <c r="A214" s="8" t="s">
        <v>1108</v>
      </c>
      <c r="B214" s="32">
        <v>25447</v>
      </c>
      <c r="C214" s="32">
        <v>45439</v>
      </c>
      <c r="D214" s="1">
        <v>54.736236883714199</v>
      </c>
      <c r="E214" s="1" t="s">
        <v>1523</v>
      </c>
      <c r="F214" s="1" t="s">
        <v>1524</v>
      </c>
      <c r="G214" s="1" t="s">
        <v>1545</v>
      </c>
      <c r="H214" s="1" t="s">
        <v>51</v>
      </c>
      <c r="I214" s="1">
        <v>1.71</v>
      </c>
      <c r="J214" s="1" t="s">
        <v>51</v>
      </c>
      <c r="K214" s="1">
        <v>64.099999999999994</v>
      </c>
      <c r="L214" s="1">
        <v>21.921274922198201</v>
      </c>
      <c r="M214" s="1" t="s">
        <v>45</v>
      </c>
      <c r="N214" s="1" t="s">
        <v>45</v>
      </c>
      <c r="O214" s="1" t="s">
        <v>45</v>
      </c>
      <c r="P214" s="1" t="s">
        <v>45</v>
      </c>
      <c r="Q214" s="1" t="s">
        <v>45</v>
      </c>
      <c r="R214" s="1" t="s">
        <v>45</v>
      </c>
      <c r="S214" s="1" t="s">
        <v>45</v>
      </c>
      <c r="T214" s="1" t="s">
        <v>45</v>
      </c>
      <c r="U214" s="1" t="s">
        <v>51</v>
      </c>
      <c r="V214" s="1" t="s">
        <v>45</v>
      </c>
      <c r="W214" s="1" t="s">
        <v>45</v>
      </c>
      <c r="X214" s="1" t="s">
        <v>45</v>
      </c>
      <c r="Y214" s="1" t="s">
        <v>45</v>
      </c>
      <c r="Z214" s="1" t="s">
        <v>45</v>
      </c>
      <c r="AA214" s="1" t="s">
        <v>45</v>
      </c>
      <c r="AB214" s="1" t="s">
        <v>45</v>
      </c>
      <c r="AC214" s="1" t="s">
        <v>45</v>
      </c>
      <c r="AD214" s="1" t="s">
        <v>45</v>
      </c>
      <c r="AE214" s="1" t="s">
        <v>45</v>
      </c>
      <c r="AF214" s="32">
        <v>45438</v>
      </c>
      <c r="AG214" s="1">
        <v>54.733498976707203</v>
      </c>
      <c r="AH214" s="1" t="s">
        <v>1526</v>
      </c>
      <c r="AI214" s="1" t="s">
        <v>1527</v>
      </c>
      <c r="AJ214" s="1" t="s">
        <v>45</v>
      </c>
      <c r="AK214" s="1" t="s">
        <v>45</v>
      </c>
      <c r="AL214" s="1" t="s">
        <v>51</v>
      </c>
      <c r="AM214" s="1" t="s">
        <v>51</v>
      </c>
      <c r="AN214" s="1" t="s">
        <v>45</v>
      </c>
      <c r="AO214" s="1" t="s">
        <v>45</v>
      </c>
      <c r="AP214" s="1" t="s">
        <v>45</v>
      </c>
      <c r="AQ214" s="1" t="s">
        <v>45</v>
      </c>
      <c r="AR214" s="1" t="s">
        <v>51</v>
      </c>
      <c r="AS214" s="1" t="s">
        <v>2132</v>
      </c>
      <c r="AT214" s="1" t="s">
        <v>1528</v>
      </c>
      <c r="AW214" s="33" t="s">
        <v>1463</v>
      </c>
      <c r="AX214" s="3" t="s">
        <v>1528</v>
      </c>
      <c r="AY214" s="3"/>
      <c r="AZ214" s="1">
        <v>4</v>
      </c>
      <c r="BA214" s="1" t="s">
        <v>1529</v>
      </c>
      <c r="BB214" s="1" t="s">
        <v>1530</v>
      </c>
      <c r="BC214" s="1" t="s">
        <v>1531</v>
      </c>
      <c r="BD214" s="1" t="s">
        <v>1532</v>
      </c>
      <c r="BE214" s="1" t="s">
        <v>1603</v>
      </c>
      <c r="BF214" s="1" t="s">
        <v>1534</v>
      </c>
      <c r="BG214" s="1" t="s">
        <v>45</v>
      </c>
      <c r="BH214" s="1" t="s">
        <v>46</v>
      </c>
      <c r="BI214" s="1" t="s">
        <v>1535</v>
      </c>
      <c r="BJ214" s="1" t="s">
        <v>45</v>
      </c>
      <c r="BK214" s="1" t="s">
        <v>1549</v>
      </c>
      <c r="BL214" s="32">
        <v>45438</v>
      </c>
      <c r="BM214" s="1" t="s">
        <v>1109</v>
      </c>
      <c r="BO214" s="1" t="s">
        <v>1537</v>
      </c>
      <c r="BP214" s="1" t="s">
        <v>1538</v>
      </c>
      <c r="BQ214" s="1" t="s">
        <v>1539</v>
      </c>
      <c r="BR214" s="1" t="s">
        <v>1589</v>
      </c>
      <c r="BS214" s="1" t="s">
        <v>177</v>
      </c>
      <c r="BU214" s="1" t="s">
        <v>51</v>
      </c>
      <c r="BV214" s="1" t="s">
        <v>1541</v>
      </c>
      <c r="BW214" s="1" t="s">
        <v>1563</v>
      </c>
      <c r="BX214" s="32">
        <v>45553</v>
      </c>
      <c r="BY214" s="1">
        <v>12</v>
      </c>
      <c r="BZ214" s="1" t="s">
        <v>2133</v>
      </c>
      <c r="CA214" s="1" t="s">
        <v>51</v>
      </c>
      <c r="CB214" s="1" t="s">
        <v>51</v>
      </c>
      <c r="CC214" s="32">
        <v>45456</v>
      </c>
      <c r="CD214" s="1">
        <v>54</v>
      </c>
      <c r="CE214" s="1">
        <v>30</v>
      </c>
      <c r="CF214" s="1" t="s">
        <v>2134</v>
      </c>
      <c r="CJ214" s="1" t="s">
        <v>45</v>
      </c>
      <c r="DH214" s="1" t="s">
        <v>45</v>
      </c>
      <c r="DM214" s="1" t="s">
        <v>45</v>
      </c>
      <c r="DO214" s="1" t="s">
        <v>45</v>
      </c>
      <c r="DQ214" s="1" t="s">
        <v>45</v>
      </c>
      <c r="DT214" s="32">
        <v>45784</v>
      </c>
      <c r="DU214" s="1" t="s">
        <v>1598</v>
      </c>
      <c r="DV214" s="1">
        <v>11.366622864651699</v>
      </c>
      <c r="DW214" s="1" t="s">
        <v>45</v>
      </c>
      <c r="DY214" s="32">
        <v>45812</v>
      </c>
      <c r="DZ214" s="1" t="s">
        <v>1544</v>
      </c>
    </row>
    <row r="215" spans="1:130" ht="15.75" customHeight="1" x14ac:dyDescent="0.2">
      <c r="A215" s="8" t="s">
        <v>1110</v>
      </c>
      <c r="B215" s="32">
        <v>30256</v>
      </c>
      <c r="C215" s="32">
        <v>43432</v>
      </c>
      <c r="D215" s="1">
        <v>36.074662724080497</v>
      </c>
      <c r="E215" s="1" t="s">
        <v>1523</v>
      </c>
      <c r="F215" s="1" t="s">
        <v>1524</v>
      </c>
      <c r="G215" s="1" t="s">
        <v>1686</v>
      </c>
      <c r="H215" s="1" t="s">
        <v>51</v>
      </c>
      <c r="I215" s="1">
        <v>1.66</v>
      </c>
      <c r="J215" s="1" t="s">
        <v>51</v>
      </c>
      <c r="K215" s="1">
        <v>75.599999999999994</v>
      </c>
      <c r="L215" s="1">
        <v>27.4350413703004</v>
      </c>
      <c r="M215" s="1" t="s">
        <v>45</v>
      </c>
      <c r="N215" s="1" t="s">
        <v>45</v>
      </c>
      <c r="O215" s="1" t="s">
        <v>45</v>
      </c>
      <c r="P215" s="1" t="s">
        <v>45</v>
      </c>
      <c r="Q215" s="1" t="s">
        <v>45</v>
      </c>
      <c r="R215" s="1" t="s">
        <v>45</v>
      </c>
      <c r="S215" s="1" t="s">
        <v>45</v>
      </c>
      <c r="T215" s="1" t="s">
        <v>45</v>
      </c>
      <c r="U215" s="1" t="s">
        <v>45</v>
      </c>
      <c r="V215" s="1" t="s">
        <v>45</v>
      </c>
      <c r="W215" s="1" t="s">
        <v>45</v>
      </c>
      <c r="X215" s="1" t="s">
        <v>45</v>
      </c>
      <c r="Y215" s="1" t="s">
        <v>45</v>
      </c>
      <c r="Z215" s="1" t="s">
        <v>45</v>
      </c>
      <c r="AA215" s="1" t="s">
        <v>45</v>
      </c>
      <c r="AB215" s="1" t="s">
        <v>45</v>
      </c>
      <c r="AC215" s="1" t="s">
        <v>45</v>
      </c>
      <c r="AD215" s="1" t="s">
        <v>45</v>
      </c>
      <c r="AE215" s="1" t="s">
        <v>45</v>
      </c>
      <c r="AF215" s="32">
        <v>43412</v>
      </c>
      <c r="AG215" s="1">
        <v>36.0199045839408</v>
      </c>
      <c r="AH215" s="1" t="s">
        <v>1526</v>
      </c>
      <c r="AI215" s="1" t="s">
        <v>1527</v>
      </c>
      <c r="AJ215" s="1" t="s">
        <v>45</v>
      </c>
      <c r="AK215" s="1" t="s">
        <v>45</v>
      </c>
      <c r="AL215" s="1" t="s">
        <v>51</v>
      </c>
      <c r="AM215" s="1" t="s">
        <v>51</v>
      </c>
      <c r="AN215" s="1" t="s">
        <v>45</v>
      </c>
      <c r="AO215" s="1" t="s">
        <v>45</v>
      </c>
      <c r="AP215" s="1" t="s">
        <v>45</v>
      </c>
      <c r="AQ215" s="1" t="s">
        <v>51</v>
      </c>
      <c r="AR215" s="1" t="s">
        <v>45</v>
      </c>
      <c r="AT215" s="1" t="s">
        <v>1560</v>
      </c>
      <c r="AW215" s="33" t="s">
        <v>1463</v>
      </c>
      <c r="AX215" s="3" t="s">
        <v>1560</v>
      </c>
      <c r="AY215" s="3"/>
      <c r="AZ215" s="1">
        <v>4</v>
      </c>
      <c r="BA215" s="1" t="s">
        <v>1529</v>
      </c>
      <c r="BB215" s="1" t="s">
        <v>1567</v>
      </c>
      <c r="BC215" s="1" t="s">
        <v>1531</v>
      </c>
      <c r="BD215" s="1" t="s">
        <v>1822</v>
      </c>
      <c r="BE215" s="1" t="s">
        <v>1533</v>
      </c>
      <c r="BF215" s="1" t="s">
        <v>2135</v>
      </c>
      <c r="BG215" s="1" t="s">
        <v>45</v>
      </c>
      <c r="BH215" s="1" t="s">
        <v>46</v>
      </c>
      <c r="BI215" s="1" t="s">
        <v>1599</v>
      </c>
      <c r="BJ215" s="1" t="s">
        <v>1525</v>
      </c>
      <c r="BK215" s="1" t="s">
        <v>1549</v>
      </c>
      <c r="BL215" s="32">
        <v>43412</v>
      </c>
      <c r="BM215" s="1" t="s">
        <v>1111</v>
      </c>
      <c r="BO215" s="1" t="s">
        <v>1537</v>
      </c>
      <c r="BP215" s="1" t="s">
        <v>1538</v>
      </c>
      <c r="BQ215" s="1" t="s">
        <v>1647</v>
      </c>
      <c r="BR215" s="1" t="s">
        <v>1540</v>
      </c>
      <c r="BS215" s="1" t="s">
        <v>50</v>
      </c>
      <c r="BU215" s="1" t="s">
        <v>51</v>
      </c>
      <c r="BV215" s="1" t="s">
        <v>1541</v>
      </c>
      <c r="BW215" s="1" t="s">
        <v>1563</v>
      </c>
      <c r="BX215" s="32">
        <v>43524</v>
      </c>
      <c r="BY215" s="1">
        <v>12</v>
      </c>
      <c r="BZ215" s="1" t="s">
        <v>2136</v>
      </c>
      <c r="CA215" s="1" t="s">
        <v>51</v>
      </c>
      <c r="CB215" s="1" t="s">
        <v>51</v>
      </c>
      <c r="CC215" s="32">
        <v>43444</v>
      </c>
      <c r="CD215" s="1">
        <v>59.4</v>
      </c>
      <c r="CE215" s="1">
        <v>33</v>
      </c>
      <c r="CI215" s="1" t="s">
        <v>2137</v>
      </c>
      <c r="CJ215" s="1" t="s">
        <v>51</v>
      </c>
      <c r="CL215" s="1" t="s">
        <v>51</v>
      </c>
      <c r="CM215" s="32">
        <v>45448</v>
      </c>
      <c r="CN215" s="1">
        <v>5.5743786662285997</v>
      </c>
      <c r="CO215" s="1" t="s">
        <v>1537</v>
      </c>
      <c r="CP215" s="1" t="s">
        <v>1796</v>
      </c>
      <c r="CQ215" s="1" t="s">
        <v>1539</v>
      </c>
      <c r="CR215" s="1" t="s">
        <v>1540</v>
      </c>
      <c r="CS215" s="1" t="s">
        <v>50</v>
      </c>
      <c r="CT215" s="1" t="s">
        <v>1560</v>
      </c>
      <c r="CW215" s="1">
        <v>4</v>
      </c>
      <c r="CX215" s="1" t="s">
        <v>1529</v>
      </c>
      <c r="CY215" s="1" t="s">
        <v>1567</v>
      </c>
      <c r="CZ215" s="1" t="s">
        <v>1531</v>
      </c>
      <c r="DA215" s="1" t="s">
        <v>1822</v>
      </c>
      <c r="DB215" s="1" t="s">
        <v>1533</v>
      </c>
      <c r="DD215" s="1" t="s">
        <v>45</v>
      </c>
      <c r="DE215" s="1" t="s">
        <v>46</v>
      </c>
      <c r="DF215" s="1" t="s">
        <v>46</v>
      </c>
      <c r="DG215" s="1" t="s">
        <v>45</v>
      </c>
      <c r="DH215" s="1" t="s">
        <v>51</v>
      </c>
      <c r="DI215" s="1" t="s">
        <v>2138</v>
      </c>
      <c r="DJ215" s="32">
        <v>45499</v>
      </c>
      <c r="DM215" s="1" t="s">
        <v>45</v>
      </c>
      <c r="DO215" s="1" t="s">
        <v>45</v>
      </c>
      <c r="DQ215" s="1" t="s">
        <v>45</v>
      </c>
      <c r="DT215" s="32">
        <v>45810</v>
      </c>
      <c r="DU215" s="1" t="s">
        <v>1598</v>
      </c>
      <c r="DV215" s="1">
        <v>78.777923784494007</v>
      </c>
      <c r="DW215" s="1" t="s">
        <v>45</v>
      </c>
      <c r="DY215" s="32">
        <v>45812</v>
      </c>
      <c r="DZ215" s="1" t="s">
        <v>1544</v>
      </c>
    </row>
    <row r="216" spans="1:130" ht="15.75" customHeight="1" x14ac:dyDescent="0.2">
      <c r="A216" s="8" t="s">
        <v>1112</v>
      </c>
      <c r="B216" s="32">
        <v>17868</v>
      </c>
      <c r="C216" s="32">
        <v>45444</v>
      </c>
      <c r="D216" s="1">
        <v>75.500523624715001</v>
      </c>
      <c r="E216" s="1" t="s">
        <v>1587</v>
      </c>
      <c r="F216" s="1" t="s">
        <v>1524</v>
      </c>
      <c r="G216" s="1" t="s">
        <v>1545</v>
      </c>
      <c r="H216" s="1" t="s">
        <v>51</v>
      </c>
      <c r="I216" s="1">
        <v>1.65</v>
      </c>
      <c r="J216" s="1" t="s">
        <v>51</v>
      </c>
      <c r="K216" s="1">
        <v>79.900000000000006</v>
      </c>
      <c r="L216" s="1">
        <v>29.348025711662</v>
      </c>
      <c r="M216" s="1" t="s">
        <v>45</v>
      </c>
      <c r="N216" s="1" t="s">
        <v>45</v>
      </c>
      <c r="O216" s="1" t="s">
        <v>45</v>
      </c>
      <c r="P216" s="1" t="s">
        <v>51</v>
      </c>
      <c r="Q216" s="1" t="s">
        <v>45</v>
      </c>
      <c r="R216" s="1" t="s">
        <v>45</v>
      </c>
      <c r="S216" s="1" t="s">
        <v>45</v>
      </c>
      <c r="T216" s="1" t="s">
        <v>45</v>
      </c>
      <c r="U216" s="1" t="s">
        <v>45</v>
      </c>
      <c r="V216" s="1" t="s">
        <v>45</v>
      </c>
      <c r="W216" s="1" t="s">
        <v>45</v>
      </c>
      <c r="X216" s="1" t="s">
        <v>45</v>
      </c>
      <c r="Y216" s="1" t="s">
        <v>45</v>
      </c>
      <c r="Z216" s="1" t="s">
        <v>45</v>
      </c>
      <c r="AA216" s="1" t="s">
        <v>45</v>
      </c>
      <c r="AB216" s="1" t="s">
        <v>45</v>
      </c>
      <c r="AC216" s="1" t="s">
        <v>45</v>
      </c>
      <c r="AD216" s="1" t="s">
        <v>45</v>
      </c>
      <c r="AE216" s="1" t="s">
        <v>45</v>
      </c>
      <c r="AF216" s="32">
        <v>45451</v>
      </c>
      <c r="AG216" s="1">
        <v>75.519688973764005</v>
      </c>
      <c r="AH216" s="1" t="s">
        <v>1613</v>
      </c>
      <c r="AI216" s="1" t="s">
        <v>1527</v>
      </c>
      <c r="AJ216" s="1" t="s">
        <v>45</v>
      </c>
      <c r="AK216" s="1" t="s">
        <v>51</v>
      </c>
      <c r="AL216" s="1" t="s">
        <v>51</v>
      </c>
      <c r="AM216" s="1" t="s">
        <v>51</v>
      </c>
      <c r="AN216" s="1" t="s">
        <v>45</v>
      </c>
      <c r="AO216" s="1" t="s">
        <v>45</v>
      </c>
      <c r="AP216" s="1" t="s">
        <v>51</v>
      </c>
      <c r="AQ216" s="1" t="s">
        <v>51</v>
      </c>
      <c r="AR216" s="1" t="s">
        <v>45</v>
      </c>
      <c r="AT216" s="1" t="s">
        <v>1528</v>
      </c>
      <c r="AW216" s="33" t="s">
        <v>1463</v>
      </c>
      <c r="AX216" s="3" t="s">
        <v>1528</v>
      </c>
      <c r="AY216" s="3"/>
      <c r="AZ216" s="1">
        <v>4</v>
      </c>
      <c r="BA216" s="1" t="s">
        <v>1529</v>
      </c>
      <c r="BB216" s="1" t="s">
        <v>1530</v>
      </c>
      <c r="BC216" s="1" t="s">
        <v>1531</v>
      </c>
      <c r="BD216" s="1" t="s">
        <v>1532</v>
      </c>
      <c r="BE216" s="1" t="s">
        <v>1603</v>
      </c>
      <c r="BF216" s="1" t="s">
        <v>1534</v>
      </c>
      <c r="BG216" s="1" t="s">
        <v>45</v>
      </c>
      <c r="BH216" s="1" t="s">
        <v>68</v>
      </c>
      <c r="BI216" s="1" t="s">
        <v>1535</v>
      </c>
      <c r="BJ216" s="1" t="s">
        <v>45</v>
      </c>
      <c r="BK216" s="1" t="s">
        <v>1549</v>
      </c>
      <c r="BL216" s="32">
        <v>45451</v>
      </c>
      <c r="BM216" s="1" t="s">
        <v>1113</v>
      </c>
      <c r="BO216" s="1" t="s">
        <v>1537</v>
      </c>
      <c r="BP216" s="1" t="s">
        <v>1538</v>
      </c>
      <c r="BQ216" s="1" t="s">
        <v>1647</v>
      </c>
      <c r="BR216" s="1" t="s">
        <v>1540</v>
      </c>
      <c r="BS216" s="1" t="s">
        <v>106</v>
      </c>
      <c r="BU216" s="1" t="s">
        <v>51</v>
      </c>
      <c r="BV216" s="1" t="s">
        <v>1541</v>
      </c>
      <c r="BW216" s="1" t="s">
        <v>1563</v>
      </c>
      <c r="BX216" s="32">
        <v>45533</v>
      </c>
      <c r="BY216" s="1">
        <v>1</v>
      </c>
      <c r="BZ216" s="1" t="s">
        <v>2139</v>
      </c>
      <c r="CA216" s="1" t="s">
        <v>45</v>
      </c>
      <c r="CB216" s="1" t="s">
        <v>51</v>
      </c>
      <c r="CC216" s="32">
        <v>45484</v>
      </c>
      <c r="CD216" s="1">
        <v>25</v>
      </c>
      <c r="CE216" s="1">
        <v>5</v>
      </c>
      <c r="CF216" s="1" t="s">
        <v>2140</v>
      </c>
      <c r="CJ216" s="1" t="s">
        <v>45</v>
      </c>
      <c r="DH216" s="1" t="s">
        <v>45</v>
      </c>
      <c r="DM216" s="1" t="s">
        <v>45</v>
      </c>
      <c r="DO216" s="1" t="s">
        <v>45</v>
      </c>
      <c r="DQ216" s="1" t="s">
        <v>45</v>
      </c>
      <c r="DT216" s="32">
        <v>45609</v>
      </c>
      <c r="DU216" s="1" t="s">
        <v>1556</v>
      </c>
      <c r="DV216" s="1">
        <v>5.19053876478318</v>
      </c>
      <c r="DW216" s="1" t="s">
        <v>45</v>
      </c>
      <c r="DY216" s="32">
        <v>45621</v>
      </c>
      <c r="DZ216" s="1" t="s">
        <v>1544</v>
      </c>
    </row>
    <row r="217" spans="1:130" ht="15.75" customHeight="1" x14ac:dyDescent="0.2">
      <c r="A217" s="8" t="s">
        <v>1114</v>
      </c>
      <c r="B217" s="32">
        <v>21702</v>
      </c>
      <c r="C217" s="32">
        <v>45415</v>
      </c>
      <c r="D217" s="1">
        <v>64.923988856718395</v>
      </c>
      <c r="E217" s="1" t="s">
        <v>1523</v>
      </c>
      <c r="F217" s="1" t="s">
        <v>1524</v>
      </c>
      <c r="G217" s="1" t="s">
        <v>1686</v>
      </c>
      <c r="H217" s="1" t="s">
        <v>51</v>
      </c>
      <c r="I217" s="1">
        <v>1.702</v>
      </c>
      <c r="J217" s="1" t="s">
        <v>51</v>
      </c>
      <c r="K217" s="1">
        <v>95.2</v>
      </c>
      <c r="L217" s="1">
        <v>32.8638043857989</v>
      </c>
      <c r="M217" s="1" t="s">
        <v>45</v>
      </c>
      <c r="N217" s="1" t="s">
        <v>45</v>
      </c>
      <c r="O217" s="1" t="s">
        <v>45</v>
      </c>
      <c r="P217" s="1" t="s">
        <v>45</v>
      </c>
      <c r="Q217" s="1" t="s">
        <v>45</v>
      </c>
      <c r="R217" s="1" t="s">
        <v>45</v>
      </c>
      <c r="S217" s="1" t="s">
        <v>45</v>
      </c>
      <c r="T217" s="1" t="s">
        <v>45</v>
      </c>
      <c r="U217" s="1" t="s">
        <v>45</v>
      </c>
      <c r="V217" s="1" t="s">
        <v>45</v>
      </c>
      <c r="W217" s="1" t="s">
        <v>45</v>
      </c>
      <c r="X217" s="1" t="s">
        <v>45</v>
      </c>
      <c r="Y217" s="1" t="s">
        <v>45</v>
      </c>
      <c r="Z217" s="1" t="s">
        <v>45</v>
      </c>
      <c r="AA217" s="1" t="s">
        <v>45</v>
      </c>
      <c r="AB217" s="1" t="s">
        <v>45</v>
      </c>
      <c r="AC217" s="1" t="s">
        <v>51</v>
      </c>
      <c r="AD217" s="1" t="s">
        <v>45</v>
      </c>
      <c r="AE217" s="1" t="s">
        <v>45</v>
      </c>
      <c r="AF217" s="32">
        <v>45453</v>
      </c>
      <c r="AG217" s="1">
        <v>65.028029322983997</v>
      </c>
      <c r="AH217" s="1" t="s">
        <v>1613</v>
      </c>
      <c r="AI217" s="1" t="s">
        <v>1527</v>
      </c>
      <c r="AJ217" s="1" t="s">
        <v>45</v>
      </c>
      <c r="AK217" s="1" t="s">
        <v>51</v>
      </c>
      <c r="AL217" s="1" t="s">
        <v>45</v>
      </c>
      <c r="AM217" s="1" t="s">
        <v>45</v>
      </c>
      <c r="AN217" s="1" t="s">
        <v>45</v>
      </c>
      <c r="AO217" s="1" t="s">
        <v>45</v>
      </c>
      <c r="AP217" s="1" t="s">
        <v>45</v>
      </c>
      <c r="AQ217" s="1" t="s">
        <v>45</v>
      </c>
      <c r="AR217" s="1" t="s">
        <v>45</v>
      </c>
      <c r="AT217" s="1" t="s">
        <v>1528</v>
      </c>
      <c r="AW217" s="33" t="s">
        <v>1463</v>
      </c>
      <c r="AX217" s="3" t="s">
        <v>1528</v>
      </c>
      <c r="AY217" s="3"/>
      <c r="AZ217" s="1">
        <v>4</v>
      </c>
      <c r="BA217" s="1" t="s">
        <v>2141</v>
      </c>
      <c r="BB217" s="1" t="s">
        <v>1530</v>
      </c>
      <c r="BC217" s="1" t="s">
        <v>1531</v>
      </c>
      <c r="BD217" s="1" t="s">
        <v>1532</v>
      </c>
      <c r="BE217" s="1" t="s">
        <v>1603</v>
      </c>
      <c r="BF217" s="1" t="s">
        <v>1534</v>
      </c>
      <c r="BG217" s="1" t="s">
        <v>45</v>
      </c>
      <c r="BH217" s="1" t="s">
        <v>46</v>
      </c>
      <c r="BI217" s="1" t="s">
        <v>1535</v>
      </c>
      <c r="BJ217" s="1" t="s">
        <v>45</v>
      </c>
      <c r="BK217" s="1" t="s">
        <v>1549</v>
      </c>
      <c r="BL217" s="32">
        <v>45453</v>
      </c>
      <c r="BM217" s="1" t="s">
        <v>1115</v>
      </c>
      <c r="BO217" s="1" t="s">
        <v>1537</v>
      </c>
      <c r="BP217" s="1" t="s">
        <v>1538</v>
      </c>
      <c r="BQ217" s="1" t="s">
        <v>1539</v>
      </c>
      <c r="BR217" s="1" t="s">
        <v>1540</v>
      </c>
      <c r="BS217" s="1" t="s">
        <v>50</v>
      </c>
      <c r="BU217" s="1" t="s">
        <v>51</v>
      </c>
      <c r="BV217" s="1" t="s">
        <v>1541</v>
      </c>
      <c r="BW217" s="1" t="s">
        <v>1563</v>
      </c>
      <c r="BX217" s="32">
        <v>45567</v>
      </c>
      <c r="BY217" s="1">
        <v>4</v>
      </c>
      <c r="BZ217" s="1" t="s">
        <v>2142</v>
      </c>
      <c r="CA217" s="1" t="s">
        <v>51</v>
      </c>
      <c r="CB217" s="1" t="s">
        <v>51</v>
      </c>
      <c r="CC217" s="32">
        <v>45490</v>
      </c>
      <c r="CD217" s="1">
        <v>60</v>
      </c>
      <c r="CE217" s="1">
        <v>30</v>
      </c>
      <c r="CF217" s="1" t="s">
        <v>2143</v>
      </c>
      <c r="CJ217" s="1" t="s">
        <v>51</v>
      </c>
      <c r="CK217" s="32">
        <v>45672</v>
      </c>
      <c r="CL217" s="1" t="s">
        <v>45</v>
      </c>
      <c r="DH217" s="1" t="s">
        <v>45</v>
      </c>
      <c r="DM217" s="1" t="s">
        <v>45</v>
      </c>
      <c r="DO217" s="1" t="s">
        <v>45</v>
      </c>
      <c r="DQ217" s="1" t="s">
        <v>45</v>
      </c>
      <c r="DT217" s="32">
        <v>45680</v>
      </c>
      <c r="DU217" s="1" t="s">
        <v>1543</v>
      </c>
      <c r="DV217" s="1">
        <v>7.4572930354796299</v>
      </c>
      <c r="DW217" s="1" t="s">
        <v>45</v>
      </c>
      <c r="DY217" s="32">
        <v>45812</v>
      </c>
      <c r="DZ217" s="1" t="s">
        <v>1544</v>
      </c>
    </row>
    <row r="218" spans="1:130" ht="15.75" customHeight="1" x14ac:dyDescent="0.2">
      <c r="A218" s="8" t="s">
        <v>1116</v>
      </c>
      <c r="B218" s="32">
        <v>27177</v>
      </c>
      <c r="C218" s="32">
        <v>45460</v>
      </c>
      <c r="D218" s="1">
        <v>50.057153808770799</v>
      </c>
      <c r="E218" s="1" t="s">
        <v>1523</v>
      </c>
      <c r="F218" s="1" t="s">
        <v>1524</v>
      </c>
      <c r="G218" s="1" t="s">
        <v>1574</v>
      </c>
      <c r="H218" s="1" t="s">
        <v>51</v>
      </c>
      <c r="I218" s="1">
        <v>1.83</v>
      </c>
      <c r="J218" s="1" t="s">
        <v>51</v>
      </c>
      <c r="K218" s="1">
        <v>107.4</v>
      </c>
      <c r="L218" s="1">
        <v>32.070232016482997</v>
      </c>
      <c r="M218" s="1" t="s">
        <v>45</v>
      </c>
      <c r="N218" s="1" t="s">
        <v>45</v>
      </c>
      <c r="O218" s="1" t="s">
        <v>45</v>
      </c>
      <c r="P218" s="1" t="s">
        <v>45</v>
      </c>
      <c r="Q218" s="1" t="s">
        <v>45</v>
      </c>
      <c r="R218" s="1" t="s">
        <v>45</v>
      </c>
      <c r="S218" s="1" t="s">
        <v>45</v>
      </c>
      <c r="T218" s="1" t="s">
        <v>45</v>
      </c>
      <c r="U218" s="1" t="s">
        <v>45</v>
      </c>
      <c r="V218" s="1" t="s">
        <v>45</v>
      </c>
      <c r="W218" s="1" t="s">
        <v>45</v>
      </c>
      <c r="X218" s="1" t="s">
        <v>45</v>
      </c>
      <c r="Y218" s="1" t="s">
        <v>45</v>
      </c>
      <c r="Z218" s="1" t="s">
        <v>45</v>
      </c>
      <c r="AA218" s="1" t="s">
        <v>45</v>
      </c>
      <c r="AB218" s="1" t="s">
        <v>45</v>
      </c>
      <c r="AC218" s="1" t="s">
        <v>45</v>
      </c>
      <c r="AD218" s="1" t="s">
        <v>45</v>
      </c>
      <c r="AE218" s="1" t="s">
        <v>45</v>
      </c>
      <c r="AF218" s="32">
        <v>45468</v>
      </c>
      <c r="AG218" s="1">
        <v>50.079057064826699</v>
      </c>
      <c r="AH218" s="1" t="s">
        <v>1526</v>
      </c>
      <c r="AI218" s="1" t="s">
        <v>1527</v>
      </c>
      <c r="AJ218" s="1" t="s">
        <v>45</v>
      </c>
      <c r="AK218" s="1" t="s">
        <v>45</v>
      </c>
      <c r="AL218" s="1" t="s">
        <v>51</v>
      </c>
      <c r="AM218" s="1" t="s">
        <v>45</v>
      </c>
      <c r="AN218" s="1" t="s">
        <v>45</v>
      </c>
      <c r="AO218" s="1" t="s">
        <v>45</v>
      </c>
      <c r="AP218" s="1" t="s">
        <v>51</v>
      </c>
      <c r="AQ218" s="1" t="s">
        <v>45</v>
      </c>
      <c r="AR218" s="1" t="s">
        <v>51</v>
      </c>
      <c r="AS218" s="1" t="s">
        <v>2144</v>
      </c>
      <c r="AT218" s="1" t="s">
        <v>1528</v>
      </c>
      <c r="AW218" s="33" t="s">
        <v>1463</v>
      </c>
      <c r="AX218" s="3" t="s">
        <v>1528</v>
      </c>
      <c r="AY218" s="3"/>
      <c r="AZ218" s="1">
        <v>4</v>
      </c>
      <c r="BA218" s="1" t="s">
        <v>1529</v>
      </c>
      <c r="BB218" s="1" t="s">
        <v>1530</v>
      </c>
      <c r="BC218" s="1" t="s">
        <v>1531</v>
      </c>
      <c r="BD218" s="1" t="s">
        <v>1532</v>
      </c>
      <c r="BE218" s="1" t="s">
        <v>1533</v>
      </c>
      <c r="BF218" s="1" t="s">
        <v>1534</v>
      </c>
      <c r="BG218" s="1" t="s">
        <v>45</v>
      </c>
      <c r="BH218" s="1" t="s">
        <v>46</v>
      </c>
      <c r="BI218" s="1" t="s">
        <v>1535</v>
      </c>
      <c r="BJ218" s="1" t="s">
        <v>1525</v>
      </c>
      <c r="BK218" s="1" t="s">
        <v>1536</v>
      </c>
      <c r="BL218" s="32">
        <v>45468</v>
      </c>
      <c r="BM218" s="1" t="s">
        <v>1117</v>
      </c>
      <c r="BO218" s="1" t="s">
        <v>1537</v>
      </c>
      <c r="BP218" s="1" t="s">
        <v>1551</v>
      </c>
      <c r="BQ218" s="1" t="s">
        <v>1605</v>
      </c>
      <c r="BR218" s="1" t="s">
        <v>1552</v>
      </c>
      <c r="BS218" s="1" t="s">
        <v>106</v>
      </c>
      <c r="BU218" s="1" t="s">
        <v>51</v>
      </c>
      <c r="BV218" s="1" t="s">
        <v>1541</v>
      </c>
      <c r="BW218" s="1" t="s">
        <v>1563</v>
      </c>
      <c r="BX218" s="32">
        <v>45581</v>
      </c>
      <c r="BY218" s="1">
        <v>3</v>
      </c>
      <c r="BZ218" s="1" t="s">
        <v>2145</v>
      </c>
      <c r="CA218" s="1" t="s">
        <v>51</v>
      </c>
      <c r="CB218" s="1" t="s">
        <v>51</v>
      </c>
      <c r="CC218" s="32">
        <v>45504</v>
      </c>
      <c r="CD218" s="1">
        <v>60</v>
      </c>
      <c r="CE218" s="1">
        <v>30</v>
      </c>
      <c r="CJ218" s="1" t="s">
        <v>51</v>
      </c>
      <c r="CK218" s="32">
        <v>45747</v>
      </c>
      <c r="CL218" s="1" t="s">
        <v>45</v>
      </c>
      <c r="DH218" s="1" t="s">
        <v>51</v>
      </c>
      <c r="DI218" s="1" t="s">
        <v>2146</v>
      </c>
      <c r="DJ218" s="32">
        <v>45751</v>
      </c>
      <c r="DM218" s="1" t="s">
        <v>45</v>
      </c>
      <c r="DO218" s="1" t="s">
        <v>45</v>
      </c>
      <c r="DQ218" s="1" t="s">
        <v>45</v>
      </c>
      <c r="DT218" s="32">
        <v>45812</v>
      </c>
      <c r="DU218" s="1" t="s">
        <v>1598</v>
      </c>
      <c r="DV218" s="1">
        <v>11.3009198423127</v>
      </c>
      <c r="DW218" s="1" t="s">
        <v>45</v>
      </c>
      <c r="DY218" s="32">
        <v>45817</v>
      </c>
      <c r="DZ218" s="1" t="s">
        <v>1544</v>
      </c>
    </row>
    <row r="219" spans="1:130" ht="15.75" customHeight="1" x14ac:dyDescent="0.2">
      <c r="A219" s="8" t="s">
        <v>1123</v>
      </c>
      <c r="B219" s="32">
        <v>28466</v>
      </c>
      <c r="C219" s="32">
        <v>45392</v>
      </c>
      <c r="D219" s="1">
        <v>46.3418140002874</v>
      </c>
      <c r="E219" s="1" t="s">
        <v>1587</v>
      </c>
      <c r="F219" s="1" t="s">
        <v>1524</v>
      </c>
      <c r="G219" s="1" t="s">
        <v>1545</v>
      </c>
      <c r="H219" s="1" t="s">
        <v>51</v>
      </c>
      <c r="I219" s="1">
        <v>1.6060000000000001</v>
      </c>
      <c r="J219" s="1" t="s">
        <v>51</v>
      </c>
      <c r="K219" s="1">
        <v>57.4</v>
      </c>
      <c r="L219" s="1">
        <v>22.254652152807999</v>
      </c>
      <c r="M219" s="1" t="s">
        <v>45</v>
      </c>
      <c r="N219" s="1" t="s">
        <v>45</v>
      </c>
      <c r="O219" s="1" t="s">
        <v>45</v>
      </c>
      <c r="P219" s="1" t="s">
        <v>45</v>
      </c>
      <c r="Q219" s="1" t="s">
        <v>45</v>
      </c>
      <c r="R219" s="1" t="s">
        <v>45</v>
      </c>
      <c r="S219" s="1" t="s">
        <v>45</v>
      </c>
      <c r="T219" s="1" t="s">
        <v>45</v>
      </c>
      <c r="U219" s="1" t="s">
        <v>45</v>
      </c>
      <c r="V219" s="1" t="s">
        <v>45</v>
      </c>
      <c r="W219" s="1" t="s">
        <v>45</v>
      </c>
      <c r="X219" s="1" t="s">
        <v>45</v>
      </c>
      <c r="Y219" s="1" t="s">
        <v>45</v>
      </c>
      <c r="Z219" s="1" t="s">
        <v>45</v>
      </c>
      <c r="AA219" s="1" t="s">
        <v>45</v>
      </c>
      <c r="AB219" s="1" t="s">
        <v>45</v>
      </c>
      <c r="AC219" s="1" t="s">
        <v>45</v>
      </c>
      <c r="AD219" s="1" t="s">
        <v>45</v>
      </c>
      <c r="AE219" s="1" t="s">
        <v>45</v>
      </c>
      <c r="AF219" s="32">
        <v>45471</v>
      </c>
      <c r="AG219" s="1">
        <v>46.558108653839497</v>
      </c>
      <c r="AH219" s="1" t="s">
        <v>1526</v>
      </c>
      <c r="AI219" s="1" t="s">
        <v>1527</v>
      </c>
      <c r="AJ219" s="1" t="s">
        <v>45</v>
      </c>
      <c r="AK219" s="1" t="s">
        <v>51</v>
      </c>
      <c r="AL219" s="1" t="s">
        <v>45</v>
      </c>
      <c r="AM219" s="1" t="s">
        <v>51</v>
      </c>
      <c r="AN219" s="1" t="s">
        <v>45</v>
      </c>
      <c r="AO219" s="1" t="s">
        <v>45</v>
      </c>
      <c r="AP219" s="1" t="s">
        <v>45</v>
      </c>
      <c r="AQ219" s="1" t="s">
        <v>45</v>
      </c>
      <c r="AR219" s="1" t="s">
        <v>45</v>
      </c>
      <c r="AT219" s="1" t="s">
        <v>1560</v>
      </c>
      <c r="AW219" s="33" t="s">
        <v>1463</v>
      </c>
      <c r="AX219" s="3" t="s">
        <v>1560</v>
      </c>
      <c r="AY219" s="3"/>
      <c r="AZ219" s="1">
        <v>4</v>
      </c>
      <c r="BA219" s="1" t="s">
        <v>1529</v>
      </c>
      <c r="BB219" s="1" t="s">
        <v>1567</v>
      </c>
      <c r="BC219" s="1" t="s">
        <v>1531</v>
      </c>
      <c r="BD219" s="1" t="s">
        <v>1822</v>
      </c>
      <c r="BE219" s="1" t="s">
        <v>1603</v>
      </c>
      <c r="BF219" s="1" t="s">
        <v>1534</v>
      </c>
      <c r="BG219" s="1" t="s">
        <v>45</v>
      </c>
      <c r="BH219" s="1" t="s">
        <v>1525</v>
      </c>
      <c r="BI219" s="1" t="s">
        <v>1599</v>
      </c>
      <c r="BJ219" s="1" t="s">
        <v>45</v>
      </c>
      <c r="BK219" s="1" t="s">
        <v>1536</v>
      </c>
      <c r="BL219" s="32">
        <v>45471</v>
      </c>
      <c r="BM219" s="1" t="s">
        <v>1124</v>
      </c>
      <c r="BO219" s="1" t="s">
        <v>1537</v>
      </c>
      <c r="BP219" s="1" t="s">
        <v>1538</v>
      </c>
      <c r="BQ219" s="1" t="s">
        <v>1647</v>
      </c>
      <c r="BR219" s="1" t="s">
        <v>1552</v>
      </c>
      <c r="BS219" s="1" t="s">
        <v>50</v>
      </c>
      <c r="BU219" s="1" t="s">
        <v>51</v>
      </c>
      <c r="BV219" s="1" t="s">
        <v>1541</v>
      </c>
      <c r="BW219" s="1" t="s">
        <v>1563</v>
      </c>
      <c r="BX219" s="32">
        <v>45490</v>
      </c>
      <c r="BY219" s="1">
        <v>12</v>
      </c>
      <c r="BZ219" s="1" t="s">
        <v>2147</v>
      </c>
      <c r="CA219" s="1" t="s">
        <v>45</v>
      </c>
      <c r="CB219" s="1" t="s">
        <v>45</v>
      </c>
      <c r="CJ219" s="1" t="s">
        <v>45</v>
      </c>
      <c r="DH219" s="1" t="s">
        <v>45</v>
      </c>
      <c r="DM219" s="1" t="s">
        <v>45</v>
      </c>
      <c r="DO219" s="1" t="s">
        <v>45</v>
      </c>
      <c r="DQ219" s="1" t="s">
        <v>45</v>
      </c>
      <c r="DT219" s="32">
        <v>45701</v>
      </c>
      <c r="DU219" s="1" t="s">
        <v>1598</v>
      </c>
      <c r="DV219" s="1">
        <v>7.5558475689881703</v>
      </c>
      <c r="DW219" s="1" t="s">
        <v>45</v>
      </c>
      <c r="DY219" s="32">
        <v>45817</v>
      </c>
      <c r="DZ219" s="1" t="s">
        <v>1544</v>
      </c>
    </row>
    <row r="220" spans="1:130" ht="15.75" customHeight="1" x14ac:dyDescent="0.2">
      <c r="A220" s="8" t="s">
        <v>1126</v>
      </c>
      <c r="B220" s="32">
        <v>36932</v>
      </c>
      <c r="C220" s="32">
        <v>44601</v>
      </c>
      <c r="D220" s="1">
        <v>20.997008836594802</v>
      </c>
      <c r="E220" s="1" t="s">
        <v>1587</v>
      </c>
      <c r="F220" s="1" t="s">
        <v>1524</v>
      </c>
      <c r="G220" s="1" t="s">
        <v>1574</v>
      </c>
      <c r="H220" s="1" t="s">
        <v>51</v>
      </c>
      <c r="I220" s="1">
        <v>1.75</v>
      </c>
      <c r="J220" s="1" t="s">
        <v>51</v>
      </c>
      <c r="K220" s="1">
        <v>62.6</v>
      </c>
      <c r="L220" s="1">
        <v>20.440816326530602</v>
      </c>
      <c r="M220" s="1" t="s">
        <v>45</v>
      </c>
      <c r="N220" s="1" t="s">
        <v>45</v>
      </c>
      <c r="O220" s="1" t="s">
        <v>45</v>
      </c>
      <c r="P220" s="1" t="s">
        <v>45</v>
      </c>
      <c r="Q220" s="1" t="s">
        <v>45</v>
      </c>
      <c r="R220" s="1" t="s">
        <v>45</v>
      </c>
      <c r="S220" s="1" t="s">
        <v>45</v>
      </c>
      <c r="T220" s="1" t="s">
        <v>45</v>
      </c>
      <c r="U220" s="1" t="s">
        <v>45</v>
      </c>
      <c r="V220" s="1" t="s">
        <v>45</v>
      </c>
      <c r="W220" s="1" t="s">
        <v>45</v>
      </c>
      <c r="X220" s="1" t="s">
        <v>45</v>
      </c>
      <c r="Y220" s="1" t="s">
        <v>45</v>
      </c>
      <c r="Z220" s="1" t="s">
        <v>45</v>
      </c>
      <c r="AA220" s="1" t="s">
        <v>45</v>
      </c>
      <c r="AB220" s="1" t="s">
        <v>45</v>
      </c>
      <c r="AC220" s="1" t="s">
        <v>45</v>
      </c>
      <c r="AD220" s="1" t="s">
        <v>45</v>
      </c>
      <c r="AE220" s="1" t="s">
        <v>45</v>
      </c>
      <c r="AF220" s="32">
        <v>44423</v>
      </c>
      <c r="AG220" s="1">
        <v>20.509661389350899</v>
      </c>
      <c r="AH220" s="1" t="s">
        <v>1558</v>
      </c>
      <c r="AI220" s="1" t="s">
        <v>1527</v>
      </c>
      <c r="AJ220" s="1" t="s">
        <v>45</v>
      </c>
      <c r="AK220" s="1" t="s">
        <v>45</v>
      </c>
      <c r="AL220" s="1" t="s">
        <v>45</v>
      </c>
      <c r="AM220" s="1" t="s">
        <v>45</v>
      </c>
      <c r="AN220" s="1" t="s">
        <v>45</v>
      </c>
      <c r="AO220" s="1" t="s">
        <v>51</v>
      </c>
      <c r="AP220" s="1" t="s">
        <v>45</v>
      </c>
      <c r="AQ220" s="1" t="s">
        <v>45</v>
      </c>
      <c r="AR220" s="1" t="s">
        <v>45</v>
      </c>
      <c r="AT220" s="1" t="s">
        <v>1560</v>
      </c>
      <c r="AW220" s="33" t="s">
        <v>1464</v>
      </c>
      <c r="AX220" s="3"/>
      <c r="AY220" s="3" t="s">
        <v>1560</v>
      </c>
      <c r="AZ220" s="1">
        <v>2</v>
      </c>
      <c r="BA220" s="1" t="s">
        <v>1821</v>
      </c>
      <c r="BB220" s="1" t="s">
        <v>1567</v>
      </c>
      <c r="BC220" s="1" t="s">
        <v>1531</v>
      </c>
      <c r="BD220" s="1" t="s">
        <v>1822</v>
      </c>
      <c r="BE220" s="1" t="s">
        <v>1533</v>
      </c>
      <c r="BF220" s="1" t="s">
        <v>1534</v>
      </c>
      <c r="BG220" s="1" t="s">
        <v>45</v>
      </c>
      <c r="BH220" s="1" t="s">
        <v>46</v>
      </c>
      <c r="BI220" s="1" t="s">
        <v>1599</v>
      </c>
      <c r="BJ220" s="1" t="s">
        <v>45</v>
      </c>
      <c r="BK220" s="1" t="s">
        <v>1536</v>
      </c>
      <c r="BL220" s="32">
        <v>45476</v>
      </c>
      <c r="BM220" s="1" t="s">
        <v>1127</v>
      </c>
      <c r="BO220" s="1" t="s">
        <v>1537</v>
      </c>
      <c r="BP220" s="1" t="s">
        <v>1551</v>
      </c>
      <c r="BQ220" s="1" t="s">
        <v>1605</v>
      </c>
      <c r="BR220" s="1" t="s">
        <v>1552</v>
      </c>
      <c r="BS220" s="1" t="s">
        <v>99</v>
      </c>
      <c r="BU220" s="1" t="s">
        <v>51</v>
      </c>
      <c r="BV220" s="1" t="s">
        <v>1541</v>
      </c>
      <c r="BW220" s="1" t="s">
        <v>1563</v>
      </c>
      <c r="BX220" s="32">
        <v>45511</v>
      </c>
      <c r="BY220" s="1">
        <v>6</v>
      </c>
      <c r="BZ220" s="1" t="s">
        <v>2148</v>
      </c>
      <c r="CA220" s="1" t="s">
        <v>45</v>
      </c>
      <c r="CB220" s="1" t="s">
        <v>45</v>
      </c>
      <c r="CI220" s="1" t="s">
        <v>2149</v>
      </c>
      <c r="CJ220" s="1" t="s">
        <v>51</v>
      </c>
      <c r="CK220" s="32">
        <v>45686</v>
      </c>
      <c r="CL220" s="1" t="s">
        <v>45</v>
      </c>
      <c r="DH220" s="1" t="s">
        <v>51</v>
      </c>
      <c r="DI220" s="1" t="s">
        <v>2150</v>
      </c>
      <c r="DJ220" s="32">
        <v>45707</v>
      </c>
      <c r="DM220" s="1" t="s">
        <v>51</v>
      </c>
      <c r="DN220" s="1" t="s">
        <v>2151</v>
      </c>
      <c r="DO220" s="1" t="s">
        <v>45</v>
      </c>
      <c r="DQ220" s="1" t="s">
        <v>45</v>
      </c>
      <c r="DT220" s="32">
        <v>45803</v>
      </c>
      <c r="DU220" s="1" t="s">
        <v>1598</v>
      </c>
      <c r="DV220" s="1">
        <v>45.335085413929001</v>
      </c>
      <c r="DW220" s="1" t="s">
        <v>45</v>
      </c>
      <c r="DY220" s="32">
        <v>45817</v>
      </c>
      <c r="DZ220" s="1" t="s">
        <v>1544</v>
      </c>
    </row>
    <row r="221" spans="1:130" ht="15.75" customHeight="1" x14ac:dyDescent="0.2">
      <c r="A221" s="8" t="s">
        <v>1132</v>
      </c>
      <c r="B221" s="32">
        <v>35940</v>
      </c>
      <c r="C221" s="32">
        <v>45338</v>
      </c>
      <c r="D221" s="1">
        <v>25.730850051677901</v>
      </c>
      <c r="E221" s="1" t="s">
        <v>1523</v>
      </c>
      <c r="F221" s="1" t="s">
        <v>1524</v>
      </c>
      <c r="G221" s="1" t="s">
        <v>1574</v>
      </c>
      <c r="H221" s="1" t="s">
        <v>51</v>
      </c>
      <c r="I221" s="1">
        <v>1.6890000000000001</v>
      </c>
      <c r="J221" s="1" t="s">
        <v>51</v>
      </c>
      <c r="K221" s="1">
        <v>65.8</v>
      </c>
      <c r="L221" s="1">
        <v>23.065697626932302</v>
      </c>
      <c r="M221" s="1" t="s">
        <v>45</v>
      </c>
      <c r="N221" s="1" t="s">
        <v>45</v>
      </c>
      <c r="O221" s="1" t="s">
        <v>45</v>
      </c>
      <c r="P221" s="1" t="s">
        <v>45</v>
      </c>
      <c r="Q221" s="1" t="s">
        <v>45</v>
      </c>
      <c r="R221" s="1" t="s">
        <v>45</v>
      </c>
      <c r="S221" s="1" t="s">
        <v>45</v>
      </c>
      <c r="T221" s="1" t="s">
        <v>45</v>
      </c>
      <c r="U221" s="1" t="s">
        <v>45</v>
      </c>
      <c r="V221" s="1" t="s">
        <v>45</v>
      </c>
      <c r="W221" s="1" t="s">
        <v>45</v>
      </c>
      <c r="X221" s="1" t="s">
        <v>45</v>
      </c>
      <c r="Y221" s="1" t="s">
        <v>45</v>
      </c>
      <c r="Z221" s="1" t="s">
        <v>45</v>
      </c>
      <c r="AA221" s="1" t="s">
        <v>45</v>
      </c>
      <c r="AB221" s="1" t="s">
        <v>45</v>
      </c>
      <c r="AC221" s="1" t="s">
        <v>45</v>
      </c>
      <c r="AD221" s="1" t="s">
        <v>45</v>
      </c>
      <c r="AE221" s="1" t="s">
        <v>45</v>
      </c>
      <c r="AF221" s="32">
        <v>45477</v>
      </c>
      <c r="AG221" s="1">
        <v>26.111419125649299</v>
      </c>
      <c r="AH221" s="1" t="s">
        <v>1613</v>
      </c>
      <c r="AI221" s="1" t="s">
        <v>1527</v>
      </c>
      <c r="AJ221" s="1" t="s">
        <v>45</v>
      </c>
      <c r="AK221" s="1" t="s">
        <v>51</v>
      </c>
      <c r="AL221" s="1" t="s">
        <v>45</v>
      </c>
      <c r="AM221" s="1" t="s">
        <v>45</v>
      </c>
      <c r="AN221" s="1" t="s">
        <v>45</v>
      </c>
      <c r="AO221" s="1" t="s">
        <v>45</v>
      </c>
      <c r="AP221" s="1" t="s">
        <v>45</v>
      </c>
      <c r="AQ221" s="1" t="s">
        <v>45</v>
      </c>
      <c r="AR221" s="1" t="s">
        <v>45</v>
      </c>
      <c r="AT221" s="1" t="s">
        <v>1546</v>
      </c>
      <c r="AV221" s="1" t="s">
        <v>1706</v>
      </c>
      <c r="AW221" s="33" t="s">
        <v>1464</v>
      </c>
      <c r="AX221" s="3"/>
      <c r="AY221" s="33" t="s">
        <v>1621</v>
      </c>
      <c r="AZ221" s="1">
        <v>1</v>
      </c>
      <c r="BA221" s="1" t="s">
        <v>1814</v>
      </c>
      <c r="BB221" s="1" t="s">
        <v>1530</v>
      </c>
      <c r="BC221" s="1" t="s">
        <v>1531</v>
      </c>
      <c r="BD221" s="1" t="s">
        <v>1532</v>
      </c>
      <c r="BE221" s="1" t="s">
        <v>1525</v>
      </c>
      <c r="BG221" s="1" t="s">
        <v>1525</v>
      </c>
      <c r="BH221" s="1" t="s">
        <v>46</v>
      </c>
      <c r="BI221" s="1" t="s">
        <v>1535</v>
      </c>
      <c r="BJ221" s="1" t="s">
        <v>45</v>
      </c>
      <c r="BK221" s="1" t="s">
        <v>1536</v>
      </c>
      <c r="BL221" s="32">
        <v>45477</v>
      </c>
      <c r="BM221" s="1" t="s">
        <v>1133</v>
      </c>
      <c r="BO221" s="1" t="s">
        <v>1537</v>
      </c>
      <c r="BP221" s="1" t="s">
        <v>1538</v>
      </c>
      <c r="BQ221" s="1" t="s">
        <v>1647</v>
      </c>
      <c r="BR221" s="1" t="s">
        <v>1540</v>
      </c>
      <c r="BS221" s="1" t="s">
        <v>106</v>
      </c>
      <c r="BU221" s="1" t="s">
        <v>45</v>
      </c>
      <c r="BW221" s="1" t="s">
        <v>1542</v>
      </c>
      <c r="CA221" s="1" t="s">
        <v>45</v>
      </c>
      <c r="CB221" s="1" t="s">
        <v>45</v>
      </c>
      <c r="CJ221" s="1" t="s">
        <v>45</v>
      </c>
      <c r="DH221" s="1" t="s">
        <v>45</v>
      </c>
      <c r="DM221" s="1" t="s">
        <v>45</v>
      </c>
      <c r="DO221" s="1" t="s">
        <v>45</v>
      </c>
      <c r="DQ221" s="1" t="s">
        <v>45</v>
      </c>
      <c r="DT221" s="32">
        <v>45736</v>
      </c>
      <c r="DU221" s="1" t="s">
        <v>1598</v>
      </c>
      <c r="DV221" s="1">
        <v>8.5085413929040694</v>
      </c>
      <c r="DW221" s="1" t="s">
        <v>45</v>
      </c>
      <c r="DY221" s="32">
        <v>45817</v>
      </c>
      <c r="DZ221" s="1" t="s">
        <v>1544</v>
      </c>
    </row>
    <row r="222" spans="1:130" ht="15.75" customHeight="1" x14ac:dyDescent="0.2">
      <c r="A222" s="8" t="s">
        <v>1134</v>
      </c>
      <c r="B222" s="32">
        <v>25058</v>
      </c>
      <c r="C222" s="32">
        <v>45476</v>
      </c>
      <c r="D222" s="1">
        <v>55.902585268691297</v>
      </c>
      <c r="E222" s="1" t="s">
        <v>1523</v>
      </c>
      <c r="F222" s="1" t="s">
        <v>1524</v>
      </c>
      <c r="G222" s="1" t="s">
        <v>1574</v>
      </c>
      <c r="H222" s="1" t="s">
        <v>51</v>
      </c>
      <c r="I222" s="1">
        <v>1.75</v>
      </c>
      <c r="J222" s="1" t="s">
        <v>51</v>
      </c>
      <c r="K222" s="1">
        <v>96.1</v>
      </c>
      <c r="L222" s="1">
        <v>31.379591836734601</v>
      </c>
      <c r="M222" s="1" t="s">
        <v>45</v>
      </c>
      <c r="N222" s="1" t="s">
        <v>45</v>
      </c>
      <c r="O222" s="1" t="s">
        <v>45</v>
      </c>
      <c r="P222" s="1" t="s">
        <v>45</v>
      </c>
      <c r="Q222" s="1" t="s">
        <v>45</v>
      </c>
      <c r="R222" s="1" t="s">
        <v>45</v>
      </c>
      <c r="S222" s="1" t="s">
        <v>45</v>
      </c>
      <c r="T222" s="1" t="s">
        <v>45</v>
      </c>
      <c r="U222" s="1" t="s">
        <v>45</v>
      </c>
      <c r="V222" s="1" t="s">
        <v>45</v>
      </c>
      <c r="W222" s="1" t="s">
        <v>45</v>
      </c>
      <c r="X222" s="1" t="s">
        <v>45</v>
      </c>
      <c r="Y222" s="1" t="s">
        <v>45</v>
      </c>
      <c r="Z222" s="1" t="s">
        <v>45</v>
      </c>
      <c r="AA222" s="1" t="s">
        <v>45</v>
      </c>
      <c r="AB222" s="1" t="s">
        <v>45</v>
      </c>
      <c r="AC222" s="1" t="s">
        <v>45</v>
      </c>
      <c r="AD222" s="1" t="s">
        <v>45</v>
      </c>
      <c r="AE222" s="1" t="s">
        <v>45</v>
      </c>
      <c r="AF222" s="32">
        <v>45480</v>
      </c>
      <c r="AG222" s="1">
        <v>55.9135368967193</v>
      </c>
      <c r="AH222" s="1" t="s">
        <v>1526</v>
      </c>
      <c r="AI222" s="1" t="s">
        <v>1527</v>
      </c>
      <c r="AJ222" s="1" t="s">
        <v>45</v>
      </c>
      <c r="AK222" s="1" t="s">
        <v>45</v>
      </c>
      <c r="AL222" s="1" t="s">
        <v>51</v>
      </c>
      <c r="AM222" s="1" t="s">
        <v>51</v>
      </c>
      <c r="AN222" s="1" t="s">
        <v>45</v>
      </c>
      <c r="AO222" s="1" t="s">
        <v>45</v>
      </c>
      <c r="AP222" s="1" t="s">
        <v>51</v>
      </c>
      <c r="AQ222" s="1" t="s">
        <v>45</v>
      </c>
      <c r="AR222" s="1" t="s">
        <v>45</v>
      </c>
      <c r="AT222" s="1" t="s">
        <v>1528</v>
      </c>
      <c r="AW222" s="33" t="s">
        <v>1463</v>
      </c>
      <c r="AX222" s="3" t="s">
        <v>1528</v>
      </c>
      <c r="AY222" s="3"/>
      <c r="AZ222" s="1">
        <v>4</v>
      </c>
      <c r="BA222" s="1" t="s">
        <v>1529</v>
      </c>
      <c r="BB222" s="1" t="s">
        <v>1530</v>
      </c>
      <c r="BC222" s="1" t="s">
        <v>1531</v>
      </c>
      <c r="BD222" s="1" t="s">
        <v>1532</v>
      </c>
      <c r="BE222" s="1" t="s">
        <v>1533</v>
      </c>
      <c r="BF222" s="1" t="s">
        <v>1534</v>
      </c>
      <c r="BG222" s="1" t="s">
        <v>45</v>
      </c>
      <c r="BH222" s="1" t="s">
        <v>46</v>
      </c>
      <c r="BI222" s="1" t="s">
        <v>1535</v>
      </c>
      <c r="BJ222" s="1" t="s">
        <v>1525</v>
      </c>
      <c r="BK222" s="1" t="s">
        <v>1536</v>
      </c>
      <c r="BL222" s="32">
        <v>45480</v>
      </c>
      <c r="BM222" s="1" t="s">
        <v>1135</v>
      </c>
      <c r="BO222" s="1" t="s">
        <v>1853</v>
      </c>
      <c r="BP222" s="1" t="s">
        <v>1551</v>
      </c>
      <c r="BQ222" s="1" t="s">
        <v>1605</v>
      </c>
      <c r="BR222" s="1" t="s">
        <v>1540</v>
      </c>
      <c r="BS222" s="1" t="s">
        <v>43</v>
      </c>
      <c r="BU222" s="1" t="s">
        <v>51</v>
      </c>
      <c r="BV222" s="1" t="s">
        <v>1541</v>
      </c>
      <c r="BW222" s="1" t="s">
        <v>1563</v>
      </c>
      <c r="BX222" s="32">
        <v>45588</v>
      </c>
      <c r="BY222" s="1">
        <v>4</v>
      </c>
      <c r="BZ222" s="1" t="s">
        <v>2152</v>
      </c>
      <c r="CA222" s="1" t="s">
        <v>51</v>
      </c>
      <c r="CB222" s="1" t="s">
        <v>51</v>
      </c>
      <c r="CC222" s="32">
        <v>45510</v>
      </c>
      <c r="CD222" s="1">
        <v>60</v>
      </c>
      <c r="CE222" s="1">
        <v>30</v>
      </c>
      <c r="CJ222" s="1" t="s">
        <v>51</v>
      </c>
      <c r="CK222" s="32">
        <v>45716</v>
      </c>
      <c r="CL222" s="1" t="s">
        <v>45</v>
      </c>
      <c r="DH222" s="1" t="s">
        <v>51</v>
      </c>
      <c r="DI222" s="1" t="s">
        <v>2153</v>
      </c>
      <c r="DJ222" s="32">
        <v>45742</v>
      </c>
      <c r="DK222" s="1" t="s">
        <v>1569</v>
      </c>
      <c r="DM222" s="1" t="s">
        <v>45</v>
      </c>
      <c r="DO222" s="1" t="s">
        <v>51</v>
      </c>
      <c r="DP222" s="1" t="s">
        <v>2154</v>
      </c>
      <c r="DQ222" s="1" t="s">
        <v>45</v>
      </c>
      <c r="DT222" s="32">
        <v>45813</v>
      </c>
      <c r="DU222" s="1" t="s">
        <v>1598</v>
      </c>
      <c r="DV222" s="1">
        <v>10.939553219447999</v>
      </c>
      <c r="DW222" s="1" t="s">
        <v>45</v>
      </c>
      <c r="DY222" s="32">
        <v>45817</v>
      </c>
      <c r="DZ222" s="1" t="s">
        <v>1544</v>
      </c>
    </row>
    <row r="223" spans="1:130" ht="15.75" customHeight="1" x14ac:dyDescent="0.2">
      <c r="A223" s="8" t="s">
        <v>1141</v>
      </c>
      <c r="B223" s="32">
        <v>34499</v>
      </c>
      <c r="C223" s="32">
        <v>45464</v>
      </c>
      <c r="D223" s="1">
        <v>30.021150331628899</v>
      </c>
      <c r="E223" s="1" t="s">
        <v>1523</v>
      </c>
      <c r="F223" s="1" t="s">
        <v>1524</v>
      </c>
      <c r="G223" s="1" t="s">
        <v>1574</v>
      </c>
      <c r="H223" s="1" t="s">
        <v>51</v>
      </c>
      <c r="I223" s="1">
        <v>1.6819999999999999</v>
      </c>
      <c r="J223" s="1" t="s">
        <v>51</v>
      </c>
      <c r="K223" s="1">
        <v>89.2</v>
      </c>
      <c r="L223" s="1">
        <v>31.5291941958005</v>
      </c>
      <c r="M223" s="1" t="s">
        <v>45</v>
      </c>
      <c r="N223" s="1" t="s">
        <v>45</v>
      </c>
      <c r="O223" s="1" t="s">
        <v>45</v>
      </c>
      <c r="P223" s="1" t="s">
        <v>45</v>
      </c>
      <c r="Q223" s="1" t="s">
        <v>45</v>
      </c>
      <c r="R223" s="1" t="s">
        <v>45</v>
      </c>
      <c r="S223" s="1" t="s">
        <v>45</v>
      </c>
      <c r="T223" s="1" t="s">
        <v>45</v>
      </c>
      <c r="U223" s="1" t="s">
        <v>45</v>
      </c>
      <c r="V223" s="1" t="s">
        <v>45</v>
      </c>
      <c r="W223" s="1" t="s">
        <v>45</v>
      </c>
      <c r="X223" s="1" t="s">
        <v>45</v>
      </c>
      <c r="Y223" s="1" t="s">
        <v>45</v>
      </c>
      <c r="Z223" s="1" t="s">
        <v>45</v>
      </c>
      <c r="AA223" s="1" t="s">
        <v>51</v>
      </c>
      <c r="AB223" s="1" t="s">
        <v>45</v>
      </c>
      <c r="AC223" s="1" t="s">
        <v>45</v>
      </c>
      <c r="AD223" s="1" t="s">
        <v>45</v>
      </c>
      <c r="AE223" s="1" t="s">
        <v>45</v>
      </c>
      <c r="AF223" s="32">
        <v>45480</v>
      </c>
      <c r="AG223" s="1">
        <v>30.064956843740799</v>
      </c>
      <c r="AH223" s="1" t="s">
        <v>1613</v>
      </c>
      <c r="AI223" s="1" t="s">
        <v>1527</v>
      </c>
      <c r="AJ223" s="1" t="s">
        <v>45</v>
      </c>
      <c r="AK223" s="1" t="s">
        <v>45</v>
      </c>
      <c r="AL223" s="1" t="s">
        <v>45</v>
      </c>
      <c r="AM223" s="1" t="s">
        <v>45</v>
      </c>
      <c r="AN223" s="1" t="s">
        <v>51</v>
      </c>
      <c r="AO223" s="1" t="s">
        <v>45</v>
      </c>
      <c r="AP223" s="1" t="s">
        <v>51</v>
      </c>
      <c r="AQ223" s="1" t="s">
        <v>45</v>
      </c>
      <c r="AR223" s="1" t="s">
        <v>45</v>
      </c>
      <c r="AT223" s="1" t="s">
        <v>1546</v>
      </c>
      <c r="AV223" s="1" t="s">
        <v>2155</v>
      </c>
      <c r="AW223" s="33" t="s">
        <v>1463</v>
      </c>
      <c r="AX223" s="33" t="s">
        <v>1547</v>
      </c>
      <c r="AY223" s="3"/>
      <c r="AZ223" s="1">
        <v>3</v>
      </c>
      <c r="BA223" s="1" t="s">
        <v>1978</v>
      </c>
      <c r="BB223" s="1" t="s">
        <v>1530</v>
      </c>
      <c r="BC223" s="1" t="s">
        <v>1561</v>
      </c>
      <c r="BD223" s="1" t="s">
        <v>1977</v>
      </c>
      <c r="BE223" s="1" t="s">
        <v>1533</v>
      </c>
      <c r="BF223" s="1" t="s">
        <v>1534</v>
      </c>
      <c r="BG223" s="1" t="s">
        <v>1525</v>
      </c>
      <c r="BH223" s="1" t="s">
        <v>46</v>
      </c>
      <c r="BI223" s="1" t="s">
        <v>1535</v>
      </c>
      <c r="BJ223" s="1" t="s">
        <v>1525</v>
      </c>
      <c r="BK223" s="1" t="s">
        <v>1536</v>
      </c>
      <c r="BL223" s="32">
        <v>45480</v>
      </c>
      <c r="BM223" s="1" t="s">
        <v>1142</v>
      </c>
      <c r="BN223" s="1" t="s">
        <v>45</v>
      </c>
      <c r="BO223" s="1" t="s">
        <v>1537</v>
      </c>
      <c r="BP223" s="1" t="s">
        <v>1551</v>
      </c>
      <c r="BQ223" s="1" t="s">
        <v>1605</v>
      </c>
      <c r="BR223" s="1" t="s">
        <v>1606</v>
      </c>
      <c r="BS223" s="1" t="s">
        <v>99</v>
      </c>
      <c r="BU223" s="1" t="s">
        <v>51</v>
      </c>
      <c r="BV223" s="1" t="s">
        <v>1541</v>
      </c>
      <c r="BW223" s="1" t="s">
        <v>1542</v>
      </c>
      <c r="CA223" s="1" t="s">
        <v>45</v>
      </c>
      <c r="CB223" s="1" t="s">
        <v>51</v>
      </c>
      <c r="CC223" s="32">
        <v>45540</v>
      </c>
      <c r="CD223" s="1">
        <v>54</v>
      </c>
      <c r="CE223" s="1">
        <v>30</v>
      </c>
      <c r="CJ223" s="1" t="s">
        <v>51</v>
      </c>
      <c r="CK223" s="32">
        <v>45670</v>
      </c>
      <c r="CL223" s="1" t="s">
        <v>45</v>
      </c>
      <c r="DH223" s="1" t="s">
        <v>45</v>
      </c>
      <c r="DM223" s="1" t="s">
        <v>45</v>
      </c>
      <c r="DO223" s="1" t="s">
        <v>45</v>
      </c>
      <c r="DQ223" s="1" t="s">
        <v>45</v>
      </c>
      <c r="DT223" s="32">
        <v>45834</v>
      </c>
      <c r="DU223" s="1" t="s">
        <v>1543</v>
      </c>
      <c r="DV223" s="1">
        <v>11.629434954007801</v>
      </c>
      <c r="DW223" s="1" t="s">
        <v>45</v>
      </c>
      <c r="DY223" s="32">
        <v>45854</v>
      </c>
      <c r="DZ223" s="1" t="s">
        <v>1544</v>
      </c>
    </row>
    <row r="224" spans="1:130" ht="15.75" customHeight="1" x14ac:dyDescent="0.2">
      <c r="A224" s="8" t="s">
        <v>1146</v>
      </c>
      <c r="B224" s="32">
        <v>27707</v>
      </c>
      <c r="C224" s="32">
        <v>45477</v>
      </c>
      <c r="D224" s="1">
        <v>48.652607514185704</v>
      </c>
      <c r="E224" s="1" t="s">
        <v>1523</v>
      </c>
      <c r="F224" s="1" t="s">
        <v>1524</v>
      </c>
      <c r="G224" s="1" t="s">
        <v>1686</v>
      </c>
      <c r="H224" s="1" t="s">
        <v>51</v>
      </c>
      <c r="I224" s="1">
        <v>1.7250000000000001</v>
      </c>
      <c r="J224" s="1" t="s">
        <v>51</v>
      </c>
      <c r="K224" s="1">
        <v>77.8</v>
      </c>
      <c r="L224" s="1">
        <v>26.145767695862201</v>
      </c>
      <c r="M224" s="1" t="s">
        <v>45</v>
      </c>
      <c r="N224" s="1" t="s">
        <v>45</v>
      </c>
      <c r="O224" s="1" t="s">
        <v>45</v>
      </c>
      <c r="P224" s="1" t="s">
        <v>45</v>
      </c>
      <c r="Q224" s="1" t="s">
        <v>45</v>
      </c>
      <c r="R224" s="1" t="s">
        <v>45</v>
      </c>
      <c r="S224" s="1" t="s">
        <v>45</v>
      </c>
      <c r="T224" s="1" t="s">
        <v>45</v>
      </c>
      <c r="U224" s="1" t="s">
        <v>45</v>
      </c>
      <c r="V224" s="1" t="s">
        <v>45</v>
      </c>
      <c r="W224" s="1" t="s">
        <v>45</v>
      </c>
      <c r="X224" s="1" t="s">
        <v>45</v>
      </c>
      <c r="Y224" s="1" t="s">
        <v>45</v>
      </c>
      <c r="Z224" s="1" t="s">
        <v>45</v>
      </c>
      <c r="AA224" s="1" t="s">
        <v>45</v>
      </c>
      <c r="AB224" s="1" t="s">
        <v>45</v>
      </c>
      <c r="AC224" s="1" t="s">
        <v>45</v>
      </c>
      <c r="AD224" s="1" t="s">
        <v>45</v>
      </c>
      <c r="AE224" s="1" t="s">
        <v>45</v>
      </c>
      <c r="AF224" s="32">
        <v>45483</v>
      </c>
      <c r="AG224" s="1">
        <v>48.669034956227698</v>
      </c>
      <c r="AH224" s="1" t="s">
        <v>1526</v>
      </c>
      <c r="AI224" s="1" t="s">
        <v>1527</v>
      </c>
      <c r="AJ224" s="1" t="s">
        <v>45</v>
      </c>
      <c r="AK224" s="1" t="s">
        <v>45</v>
      </c>
      <c r="AL224" s="1" t="s">
        <v>51</v>
      </c>
      <c r="AM224" s="1" t="s">
        <v>51</v>
      </c>
      <c r="AN224" s="1" t="s">
        <v>45</v>
      </c>
      <c r="AO224" s="1" t="s">
        <v>45</v>
      </c>
      <c r="AP224" s="1" t="s">
        <v>45</v>
      </c>
      <c r="AQ224" s="1" t="s">
        <v>45</v>
      </c>
      <c r="AR224" s="1" t="s">
        <v>45</v>
      </c>
      <c r="AT224" s="1" t="s">
        <v>1528</v>
      </c>
      <c r="AW224" s="33" t="s">
        <v>1463</v>
      </c>
      <c r="AX224" s="3" t="s">
        <v>1528</v>
      </c>
      <c r="AY224" s="3"/>
      <c r="AZ224" s="1">
        <v>4</v>
      </c>
      <c r="BA224" s="1" t="s">
        <v>1529</v>
      </c>
      <c r="BB224" s="1" t="s">
        <v>1530</v>
      </c>
      <c r="BC224" s="1" t="s">
        <v>1531</v>
      </c>
      <c r="BE224" s="1" t="s">
        <v>1603</v>
      </c>
      <c r="BF224" s="1" t="s">
        <v>1534</v>
      </c>
      <c r="BG224" s="1" t="s">
        <v>45</v>
      </c>
      <c r="BH224" s="1" t="s">
        <v>46</v>
      </c>
      <c r="BI224" s="1" t="s">
        <v>1535</v>
      </c>
      <c r="BJ224" s="1" t="s">
        <v>1525</v>
      </c>
      <c r="BK224" s="1" t="s">
        <v>1536</v>
      </c>
      <c r="BL224" s="32">
        <v>45483</v>
      </c>
      <c r="BM224" s="1" t="s">
        <v>1147</v>
      </c>
      <c r="BO224" s="1" t="s">
        <v>1537</v>
      </c>
      <c r="BP224" s="1" t="s">
        <v>1538</v>
      </c>
      <c r="BQ224" s="1" t="s">
        <v>1647</v>
      </c>
      <c r="BR224" s="1" t="s">
        <v>1552</v>
      </c>
      <c r="BS224" s="1" t="s">
        <v>50</v>
      </c>
      <c r="BU224" s="1" t="s">
        <v>45</v>
      </c>
      <c r="BW224" s="1" t="s">
        <v>1563</v>
      </c>
      <c r="BX224" s="32">
        <v>45574</v>
      </c>
      <c r="BY224" s="1">
        <v>12</v>
      </c>
      <c r="BZ224" s="1" t="s">
        <v>2156</v>
      </c>
      <c r="CA224" s="1" t="s">
        <v>51</v>
      </c>
      <c r="CB224" s="1" t="s">
        <v>51</v>
      </c>
      <c r="CC224" s="32">
        <v>45502</v>
      </c>
      <c r="CD224" s="1">
        <v>60</v>
      </c>
      <c r="CE224" s="1">
        <v>30</v>
      </c>
      <c r="CJ224" s="1" t="s">
        <v>45</v>
      </c>
      <c r="DH224" s="1" t="s">
        <v>45</v>
      </c>
      <c r="DM224" s="1" t="s">
        <v>45</v>
      </c>
      <c r="DO224" s="1" t="s">
        <v>45</v>
      </c>
      <c r="DQ224" s="1" t="s">
        <v>45</v>
      </c>
      <c r="DT224" s="32">
        <v>45798</v>
      </c>
      <c r="DU224" s="1" t="s">
        <v>1598</v>
      </c>
      <c r="DV224" s="1">
        <v>10.348226018396799</v>
      </c>
      <c r="DW224" s="1" t="s">
        <v>45</v>
      </c>
      <c r="DY224" s="32">
        <v>45819</v>
      </c>
      <c r="DZ224" s="1" t="s">
        <v>1544</v>
      </c>
    </row>
    <row r="225" spans="1:130" ht="15.75" customHeight="1" x14ac:dyDescent="0.2">
      <c r="A225" s="8" t="s">
        <v>1149</v>
      </c>
      <c r="B225" s="32">
        <v>21040</v>
      </c>
      <c r="C225" s="32">
        <v>45430</v>
      </c>
      <c r="D225" s="1">
        <v>66.777551900449694</v>
      </c>
      <c r="E225" s="1" t="s">
        <v>1587</v>
      </c>
      <c r="F225" s="1" t="s">
        <v>1524</v>
      </c>
      <c r="G225" s="1" t="s">
        <v>1574</v>
      </c>
      <c r="H225" s="1" t="s">
        <v>51</v>
      </c>
      <c r="I225" s="1">
        <v>1.71</v>
      </c>
      <c r="J225" s="1" t="s">
        <v>51</v>
      </c>
      <c r="K225" s="1">
        <v>74.400000000000006</v>
      </c>
      <c r="L225" s="1">
        <v>25.443726274751199</v>
      </c>
      <c r="M225" s="1" t="s">
        <v>45</v>
      </c>
      <c r="N225" s="1" t="s">
        <v>45</v>
      </c>
      <c r="O225" s="1" t="s">
        <v>45</v>
      </c>
      <c r="P225" s="1" t="s">
        <v>45</v>
      </c>
      <c r="Q225" s="1" t="s">
        <v>45</v>
      </c>
      <c r="R225" s="1" t="s">
        <v>45</v>
      </c>
      <c r="S225" s="1" t="s">
        <v>45</v>
      </c>
      <c r="T225" s="1" t="s">
        <v>45</v>
      </c>
      <c r="U225" s="1" t="s">
        <v>45</v>
      </c>
      <c r="V225" s="1" t="s">
        <v>45</v>
      </c>
      <c r="W225" s="1" t="s">
        <v>45</v>
      </c>
      <c r="X225" s="1" t="s">
        <v>45</v>
      </c>
      <c r="Y225" s="1" t="s">
        <v>45</v>
      </c>
      <c r="Z225" s="1" t="s">
        <v>45</v>
      </c>
      <c r="AA225" s="1" t="s">
        <v>45</v>
      </c>
      <c r="AB225" s="1" t="s">
        <v>45</v>
      </c>
      <c r="AC225" s="1" t="s">
        <v>45</v>
      </c>
      <c r="AD225" s="1" t="s">
        <v>45</v>
      </c>
      <c r="AE225" s="1" t="s">
        <v>45</v>
      </c>
      <c r="AF225" s="32">
        <v>45490</v>
      </c>
      <c r="AG225" s="1">
        <v>66.941826320868998</v>
      </c>
      <c r="AH225" s="1" t="s">
        <v>1558</v>
      </c>
      <c r="AI225" s="1" t="s">
        <v>1527</v>
      </c>
      <c r="AJ225" s="1" t="s">
        <v>45</v>
      </c>
      <c r="AK225" s="1" t="s">
        <v>45</v>
      </c>
      <c r="AL225" s="1" t="s">
        <v>45</v>
      </c>
      <c r="AM225" s="1" t="s">
        <v>45</v>
      </c>
      <c r="AN225" s="1" t="s">
        <v>45</v>
      </c>
      <c r="AO225" s="1" t="s">
        <v>45</v>
      </c>
      <c r="AP225" s="1" t="s">
        <v>45</v>
      </c>
      <c r="AQ225" s="1" t="s">
        <v>45</v>
      </c>
      <c r="AR225" s="1" t="s">
        <v>45</v>
      </c>
      <c r="AT225" s="1" t="s">
        <v>1560</v>
      </c>
      <c r="AW225" s="33" t="s">
        <v>1464</v>
      </c>
      <c r="AX225" s="3"/>
      <c r="AY225" s="3" t="s">
        <v>1560</v>
      </c>
      <c r="AZ225" s="1">
        <v>2</v>
      </c>
      <c r="BA225" s="1" t="s">
        <v>1821</v>
      </c>
      <c r="BB225" s="1" t="s">
        <v>1567</v>
      </c>
      <c r="BC225" s="1" t="s">
        <v>1531</v>
      </c>
      <c r="BD225" s="1" t="s">
        <v>1822</v>
      </c>
      <c r="BE225" s="1" t="s">
        <v>1533</v>
      </c>
      <c r="BF225" s="1" t="s">
        <v>1534</v>
      </c>
      <c r="BG225" s="1" t="s">
        <v>45</v>
      </c>
      <c r="BH225" s="1" t="s">
        <v>46</v>
      </c>
      <c r="BI225" s="1" t="s">
        <v>1535</v>
      </c>
      <c r="BJ225" s="1" t="s">
        <v>45</v>
      </c>
      <c r="BK225" s="1" t="s">
        <v>1536</v>
      </c>
      <c r="BL225" s="32">
        <v>45490</v>
      </c>
      <c r="BM225" s="1" t="s">
        <v>1150</v>
      </c>
      <c r="BO225" s="1" t="s">
        <v>1537</v>
      </c>
      <c r="BP225" s="1" t="s">
        <v>1538</v>
      </c>
      <c r="BQ225" s="1" t="s">
        <v>1647</v>
      </c>
      <c r="BR225" s="1" t="s">
        <v>1552</v>
      </c>
      <c r="BS225" s="1" t="s">
        <v>50</v>
      </c>
      <c r="BU225" s="1" t="s">
        <v>45</v>
      </c>
      <c r="BW225" s="1" t="s">
        <v>1542</v>
      </c>
      <c r="CA225" s="1" t="s">
        <v>45</v>
      </c>
      <c r="CB225" s="1" t="s">
        <v>45</v>
      </c>
      <c r="CG225" s="1" t="s">
        <v>2157</v>
      </c>
      <c r="CJ225" s="1" t="s">
        <v>45</v>
      </c>
      <c r="DH225" s="1" t="s">
        <v>45</v>
      </c>
      <c r="DM225" s="1" t="s">
        <v>45</v>
      </c>
      <c r="DO225" s="1" t="s">
        <v>45</v>
      </c>
      <c r="DQ225" s="1" t="s">
        <v>45</v>
      </c>
      <c r="DT225" s="32">
        <v>45803</v>
      </c>
      <c r="DU225" s="1" t="s">
        <v>1598</v>
      </c>
      <c r="DV225" s="1">
        <v>10.2825229960578</v>
      </c>
      <c r="DW225" s="1" t="s">
        <v>45</v>
      </c>
      <c r="DY225" s="32">
        <v>45819</v>
      </c>
      <c r="DZ225" s="1" t="s">
        <v>1544</v>
      </c>
    </row>
    <row r="226" spans="1:130" ht="15.75" customHeight="1" x14ac:dyDescent="0.2">
      <c r="A226" s="8" t="s">
        <v>1153</v>
      </c>
      <c r="B226" s="32">
        <v>27402</v>
      </c>
      <c r="C226" s="32">
        <v>44529</v>
      </c>
      <c r="D226" s="1">
        <v>46.892133308692102</v>
      </c>
      <c r="E226" s="1" t="s">
        <v>1523</v>
      </c>
      <c r="F226" s="1" t="s">
        <v>1524</v>
      </c>
      <c r="G226" s="1" t="s">
        <v>1686</v>
      </c>
      <c r="H226" s="1" t="s">
        <v>51</v>
      </c>
      <c r="I226" s="1">
        <v>1.8540000000000001</v>
      </c>
      <c r="J226" s="1" t="s">
        <v>51</v>
      </c>
      <c r="K226" s="1">
        <v>90.2</v>
      </c>
      <c r="L226" s="1">
        <v>26.241404630822402</v>
      </c>
      <c r="M226" s="1" t="s">
        <v>45</v>
      </c>
      <c r="N226" s="1" t="s">
        <v>45</v>
      </c>
      <c r="O226" s="1" t="s">
        <v>45</v>
      </c>
      <c r="P226" s="1" t="s">
        <v>45</v>
      </c>
      <c r="Q226" s="1" t="s">
        <v>45</v>
      </c>
      <c r="R226" s="1" t="s">
        <v>45</v>
      </c>
      <c r="S226" s="1" t="s">
        <v>45</v>
      </c>
      <c r="T226" s="1" t="s">
        <v>51</v>
      </c>
      <c r="U226" s="1" t="s">
        <v>45</v>
      </c>
      <c r="V226" s="1" t="s">
        <v>45</v>
      </c>
      <c r="W226" s="1" t="s">
        <v>45</v>
      </c>
      <c r="X226" s="1" t="s">
        <v>45</v>
      </c>
      <c r="Y226" s="1" t="s">
        <v>45</v>
      </c>
      <c r="Z226" s="1" t="s">
        <v>45</v>
      </c>
      <c r="AA226" s="1" t="s">
        <v>45</v>
      </c>
      <c r="AB226" s="1" t="s">
        <v>45</v>
      </c>
      <c r="AC226" s="1" t="s">
        <v>51</v>
      </c>
      <c r="AD226" s="1" t="s">
        <v>45</v>
      </c>
      <c r="AE226" s="1" t="s">
        <v>45</v>
      </c>
      <c r="AF226" s="32">
        <v>40436</v>
      </c>
      <c r="AG226" s="1">
        <v>35.685879929088202</v>
      </c>
      <c r="AH226" s="1" t="s">
        <v>1558</v>
      </c>
      <c r="AI226" s="1" t="s">
        <v>1527</v>
      </c>
      <c r="AJ226" s="1" t="s">
        <v>45</v>
      </c>
      <c r="AK226" s="1" t="s">
        <v>51</v>
      </c>
      <c r="AL226" s="1" t="s">
        <v>45</v>
      </c>
      <c r="AM226" s="1" t="s">
        <v>45</v>
      </c>
      <c r="AN226" s="1" t="s">
        <v>45</v>
      </c>
      <c r="AO226" s="1" t="s">
        <v>45</v>
      </c>
      <c r="AP226" s="1" t="s">
        <v>45</v>
      </c>
      <c r="AQ226" s="1" t="s">
        <v>45</v>
      </c>
      <c r="AR226" s="1" t="s">
        <v>45</v>
      </c>
      <c r="AT226" s="1" t="s">
        <v>1560</v>
      </c>
      <c r="AW226" s="33" t="s">
        <v>1464</v>
      </c>
      <c r="AX226" s="3"/>
      <c r="AY226" s="3" t="s">
        <v>1560</v>
      </c>
      <c r="AZ226" s="1">
        <v>2</v>
      </c>
      <c r="BA226" s="1" t="s">
        <v>1821</v>
      </c>
      <c r="BB226" s="1" t="s">
        <v>1567</v>
      </c>
      <c r="BC226" s="1" t="s">
        <v>1531</v>
      </c>
      <c r="BE226" s="1" t="s">
        <v>1525</v>
      </c>
      <c r="BG226" s="1" t="s">
        <v>1525</v>
      </c>
      <c r="BH226" s="1" t="s">
        <v>46</v>
      </c>
      <c r="BI226" s="1" t="s">
        <v>1599</v>
      </c>
      <c r="BJ226" s="1" t="s">
        <v>45</v>
      </c>
      <c r="BK226" s="1" t="s">
        <v>1536</v>
      </c>
      <c r="BL226" s="32">
        <v>40436</v>
      </c>
      <c r="BM226" s="1" t="s">
        <v>1154</v>
      </c>
      <c r="BO226" s="1" t="s">
        <v>1537</v>
      </c>
      <c r="BP226" s="1" t="s">
        <v>1538</v>
      </c>
      <c r="BQ226" s="1" t="s">
        <v>1539</v>
      </c>
      <c r="BR226" s="1" t="s">
        <v>1540</v>
      </c>
      <c r="BS226" s="1" t="s">
        <v>50</v>
      </c>
      <c r="BU226" s="1" t="s">
        <v>1525</v>
      </c>
      <c r="BW226" s="1" t="s">
        <v>1542</v>
      </c>
      <c r="CA226" s="1" t="s">
        <v>45</v>
      </c>
      <c r="CB226" s="1" t="s">
        <v>45</v>
      </c>
      <c r="CJ226" s="1" t="s">
        <v>51</v>
      </c>
      <c r="CK226" s="32">
        <v>45253</v>
      </c>
      <c r="CL226" s="1" t="s">
        <v>51</v>
      </c>
      <c r="CM226" s="32">
        <v>45497</v>
      </c>
      <c r="CN226" s="1">
        <v>13.856547362368801</v>
      </c>
      <c r="CO226" s="1" t="s">
        <v>1537</v>
      </c>
      <c r="CP226" s="1" t="s">
        <v>1566</v>
      </c>
      <c r="CQ226" s="1" t="s">
        <v>1539</v>
      </c>
      <c r="CR226" s="1" t="s">
        <v>1540</v>
      </c>
      <c r="CS226" s="1" t="s">
        <v>50</v>
      </c>
      <c r="CT226" s="1" t="s">
        <v>1560</v>
      </c>
      <c r="CW226" s="1">
        <v>3</v>
      </c>
      <c r="CX226" s="1" t="s">
        <v>1978</v>
      </c>
      <c r="CY226" s="1" t="s">
        <v>1567</v>
      </c>
      <c r="CZ226" s="1" t="s">
        <v>1531</v>
      </c>
      <c r="DA226" s="1" t="s">
        <v>1822</v>
      </c>
      <c r="DB226" s="1" t="s">
        <v>1525</v>
      </c>
      <c r="DD226" s="1" t="s">
        <v>1525</v>
      </c>
      <c r="DE226" s="1" t="s">
        <v>46</v>
      </c>
      <c r="DF226" s="1" t="s">
        <v>46</v>
      </c>
      <c r="DG226" s="1" t="s">
        <v>45</v>
      </c>
      <c r="DH226" s="1" t="s">
        <v>51</v>
      </c>
      <c r="DI226" s="1" t="s">
        <v>2158</v>
      </c>
      <c r="DJ226" s="32">
        <v>45623</v>
      </c>
      <c r="DM226" s="1" t="s">
        <v>51</v>
      </c>
      <c r="DN226" s="1" t="s">
        <v>2159</v>
      </c>
      <c r="DO226" s="1" t="s">
        <v>45</v>
      </c>
      <c r="DQ226" s="1" t="s">
        <v>45</v>
      </c>
      <c r="DT226" s="32">
        <v>45427</v>
      </c>
      <c r="DU226" s="1" t="s">
        <v>1598</v>
      </c>
      <c r="DV226" s="1">
        <v>163.96189224704301</v>
      </c>
      <c r="DW226" s="1" t="s">
        <v>45</v>
      </c>
      <c r="DY226" s="32">
        <v>45819</v>
      </c>
      <c r="DZ226" s="1" t="s">
        <v>1544</v>
      </c>
    </row>
    <row r="227" spans="1:130" ht="15.75" customHeight="1" x14ac:dyDescent="0.2">
      <c r="A227" s="8" t="s">
        <v>1158</v>
      </c>
      <c r="B227" s="32">
        <v>23590</v>
      </c>
      <c r="C227" s="32">
        <v>45486</v>
      </c>
      <c r="D227" s="1">
        <v>59.949211825020299</v>
      </c>
      <c r="E227" s="1" t="s">
        <v>1587</v>
      </c>
      <c r="F227" s="1" t="s">
        <v>1524</v>
      </c>
      <c r="G227" s="1" t="s">
        <v>1574</v>
      </c>
      <c r="H227" s="1" t="s">
        <v>51</v>
      </c>
      <c r="I227" s="1">
        <v>1.61</v>
      </c>
      <c r="J227" s="1" t="s">
        <v>51</v>
      </c>
      <c r="K227" s="1">
        <v>61.9</v>
      </c>
      <c r="L227" s="1">
        <v>23.8802515335056</v>
      </c>
      <c r="M227" s="1" t="s">
        <v>45</v>
      </c>
      <c r="N227" s="1" t="s">
        <v>45</v>
      </c>
      <c r="O227" s="1" t="s">
        <v>45</v>
      </c>
      <c r="P227" s="1" t="s">
        <v>45</v>
      </c>
      <c r="Q227" s="1" t="s">
        <v>45</v>
      </c>
      <c r="R227" s="1" t="s">
        <v>45</v>
      </c>
      <c r="S227" s="1" t="s">
        <v>45</v>
      </c>
      <c r="T227" s="1" t="s">
        <v>45</v>
      </c>
      <c r="U227" s="1" t="s">
        <v>45</v>
      </c>
      <c r="V227" s="1" t="s">
        <v>45</v>
      </c>
      <c r="W227" s="1" t="s">
        <v>45</v>
      </c>
      <c r="X227" s="1" t="s">
        <v>45</v>
      </c>
      <c r="Y227" s="1" t="s">
        <v>45</v>
      </c>
      <c r="Z227" s="1" t="s">
        <v>45</v>
      </c>
      <c r="AA227" s="1" t="s">
        <v>51</v>
      </c>
      <c r="AB227" s="1" t="s">
        <v>45</v>
      </c>
      <c r="AC227" s="1" t="s">
        <v>45</v>
      </c>
      <c r="AD227" s="1" t="s">
        <v>45</v>
      </c>
      <c r="AE227" s="1" t="s">
        <v>45</v>
      </c>
      <c r="AF227" s="32">
        <v>45504</v>
      </c>
      <c r="AG227" s="1">
        <v>59.998494151146097</v>
      </c>
      <c r="AH227" s="1" t="s">
        <v>1526</v>
      </c>
      <c r="AI227" s="1" t="s">
        <v>1527</v>
      </c>
      <c r="AJ227" s="1" t="s">
        <v>45</v>
      </c>
      <c r="AK227" s="1" t="s">
        <v>45</v>
      </c>
      <c r="AL227" s="1" t="s">
        <v>45</v>
      </c>
      <c r="AM227" s="1" t="s">
        <v>45</v>
      </c>
      <c r="AN227" s="1" t="s">
        <v>45</v>
      </c>
      <c r="AO227" s="1" t="s">
        <v>45</v>
      </c>
      <c r="AP227" s="1" t="s">
        <v>45</v>
      </c>
      <c r="AQ227" s="1" t="s">
        <v>51</v>
      </c>
      <c r="AR227" s="1" t="s">
        <v>51</v>
      </c>
      <c r="AS227" s="1" t="s">
        <v>2160</v>
      </c>
      <c r="AT227" s="1" t="s">
        <v>1528</v>
      </c>
      <c r="AW227" s="33" t="s">
        <v>1463</v>
      </c>
      <c r="AX227" s="3" t="s">
        <v>1528</v>
      </c>
      <c r="AY227" s="3"/>
      <c r="AZ227" s="1">
        <v>4</v>
      </c>
      <c r="BA227" s="1" t="s">
        <v>1529</v>
      </c>
      <c r="BB227" s="1" t="s">
        <v>1530</v>
      </c>
      <c r="BC227" s="1" t="s">
        <v>1531</v>
      </c>
      <c r="BD227" s="1" t="s">
        <v>1532</v>
      </c>
      <c r="BE227" s="1" t="s">
        <v>1603</v>
      </c>
      <c r="BF227" s="1" t="s">
        <v>1534</v>
      </c>
      <c r="BG227" s="1" t="s">
        <v>1525</v>
      </c>
      <c r="BH227" s="1" t="s">
        <v>1525</v>
      </c>
      <c r="BI227" s="1" t="s">
        <v>1525</v>
      </c>
      <c r="BJ227" s="1" t="s">
        <v>1525</v>
      </c>
      <c r="BK227" s="1" t="s">
        <v>1536</v>
      </c>
      <c r="BL227" s="32">
        <v>45504</v>
      </c>
      <c r="BM227" s="1" t="s">
        <v>1159</v>
      </c>
      <c r="BO227" s="1" t="s">
        <v>1537</v>
      </c>
      <c r="BP227" s="1" t="s">
        <v>1551</v>
      </c>
      <c r="BQ227" s="1" t="s">
        <v>1605</v>
      </c>
      <c r="BR227" s="1" t="s">
        <v>1540</v>
      </c>
      <c r="BS227" s="1" t="s">
        <v>106</v>
      </c>
      <c r="BU227" s="1" t="s">
        <v>45</v>
      </c>
      <c r="BW227" s="1" t="s">
        <v>1542</v>
      </c>
      <c r="CA227" s="1" t="s">
        <v>51</v>
      </c>
      <c r="CB227" s="1" t="s">
        <v>51</v>
      </c>
      <c r="CC227" s="32">
        <v>45538</v>
      </c>
      <c r="CD227" s="1">
        <v>7.5</v>
      </c>
      <c r="CE227" s="1">
        <v>3</v>
      </c>
      <c r="CF227" s="1" t="s">
        <v>2161</v>
      </c>
      <c r="CJ227" s="1" t="s">
        <v>51</v>
      </c>
      <c r="CK227" s="32">
        <v>45540</v>
      </c>
      <c r="CL227" s="1" t="s">
        <v>45</v>
      </c>
      <c r="DH227" s="1" t="s">
        <v>45</v>
      </c>
      <c r="DM227" s="1" t="s">
        <v>45</v>
      </c>
      <c r="DO227" s="1" t="s">
        <v>45</v>
      </c>
      <c r="DQ227" s="1" t="s">
        <v>45</v>
      </c>
      <c r="DT227" s="32">
        <v>45614</v>
      </c>
      <c r="DU227" s="1" t="s">
        <v>1543</v>
      </c>
      <c r="DV227" s="1">
        <v>3.61366622864651</v>
      </c>
      <c r="DW227" s="1" t="s">
        <v>45</v>
      </c>
      <c r="DY227" s="32">
        <v>45819</v>
      </c>
      <c r="DZ227" s="1" t="s">
        <v>1544</v>
      </c>
    </row>
    <row r="228" spans="1:130" ht="15.75" customHeight="1" x14ac:dyDescent="0.2">
      <c r="A228" s="8" t="s">
        <v>1164</v>
      </c>
      <c r="B228" s="32">
        <v>37526</v>
      </c>
      <c r="C228" s="32">
        <v>45142</v>
      </c>
      <c r="D228" s="1">
        <v>20.851899765224399</v>
      </c>
      <c r="E228" s="1" t="s">
        <v>1523</v>
      </c>
      <c r="F228" s="1" t="s">
        <v>1578</v>
      </c>
      <c r="G228" s="1" t="s">
        <v>1574</v>
      </c>
      <c r="H228" s="1" t="s">
        <v>51</v>
      </c>
      <c r="I228" s="1">
        <v>1.66</v>
      </c>
      <c r="J228" s="1" t="s">
        <v>51</v>
      </c>
      <c r="K228" s="1">
        <v>59.4</v>
      </c>
      <c r="L228" s="1">
        <v>21.556103933807499</v>
      </c>
      <c r="M228" s="1" t="s">
        <v>45</v>
      </c>
      <c r="N228" s="1" t="s">
        <v>45</v>
      </c>
      <c r="O228" s="1" t="s">
        <v>45</v>
      </c>
      <c r="P228" s="1" t="s">
        <v>45</v>
      </c>
      <c r="Q228" s="1" t="s">
        <v>45</v>
      </c>
      <c r="R228" s="1" t="s">
        <v>45</v>
      </c>
      <c r="S228" s="1" t="s">
        <v>45</v>
      </c>
      <c r="T228" s="1" t="s">
        <v>45</v>
      </c>
      <c r="U228" s="1" t="s">
        <v>45</v>
      </c>
      <c r="V228" s="1" t="s">
        <v>45</v>
      </c>
      <c r="W228" s="1" t="s">
        <v>45</v>
      </c>
      <c r="X228" s="1" t="s">
        <v>45</v>
      </c>
      <c r="Y228" s="1" t="s">
        <v>45</v>
      </c>
      <c r="Z228" s="1" t="s">
        <v>45</v>
      </c>
      <c r="AA228" s="1" t="s">
        <v>45</v>
      </c>
      <c r="AB228" s="1" t="s">
        <v>45</v>
      </c>
      <c r="AC228" s="1" t="s">
        <v>45</v>
      </c>
      <c r="AD228" s="1" t="s">
        <v>45</v>
      </c>
      <c r="AE228" s="1" t="s">
        <v>45</v>
      </c>
      <c r="AF228" s="32">
        <v>45512</v>
      </c>
      <c r="AG228" s="1">
        <v>21.864925357810201</v>
      </c>
      <c r="AH228" s="1" t="s">
        <v>1558</v>
      </c>
      <c r="AI228" s="1" t="s">
        <v>1527</v>
      </c>
      <c r="AJ228" s="1" t="s">
        <v>45</v>
      </c>
      <c r="AK228" s="1" t="s">
        <v>51</v>
      </c>
      <c r="AL228" s="1" t="s">
        <v>45</v>
      </c>
      <c r="AM228" s="1" t="s">
        <v>45</v>
      </c>
      <c r="AN228" s="1" t="s">
        <v>45</v>
      </c>
      <c r="AO228" s="1" t="s">
        <v>45</v>
      </c>
      <c r="AP228" s="1" t="s">
        <v>45</v>
      </c>
      <c r="AQ228" s="1" t="s">
        <v>45</v>
      </c>
      <c r="AR228" s="1" t="s">
        <v>45</v>
      </c>
      <c r="AT228" s="1" t="s">
        <v>1583</v>
      </c>
      <c r="AU228" s="1" t="s">
        <v>2066</v>
      </c>
      <c r="AW228" s="33" t="s">
        <v>1464</v>
      </c>
      <c r="AX228" s="3"/>
      <c r="AY228" s="33" t="s">
        <v>1621</v>
      </c>
      <c r="BB228" s="1" t="s">
        <v>1530</v>
      </c>
      <c r="BC228" s="1" t="s">
        <v>1531</v>
      </c>
      <c r="BD228" s="1" t="s">
        <v>1532</v>
      </c>
      <c r="BE228" s="1" t="s">
        <v>1525</v>
      </c>
      <c r="BG228" s="1" t="s">
        <v>1525</v>
      </c>
      <c r="BH228" s="1" t="s">
        <v>46</v>
      </c>
      <c r="BI228" s="1" t="s">
        <v>1535</v>
      </c>
      <c r="BJ228" s="1" t="s">
        <v>1525</v>
      </c>
      <c r="BK228" s="1" t="s">
        <v>1536</v>
      </c>
      <c r="BL228" s="32">
        <v>45512</v>
      </c>
      <c r="BM228" s="1" t="s">
        <v>1165</v>
      </c>
      <c r="BO228" s="1" t="s">
        <v>1537</v>
      </c>
      <c r="BP228" s="1" t="s">
        <v>1538</v>
      </c>
      <c r="BQ228" s="1" t="s">
        <v>1647</v>
      </c>
      <c r="BR228" s="1" t="s">
        <v>1540</v>
      </c>
      <c r="BS228" s="1" t="s">
        <v>106</v>
      </c>
      <c r="BU228" s="1" t="s">
        <v>45</v>
      </c>
      <c r="BW228" s="1" t="s">
        <v>1542</v>
      </c>
      <c r="CA228" s="1" t="s">
        <v>45</v>
      </c>
      <c r="CB228" s="1" t="s">
        <v>45</v>
      </c>
      <c r="CJ228" s="1" t="s">
        <v>45</v>
      </c>
      <c r="DH228" s="1" t="s">
        <v>45</v>
      </c>
      <c r="DM228" s="1" t="s">
        <v>45</v>
      </c>
      <c r="DO228" s="1" t="s">
        <v>45</v>
      </c>
      <c r="DQ228" s="1" t="s">
        <v>45</v>
      </c>
      <c r="DT228" s="32">
        <v>45700</v>
      </c>
      <c r="DU228" s="1" t="s">
        <v>1598</v>
      </c>
      <c r="DV228" s="1">
        <v>6.1760840998685902</v>
      </c>
      <c r="DW228" s="1" t="s">
        <v>45</v>
      </c>
      <c r="DY228" s="32">
        <v>45819</v>
      </c>
      <c r="DZ228" s="1" t="s">
        <v>1544</v>
      </c>
    </row>
    <row r="229" spans="1:130" ht="15.75" customHeight="1" x14ac:dyDescent="0.2">
      <c r="A229" s="8" t="s">
        <v>1169</v>
      </c>
      <c r="B229" s="32">
        <v>29148</v>
      </c>
      <c r="C229" s="32">
        <v>42760</v>
      </c>
      <c r="D229" s="1">
        <v>37.268390179127501</v>
      </c>
      <c r="E229" s="1" t="s">
        <v>1523</v>
      </c>
      <c r="F229" s="1" t="s">
        <v>1524</v>
      </c>
      <c r="G229" s="1" t="s">
        <v>1574</v>
      </c>
      <c r="H229" s="1" t="s">
        <v>51</v>
      </c>
      <c r="I229" s="1">
        <v>1.73</v>
      </c>
      <c r="J229" s="1" t="s">
        <v>51</v>
      </c>
      <c r="K229" s="1">
        <v>86.3</v>
      </c>
      <c r="L229" s="1">
        <v>28.834909285308498</v>
      </c>
      <c r="M229" s="1" t="s">
        <v>45</v>
      </c>
      <c r="N229" s="1" t="s">
        <v>45</v>
      </c>
      <c r="O229" s="1" t="s">
        <v>45</v>
      </c>
      <c r="P229" s="1" t="s">
        <v>45</v>
      </c>
      <c r="Q229" s="1" t="s">
        <v>45</v>
      </c>
      <c r="R229" s="1" t="s">
        <v>45</v>
      </c>
      <c r="S229" s="1" t="s">
        <v>45</v>
      </c>
      <c r="T229" s="1" t="s">
        <v>45</v>
      </c>
      <c r="U229" s="1" t="s">
        <v>45</v>
      </c>
      <c r="V229" s="1" t="s">
        <v>45</v>
      </c>
      <c r="W229" s="1" t="s">
        <v>45</v>
      </c>
      <c r="X229" s="1" t="s">
        <v>45</v>
      </c>
      <c r="Y229" s="1" t="s">
        <v>45</v>
      </c>
      <c r="Z229" s="1" t="s">
        <v>45</v>
      </c>
      <c r="AA229" s="1" t="s">
        <v>45</v>
      </c>
      <c r="AB229" s="1" t="s">
        <v>45</v>
      </c>
      <c r="AC229" s="1" t="s">
        <v>45</v>
      </c>
      <c r="AD229" s="1" t="s">
        <v>45</v>
      </c>
      <c r="AE229" s="1" t="s">
        <v>45</v>
      </c>
      <c r="AF229" s="32">
        <v>45366</v>
      </c>
      <c r="AG229" s="1">
        <v>44.403375839339603</v>
      </c>
      <c r="AH229" s="1" t="s">
        <v>1526</v>
      </c>
      <c r="AI229" s="1" t="s">
        <v>1527</v>
      </c>
      <c r="AJ229" s="1" t="s">
        <v>45</v>
      </c>
      <c r="AK229" s="1" t="s">
        <v>51</v>
      </c>
      <c r="AL229" s="1" t="s">
        <v>45</v>
      </c>
      <c r="AM229" s="1" t="s">
        <v>45</v>
      </c>
      <c r="AN229" s="1" t="s">
        <v>45</v>
      </c>
      <c r="AO229" s="1" t="s">
        <v>45</v>
      </c>
      <c r="AP229" s="1" t="s">
        <v>45</v>
      </c>
      <c r="AQ229" s="1" t="s">
        <v>45</v>
      </c>
      <c r="AR229" s="1" t="s">
        <v>45</v>
      </c>
      <c r="AT229" s="1" t="s">
        <v>1601</v>
      </c>
      <c r="AW229" s="33" t="s">
        <v>1464</v>
      </c>
      <c r="AX229" s="3"/>
      <c r="AY229" s="3" t="s">
        <v>1601</v>
      </c>
      <c r="AZ229" s="1">
        <v>2</v>
      </c>
      <c r="BA229" s="1" t="s">
        <v>1821</v>
      </c>
      <c r="BB229" s="1" t="s">
        <v>1567</v>
      </c>
      <c r="BC229" s="1" t="s">
        <v>1602</v>
      </c>
      <c r="BD229" s="1" t="s">
        <v>1822</v>
      </c>
      <c r="BE229" s="1" t="s">
        <v>1525</v>
      </c>
      <c r="BF229" s="1" t="s">
        <v>1534</v>
      </c>
      <c r="BG229" s="1" t="s">
        <v>1525</v>
      </c>
      <c r="BH229" s="1" t="s">
        <v>1525</v>
      </c>
      <c r="BI229" s="1" t="s">
        <v>1525</v>
      </c>
      <c r="BJ229" s="1" t="s">
        <v>1525</v>
      </c>
      <c r="BK229" s="1" t="s">
        <v>1536</v>
      </c>
      <c r="BL229" s="32">
        <v>40617</v>
      </c>
      <c r="BO229" s="1" t="s">
        <v>1537</v>
      </c>
      <c r="BP229" s="1" t="s">
        <v>1538</v>
      </c>
      <c r="BQ229" s="1" t="s">
        <v>1539</v>
      </c>
      <c r="BR229" s="1" t="s">
        <v>1552</v>
      </c>
      <c r="BS229" s="1" t="s">
        <v>50</v>
      </c>
      <c r="BW229" s="1" t="s">
        <v>1563</v>
      </c>
      <c r="BX229" s="32">
        <v>40648</v>
      </c>
      <c r="BY229" s="1">
        <v>12</v>
      </c>
      <c r="CA229" s="1" t="s">
        <v>45</v>
      </c>
      <c r="CB229" s="1" t="s">
        <v>45</v>
      </c>
      <c r="CI229" s="1" t="s">
        <v>2162</v>
      </c>
      <c r="CJ229" s="1" t="s">
        <v>51</v>
      </c>
      <c r="CK229" s="32">
        <v>45421</v>
      </c>
      <c r="CL229" s="1" t="s">
        <v>51</v>
      </c>
      <c r="CM229" s="32">
        <v>45512</v>
      </c>
      <c r="CN229" s="1">
        <v>13.402054799208701</v>
      </c>
      <c r="CO229" s="1" t="s">
        <v>1537</v>
      </c>
      <c r="CP229" s="1" t="s">
        <v>1796</v>
      </c>
      <c r="CQ229" s="1" t="s">
        <v>1539</v>
      </c>
      <c r="CR229" s="1" t="s">
        <v>1552</v>
      </c>
      <c r="CS229" s="1" t="s">
        <v>50</v>
      </c>
      <c r="CT229" s="1" t="s">
        <v>1601</v>
      </c>
      <c r="CV229" s="1" t="s">
        <v>1989</v>
      </c>
      <c r="CW229" s="1">
        <v>3</v>
      </c>
      <c r="CX229" s="1" t="s">
        <v>1978</v>
      </c>
      <c r="CY229" s="1" t="s">
        <v>1567</v>
      </c>
      <c r="CZ229" s="1" t="s">
        <v>1602</v>
      </c>
      <c r="DA229" s="1" t="s">
        <v>1990</v>
      </c>
      <c r="DB229" s="1" t="s">
        <v>1603</v>
      </c>
      <c r="DC229" s="1" t="s">
        <v>1534</v>
      </c>
      <c r="DD229" s="1" t="s">
        <v>45</v>
      </c>
      <c r="DE229" s="1" t="s">
        <v>1525</v>
      </c>
      <c r="DF229" s="1" t="s">
        <v>68</v>
      </c>
      <c r="DG229" s="1" t="s">
        <v>1525</v>
      </c>
      <c r="DH229" s="1" t="s">
        <v>51</v>
      </c>
      <c r="DI229" s="1" t="s">
        <v>2163</v>
      </c>
      <c r="DJ229" s="32">
        <v>45421</v>
      </c>
      <c r="DK229" s="1" t="s">
        <v>1569</v>
      </c>
      <c r="DM229" s="1" t="s">
        <v>45</v>
      </c>
      <c r="DO229" s="1" t="s">
        <v>51</v>
      </c>
      <c r="DP229" s="1" t="s">
        <v>2164</v>
      </c>
      <c r="DQ229" s="1" t="s">
        <v>45</v>
      </c>
      <c r="DT229" s="32">
        <v>45786</v>
      </c>
      <c r="DU229" s="1" t="s">
        <v>1598</v>
      </c>
      <c r="DV229" s="1">
        <v>13.7976346911957</v>
      </c>
      <c r="DW229" s="1" t="s">
        <v>45</v>
      </c>
      <c r="DY229" s="32">
        <v>45819</v>
      </c>
      <c r="DZ229" s="1" t="s">
        <v>1544</v>
      </c>
    </row>
    <row r="230" spans="1:130" ht="15.75" customHeight="1" x14ac:dyDescent="0.2">
      <c r="A230" s="8" t="s">
        <v>1171</v>
      </c>
      <c r="B230" s="32">
        <v>21804</v>
      </c>
      <c r="C230" s="32">
        <v>45508</v>
      </c>
      <c r="D230" s="1">
        <v>64.8993476936555</v>
      </c>
      <c r="E230" s="1" t="s">
        <v>1523</v>
      </c>
      <c r="F230" s="1" t="s">
        <v>1524</v>
      </c>
      <c r="G230" s="1" t="s">
        <v>1574</v>
      </c>
      <c r="H230" s="1" t="s">
        <v>51</v>
      </c>
      <c r="I230" s="1">
        <v>1.778</v>
      </c>
      <c r="J230" s="1" t="s">
        <v>51</v>
      </c>
      <c r="K230" s="1">
        <v>60.8</v>
      </c>
      <c r="L230" s="1">
        <v>19.2326915266075</v>
      </c>
      <c r="M230" s="1" t="s">
        <v>45</v>
      </c>
      <c r="N230" s="1" t="s">
        <v>45</v>
      </c>
      <c r="O230" s="1" t="s">
        <v>45</v>
      </c>
      <c r="P230" s="1" t="s">
        <v>45</v>
      </c>
      <c r="Q230" s="1" t="s">
        <v>45</v>
      </c>
      <c r="R230" s="1" t="s">
        <v>45</v>
      </c>
      <c r="S230" s="1" t="s">
        <v>45</v>
      </c>
      <c r="T230" s="1" t="s">
        <v>45</v>
      </c>
      <c r="U230" s="1" t="s">
        <v>45</v>
      </c>
      <c r="V230" s="1" t="s">
        <v>45</v>
      </c>
      <c r="W230" s="1" t="s">
        <v>45</v>
      </c>
      <c r="X230" s="1" t="s">
        <v>45</v>
      </c>
      <c r="Y230" s="1" t="s">
        <v>45</v>
      </c>
      <c r="Z230" s="1" t="s">
        <v>51</v>
      </c>
      <c r="AA230" s="1" t="s">
        <v>45</v>
      </c>
      <c r="AB230" s="1" t="s">
        <v>45</v>
      </c>
      <c r="AC230" s="1" t="s">
        <v>45</v>
      </c>
      <c r="AD230" s="1" t="s">
        <v>45</v>
      </c>
      <c r="AE230" s="1" t="s">
        <v>45</v>
      </c>
      <c r="AF230" s="32">
        <v>45511</v>
      </c>
      <c r="AG230" s="1">
        <v>64.907561414676493</v>
      </c>
      <c r="AH230" s="1" t="s">
        <v>1526</v>
      </c>
      <c r="AI230" s="1" t="s">
        <v>1527</v>
      </c>
      <c r="AJ230" s="1" t="s">
        <v>45</v>
      </c>
      <c r="AK230" s="1" t="s">
        <v>45</v>
      </c>
      <c r="AL230" s="1" t="s">
        <v>51</v>
      </c>
      <c r="AM230" s="1" t="s">
        <v>45</v>
      </c>
      <c r="AN230" s="1" t="s">
        <v>51</v>
      </c>
      <c r="AO230" s="1" t="s">
        <v>45</v>
      </c>
      <c r="AP230" s="1" t="s">
        <v>45</v>
      </c>
      <c r="AQ230" s="1" t="s">
        <v>45</v>
      </c>
      <c r="AR230" s="1" t="s">
        <v>51</v>
      </c>
      <c r="AS230" s="1" t="s">
        <v>2165</v>
      </c>
      <c r="AT230" s="1" t="s">
        <v>1528</v>
      </c>
      <c r="AW230" s="33" t="s">
        <v>1463</v>
      </c>
      <c r="AX230" s="3" t="s">
        <v>1528</v>
      </c>
      <c r="AY230" s="3"/>
      <c r="AZ230" s="43">
        <v>4</v>
      </c>
      <c r="BB230" s="1" t="s">
        <v>1530</v>
      </c>
      <c r="BC230" s="1" t="s">
        <v>1531</v>
      </c>
      <c r="BD230" s="1" t="s">
        <v>1532</v>
      </c>
      <c r="BE230" s="1" t="s">
        <v>1533</v>
      </c>
      <c r="BF230" s="1" t="s">
        <v>1534</v>
      </c>
      <c r="BG230" s="1" t="s">
        <v>1525</v>
      </c>
      <c r="BH230" s="1" t="s">
        <v>46</v>
      </c>
      <c r="BI230" s="1" t="s">
        <v>1535</v>
      </c>
      <c r="BJ230" s="1" t="s">
        <v>1525</v>
      </c>
      <c r="BK230" s="1" t="s">
        <v>1536</v>
      </c>
      <c r="BL230" s="32">
        <v>45511</v>
      </c>
      <c r="BM230" s="1" t="s">
        <v>1172</v>
      </c>
      <c r="BO230" s="1" t="s">
        <v>1537</v>
      </c>
      <c r="BP230" s="1" t="s">
        <v>1551</v>
      </c>
      <c r="BQ230" s="1" t="s">
        <v>1605</v>
      </c>
      <c r="BR230" s="1" t="s">
        <v>1552</v>
      </c>
      <c r="BS230" s="1" t="s">
        <v>50</v>
      </c>
      <c r="BU230" s="1" t="s">
        <v>45</v>
      </c>
      <c r="BW230" s="1" t="s">
        <v>1542</v>
      </c>
      <c r="CA230" s="1" t="s">
        <v>45</v>
      </c>
      <c r="CB230" s="1" t="s">
        <v>45</v>
      </c>
      <c r="CJ230" s="1" t="s">
        <v>51</v>
      </c>
      <c r="CK230" s="32">
        <v>45512</v>
      </c>
      <c r="CL230" s="1" t="s">
        <v>45</v>
      </c>
      <c r="DH230" s="1" t="s">
        <v>45</v>
      </c>
      <c r="DM230" s="1" t="s">
        <v>45</v>
      </c>
      <c r="DO230" s="1" t="s">
        <v>45</v>
      </c>
      <c r="DQ230" s="1" t="s">
        <v>45</v>
      </c>
      <c r="DT230" s="32">
        <v>45524</v>
      </c>
      <c r="DU230" s="1" t="s">
        <v>1543</v>
      </c>
      <c r="DV230" s="1">
        <v>0.42706964520367902</v>
      </c>
      <c r="DW230" s="1" t="s">
        <v>45</v>
      </c>
      <c r="DY230" s="32">
        <v>45819</v>
      </c>
      <c r="DZ230" s="1" t="s">
        <v>1544</v>
      </c>
    </row>
    <row r="231" spans="1:130" ht="15.75" customHeight="1" x14ac:dyDescent="0.2">
      <c r="A231" s="8" t="s">
        <v>1175</v>
      </c>
      <c r="B231" s="32">
        <v>25494</v>
      </c>
      <c r="C231" s="32">
        <v>45521</v>
      </c>
      <c r="D231" s="1">
        <v>54.832063628958799</v>
      </c>
      <c r="E231" s="1" t="s">
        <v>1523</v>
      </c>
      <c r="F231" s="1" t="s">
        <v>1524</v>
      </c>
      <c r="G231" s="1" t="s">
        <v>1574</v>
      </c>
      <c r="H231" s="1" t="s">
        <v>51</v>
      </c>
      <c r="I231" s="1">
        <v>1.7529999999999999</v>
      </c>
      <c r="J231" s="1" t="s">
        <v>51</v>
      </c>
      <c r="K231" s="1">
        <v>108.9</v>
      </c>
      <c r="L231" s="1">
        <v>35.437579258635402</v>
      </c>
      <c r="M231" s="1" t="s">
        <v>45</v>
      </c>
      <c r="N231" s="1" t="s">
        <v>45</v>
      </c>
      <c r="O231" s="1" t="s">
        <v>45</v>
      </c>
      <c r="P231" s="1" t="s">
        <v>45</v>
      </c>
      <c r="Q231" s="1" t="s">
        <v>45</v>
      </c>
      <c r="R231" s="1" t="s">
        <v>45</v>
      </c>
      <c r="S231" s="1" t="s">
        <v>45</v>
      </c>
      <c r="T231" s="1" t="s">
        <v>45</v>
      </c>
      <c r="U231" s="1" t="s">
        <v>45</v>
      </c>
      <c r="V231" s="1" t="s">
        <v>45</v>
      </c>
      <c r="W231" s="1" t="s">
        <v>45</v>
      </c>
      <c r="X231" s="1" t="s">
        <v>45</v>
      </c>
      <c r="Y231" s="1" t="s">
        <v>45</v>
      </c>
      <c r="Z231" s="1" t="s">
        <v>45</v>
      </c>
      <c r="AA231" s="1" t="s">
        <v>45</v>
      </c>
      <c r="AB231" s="1" t="s">
        <v>45</v>
      </c>
      <c r="AC231" s="1" t="s">
        <v>45</v>
      </c>
      <c r="AD231" s="1" t="s">
        <v>45</v>
      </c>
      <c r="AE231" s="1" t="s">
        <v>45</v>
      </c>
      <c r="AF231" s="32">
        <v>45524</v>
      </c>
      <c r="AG231" s="1">
        <v>54.8402773499798</v>
      </c>
      <c r="AH231" s="1" t="s">
        <v>1613</v>
      </c>
      <c r="AI231" s="1" t="s">
        <v>1527</v>
      </c>
      <c r="AJ231" s="1" t="s">
        <v>45</v>
      </c>
      <c r="AK231" s="1" t="s">
        <v>45</v>
      </c>
      <c r="AL231" s="1" t="s">
        <v>45</v>
      </c>
      <c r="AM231" s="1" t="s">
        <v>45</v>
      </c>
      <c r="AN231" s="1" t="s">
        <v>51</v>
      </c>
      <c r="AO231" s="1" t="s">
        <v>51</v>
      </c>
      <c r="AP231" s="1" t="s">
        <v>51</v>
      </c>
      <c r="AQ231" s="1" t="s">
        <v>45</v>
      </c>
      <c r="AR231" s="1" t="s">
        <v>45</v>
      </c>
      <c r="AT231" s="1" t="s">
        <v>1528</v>
      </c>
      <c r="AW231" s="33" t="s">
        <v>1463</v>
      </c>
      <c r="AX231" s="3" t="s">
        <v>1528</v>
      </c>
      <c r="AY231" s="3"/>
      <c r="AZ231" s="1">
        <v>4</v>
      </c>
      <c r="BA231" s="1" t="s">
        <v>1529</v>
      </c>
      <c r="BB231" s="1" t="s">
        <v>1530</v>
      </c>
      <c r="BC231" s="1" t="s">
        <v>1531</v>
      </c>
      <c r="BD231" s="1" t="s">
        <v>1532</v>
      </c>
      <c r="BE231" s="1" t="s">
        <v>1603</v>
      </c>
      <c r="BF231" s="1" t="s">
        <v>1534</v>
      </c>
      <c r="BG231" s="1" t="s">
        <v>1525</v>
      </c>
      <c r="BH231" s="1" t="s">
        <v>46</v>
      </c>
      <c r="BI231" s="1" t="s">
        <v>1535</v>
      </c>
      <c r="BJ231" s="1" t="s">
        <v>1525</v>
      </c>
      <c r="BK231" s="1" t="s">
        <v>1536</v>
      </c>
      <c r="BL231" s="32">
        <v>45524</v>
      </c>
      <c r="BM231" s="1" t="s">
        <v>1176</v>
      </c>
      <c r="BO231" s="1" t="s">
        <v>1537</v>
      </c>
      <c r="BP231" s="1" t="s">
        <v>1551</v>
      </c>
      <c r="BQ231" s="1" t="s">
        <v>1605</v>
      </c>
      <c r="BR231" s="1" t="s">
        <v>1540</v>
      </c>
      <c r="BS231" s="1" t="s">
        <v>1658</v>
      </c>
      <c r="BU231" s="1" t="s">
        <v>51</v>
      </c>
      <c r="BV231" s="1" t="s">
        <v>1541</v>
      </c>
      <c r="BW231" s="1" t="s">
        <v>1542</v>
      </c>
      <c r="CA231" s="1" t="s">
        <v>51</v>
      </c>
      <c r="CB231" s="1" t="s">
        <v>51</v>
      </c>
      <c r="CC231" s="32">
        <v>45547</v>
      </c>
      <c r="CD231" s="1">
        <v>40.049999999999997</v>
      </c>
      <c r="CE231" s="1">
        <v>15</v>
      </c>
      <c r="CI231" s="1" t="s">
        <v>2166</v>
      </c>
      <c r="CJ231" s="1" t="s">
        <v>51</v>
      </c>
      <c r="CK231" s="32">
        <v>45580</v>
      </c>
      <c r="CL231" s="1" t="s">
        <v>45</v>
      </c>
      <c r="DH231" s="1" t="s">
        <v>45</v>
      </c>
      <c r="DM231" s="1" t="s">
        <v>45</v>
      </c>
      <c r="DO231" s="1" t="s">
        <v>45</v>
      </c>
      <c r="DQ231" s="1" t="s">
        <v>45</v>
      </c>
      <c r="DT231" s="32">
        <v>45709</v>
      </c>
      <c r="DU231" s="1" t="s">
        <v>1556</v>
      </c>
      <c r="DV231" s="1">
        <v>6.0775295663600497</v>
      </c>
      <c r="DW231" s="1" t="s">
        <v>45</v>
      </c>
      <c r="DY231" s="32">
        <v>45819</v>
      </c>
      <c r="DZ231" s="1" t="s">
        <v>1544</v>
      </c>
    </row>
    <row r="232" spans="1:130" ht="15.75" customHeight="1" x14ac:dyDescent="0.2">
      <c r="A232" s="8" t="s">
        <v>1181</v>
      </c>
      <c r="B232" s="32">
        <v>20681</v>
      </c>
      <c r="C232" s="32">
        <v>45524</v>
      </c>
      <c r="D232" s="1">
        <v>68.017823774615493</v>
      </c>
      <c r="E232" s="1" t="s">
        <v>1587</v>
      </c>
      <c r="F232" s="1" t="s">
        <v>1524</v>
      </c>
      <c r="G232" s="1" t="s">
        <v>1545</v>
      </c>
      <c r="H232" s="1" t="s">
        <v>45</v>
      </c>
      <c r="J232" s="1" t="s">
        <v>51</v>
      </c>
      <c r="K232" s="1">
        <v>93</v>
      </c>
      <c r="M232" s="1" t="s">
        <v>45</v>
      </c>
      <c r="N232" s="1" t="s">
        <v>45</v>
      </c>
      <c r="O232" s="1" t="s">
        <v>45</v>
      </c>
      <c r="P232" s="1" t="s">
        <v>45</v>
      </c>
      <c r="Q232" s="1" t="s">
        <v>45</v>
      </c>
      <c r="R232" s="1" t="s">
        <v>45</v>
      </c>
      <c r="S232" s="1" t="s">
        <v>45</v>
      </c>
      <c r="T232" s="1" t="s">
        <v>45</v>
      </c>
      <c r="U232" s="1" t="s">
        <v>45</v>
      </c>
      <c r="V232" s="1" t="s">
        <v>45</v>
      </c>
      <c r="W232" s="1" t="s">
        <v>45</v>
      </c>
      <c r="X232" s="1" t="s">
        <v>45</v>
      </c>
      <c r="Y232" s="1" t="s">
        <v>45</v>
      </c>
      <c r="Z232" s="1" t="s">
        <v>45</v>
      </c>
      <c r="AA232" s="1" t="s">
        <v>45</v>
      </c>
      <c r="AB232" s="1" t="s">
        <v>45</v>
      </c>
      <c r="AC232" s="1" t="s">
        <v>45</v>
      </c>
      <c r="AD232" s="1" t="s">
        <v>45</v>
      </c>
      <c r="AE232" s="1" t="s">
        <v>45</v>
      </c>
      <c r="AF232" s="32">
        <v>45525</v>
      </c>
      <c r="AG232" s="1">
        <v>68.020561681622397</v>
      </c>
      <c r="AH232" s="1" t="s">
        <v>1526</v>
      </c>
      <c r="AI232" s="1" t="s">
        <v>1527</v>
      </c>
      <c r="AJ232" s="1" t="s">
        <v>45</v>
      </c>
      <c r="AK232" s="1" t="s">
        <v>45</v>
      </c>
      <c r="AL232" s="1" t="s">
        <v>45</v>
      </c>
      <c r="AM232" s="1" t="s">
        <v>51</v>
      </c>
      <c r="AN232" s="1" t="s">
        <v>45</v>
      </c>
      <c r="AO232" s="1" t="s">
        <v>45</v>
      </c>
      <c r="AP232" s="1" t="s">
        <v>45</v>
      </c>
      <c r="AQ232" s="1" t="s">
        <v>51</v>
      </c>
      <c r="AR232" s="1" t="s">
        <v>45</v>
      </c>
      <c r="AT232" s="1" t="s">
        <v>1528</v>
      </c>
      <c r="AW232" s="33" t="s">
        <v>1463</v>
      </c>
      <c r="AX232" s="3" t="s">
        <v>1528</v>
      </c>
      <c r="AY232" s="3"/>
      <c r="AZ232" s="1">
        <v>4</v>
      </c>
      <c r="BA232" s="1" t="s">
        <v>1529</v>
      </c>
      <c r="BB232" s="1" t="s">
        <v>1530</v>
      </c>
      <c r="BC232" s="1" t="s">
        <v>1531</v>
      </c>
      <c r="BD232" s="1" t="s">
        <v>1532</v>
      </c>
      <c r="BE232" s="1" t="s">
        <v>1533</v>
      </c>
      <c r="BF232" s="1" t="s">
        <v>1534</v>
      </c>
      <c r="BG232" s="1" t="s">
        <v>1525</v>
      </c>
      <c r="BH232" s="1" t="s">
        <v>46</v>
      </c>
      <c r="BI232" s="1" t="s">
        <v>1535</v>
      </c>
      <c r="BJ232" s="1" t="s">
        <v>1525</v>
      </c>
      <c r="BK232" s="1" t="s">
        <v>1536</v>
      </c>
      <c r="BL232" s="32">
        <v>45525</v>
      </c>
      <c r="BM232" s="1" t="s">
        <v>1182</v>
      </c>
      <c r="BO232" s="1" t="s">
        <v>1537</v>
      </c>
      <c r="BP232" s="1" t="s">
        <v>1538</v>
      </c>
      <c r="BQ232" s="1" t="s">
        <v>1539</v>
      </c>
      <c r="BR232" s="1" t="s">
        <v>1540</v>
      </c>
      <c r="BS232" s="1" t="s">
        <v>106</v>
      </c>
      <c r="BU232" s="1" t="s">
        <v>51</v>
      </c>
      <c r="BV232" s="1" t="s">
        <v>1541</v>
      </c>
      <c r="BW232" s="1" t="s">
        <v>1561</v>
      </c>
      <c r="CA232" s="1" t="s">
        <v>51</v>
      </c>
      <c r="CB232" s="1" t="s">
        <v>51</v>
      </c>
      <c r="CC232" s="32">
        <v>45550</v>
      </c>
      <c r="CD232" s="1">
        <v>60</v>
      </c>
      <c r="CE232" s="1">
        <v>30</v>
      </c>
      <c r="CF232" s="1" t="s">
        <v>2167</v>
      </c>
      <c r="CI232" s="1" t="s">
        <v>2168</v>
      </c>
      <c r="CJ232" s="1" t="s">
        <v>45</v>
      </c>
      <c r="DH232" s="1" t="s">
        <v>45</v>
      </c>
      <c r="DM232" s="1" t="s">
        <v>45</v>
      </c>
      <c r="DO232" s="1" t="s">
        <v>45</v>
      </c>
      <c r="DQ232" s="1" t="s">
        <v>45</v>
      </c>
      <c r="DT232" s="32">
        <v>45575</v>
      </c>
      <c r="DU232" s="1" t="s">
        <v>1556</v>
      </c>
      <c r="DV232" s="1">
        <v>1.64257555847568</v>
      </c>
      <c r="DW232" s="1" t="s">
        <v>45</v>
      </c>
      <c r="DY232" s="32">
        <v>45819</v>
      </c>
      <c r="DZ232" s="1" t="s">
        <v>1544</v>
      </c>
    </row>
    <row r="233" spans="1:130" ht="15.75" customHeight="1" x14ac:dyDescent="0.2">
      <c r="A233" s="8" t="s">
        <v>1186</v>
      </c>
      <c r="B233" s="32">
        <v>36647</v>
      </c>
      <c r="C233" s="32">
        <v>45488</v>
      </c>
      <c r="D233" s="1">
        <v>24.205835848785298</v>
      </c>
      <c r="E233" s="1" t="s">
        <v>1523</v>
      </c>
      <c r="F233" s="1" t="s">
        <v>1524</v>
      </c>
      <c r="G233" s="1" t="s">
        <v>1545</v>
      </c>
      <c r="H233" s="1" t="s">
        <v>51</v>
      </c>
      <c r="I233" s="1">
        <v>1.89</v>
      </c>
      <c r="J233" s="1" t="s">
        <v>51</v>
      </c>
      <c r="K233" s="1">
        <v>94.4</v>
      </c>
      <c r="L233" s="1">
        <v>26.427031718037</v>
      </c>
      <c r="M233" s="1" t="s">
        <v>45</v>
      </c>
      <c r="N233" s="1" t="s">
        <v>45</v>
      </c>
      <c r="O233" s="1" t="s">
        <v>45</v>
      </c>
      <c r="P233" s="1" t="s">
        <v>45</v>
      </c>
      <c r="Q233" s="1" t="s">
        <v>45</v>
      </c>
      <c r="R233" s="1" t="s">
        <v>45</v>
      </c>
      <c r="S233" s="1" t="s">
        <v>45</v>
      </c>
      <c r="T233" s="1" t="s">
        <v>45</v>
      </c>
      <c r="U233" s="1" t="s">
        <v>45</v>
      </c>
      <c r="V233" s="1" t="s">
        <v>45</v>
      </c>
      <c r="W233" s="1" t="s">
        <v>45</v>
      </c>
      <c r="X233" s="1" t="s">
        <v>45</v>
      </c>
      <c r="Y233" s="1" t="s">
        <v>45</v>
      </c>
      <c r="Z233" s="1" t="s">
        <v>45</v>
      </c>
      <c r="AA233" s="1" t="s">
        <v>45</v>
      </c>
      <c r="AB233" s="1" t="s">
        <v>45</v>
      </c>
      <c r="AC233" s="1" t="s">
        <v>45</v>
      </c>
      <c r="AD233" s="1" t="s">
        <v>45</v>
      </c>
      <c r="AE233" s="1" t="s">
        <v>45</v>
      </c>
      <c r="AF233" s="32">
        <v>45532</v>
      </c>
      <c r="AG233" s="1">
        <v>24.326303757092798</v>
      </c>
      <c r="AH233" s="1" t="s">
        <v>1558</v>
      </c>
      <c r="AI233" s="1" t="s">
        <v>1527</v>
      </c>
      <c r="AJ233" s="1" t="s">
        <v>45</v>
      </c>
      <c r="AK233" s="1" t="s">
        <v>45</v>
      </c>
      <c r="AL233" s="1" t="s">
        <v>45</v>
      </c>
      <c r="AM233" s="1" t="s">
        <v>51</v>
      </c>
      <c r="AN233" s="1" t="s">
        <v>45</v>
      </c>
      <c r="AO233" s="1" t="s">
        <v>45</v>
      </c>
      <c r="AP233" s="1" t="s">
        <v>45</v>
      </c>
      <c r="AQ233" s="1" t="s">
        <v>45</v>
      </c>
      <c r="AR233" s="1" t="s">
        <v>45</v>
      </c>
      <c r="AT233" s="1" t="s">
        <v>1560</v>
      </c>
      <c r="AW233" s="33" t="s">
        <v>1464</v>
      </c>
      <c r="AX233" s="3"/>
      <c r="AY233" s="3" t="s">
        <v>1560</v>
      </c>
      <c r="AZ233" s="1">
        <v>2</v>
      </c>
      <c r="BA233" s="1" t="s">
        <v>1821</v>
      </c>
      <c r="BB233" s="1" t="s">
        <v>1567</v>
      </c>
      <c r="BC233" s="1" t="s">
        <v>1531</v>
      </c>
      <c r="BD233" s="1" t="s">
        <v>1822</v>
      </c>
      <c r="BE233" s="1" t="s">
        <v>1525</v>
      </c>
      <c r="BG233" s="1" t="s">
        <v>1525</v>
      </c>
      <c r="BH233" s="1" t="s">
        <v>46</v>
      </c>
      <c r="BI233" s="1" t="s">
        <v>1599</v>
      </c>
      <c r="BJ233" s="1" t="s">
        <v>45</v>
      </c>
      <c r="BK233" s="1" t="s">
        <v>1536</v>
      </c>
      <c r="BL233" s="32">
        <v>45532</v>
      </c>
      <c r="BM233" s="1" t="s">
        <v>1187</v>
      </c>
      <c r="BO233" s="1" t="s">
        <v>1537</v>
      </c>
      <c r="BP233" s="1" t="s">
        <v>1551</v>
      </c>
      <c r="BQ233" s="1" t="s">
        <v>1605</v>
      </c>
      <c r="BR233" s="1" t="s">
        <v>1540</v>
      </c>
      <c r="BS233" s="1" t="s">
        <v>50</v>
      </c>
      <c r="BU233" s="1" t="s">
        <v>45</v>
      </c>
      <c r="BW233" s="1" t="s">
        <v>1542</v>
      </c>
      <c r="CA233" s="1" t="s">
        <v>45</v>
      </c>
      <c r="CB233" s="1" t="s">
        <v>45</v>
      </c>
      <c r="CG233" s="1" t="s">
        <v>2169</v>
      </c>
      <c r="CJ233" s="1" t="s">
        <v>45</v>
      </c>
      <c r="DH233" s="1" t="s">
        <v>45</v>
      </c>
      <c r="DM233" s="1" t="s">
        <v>45</v>
      </c>
      <c r="DO233" s="1" t="s">
        <v>45</v>
      </c>
      <c r="DQ233" s="1" t="s">
        <v>45</v>
      </c>
      <c r="DT233" s="32">
        <v>45804</v>
      </c>
      <c r="DU233" s="1" t="s">
        <v>1598</v>
      </c>
      <c r="DV233" s="1">
        <v>8.9356110381077496</v>
      </c>
      <c r="DW233" s="1" t="s">
        <v>45</v>
      </c>
      <c r="DY233" s="32">
        <v>45819</v>
      </c>
      <c r="DZ233" s="1" t="s">
        <v>1544</v>
      </c>
    </row>
    <row r="234" spans="1:130" ht="15.75" customHeight="1" x14ac:dyDescent="0.2">
      <c r="A234" s="8" t="s">
        <v>1191</v>
      </c>
      <c r="B234" s="32">
        <v>30045</v>
      </c>
      <c r="C234" s="32">
        <v>45526</v>
      </c>
      <c r="D234" s="1">
        <v>42.385538375189</v>
      </c>
      <c r="E234" s="1" t="s">
        <v>1523</v>
      </c>
      <c r="F234" s="1" t="s">
        <v>1524</v>
      </c>
      <c r="G234" s="1" t="s">
        <v>1545</v>
      </c>
      <c r="H234" s="1" t="s">
        <v>51</v>
      </c>
      <c r="I234" s="1">
        <v>1.7350000000000001</v>
      </c>
      <c r="J234" s="1" t="s">
        <v>51</v>
      </c>
      <c r="K234" s="1">
        <v>102.1</v>
      </c>
      <c r="L234" s="1">
        <v>33.917730402212399</v>
      </c>
      <c r="M234" s="1" t="s">
        <v>45</v>
      </c>
      <c r="N234" s="1" t="s">
        <v>45</v>
      </c>
      <c r="O234" s="1" t="s">
        <v>45</v>
      </c>
      <c r="P234" s="1" t="s">
        <v>45</v>
      </c>
      <c r="Q234" s="1" t="s">
        <v>45</v>
      </c>
      <c r="R234" s="1" t="s">
        <v>45</v>
      </c>
      <c r="S234" s="1" t="s">
        <v>45</v>
      </c>
      <c r="T234" s="1" t="s">
        <v>45</v>
      </c>
      <c r="U234" s="1" t="s">
        <v>45</v>
      </c>
      <c r="V234" s="1" t="s">
        <v>45</v>
      </c>
      <c r="W234" s="1" t="s">
        <v>45</v>
      </c>
      <c r="X234" s="1" t="s">
        <v>45</v>
      </c>
      <c r="Y234" s="1" t="s">
        <v>45</v>
      </c>
      <c r="Z234" s="1" t="s">
        <v>45</v>
      </c>
      <c r="AA234" s="1" t="s">
        <v>45</v>
      </c>
      <c r="AB234" s="1" t="s">
        <v>45</v>
      </c>
      <c r="AC234" s="1" t="s">
        <v>45</v>
      </c>
      <c r="AD234" s="1" t="s">
        <v>45</v>
      </c>
      <c r="AE234" s="1" t="s">
        <v>45</v>
      </c>
      <c r="AF234" s="32">
        <v>45531</v>
      </c>
      <c r="AG234" s="1">
        <v>42.399227910223999</v>
      </c>
      <c r="AH234" s="1" t="s">
        <v>1526</v>
      </c>
      <c r="AI234" s="1" t="s">
        <v>1527</v>
      </c>
      <c r="AJ234" s="1" t="s">
        <v>45</v>
      </c>
      <c r="AK234" s="1" t="s">
        <v>45</v>
      </c>
      <c r="AL234" s="1" t="s">
        <v>45</v>
      </c>
      <c r="AM234" s="1" t="s">
        <v>51</v>
      </c>
      <c r="AN234" s="1" t="s">
        <v>51</v>
      </c>
      <c r="AO234" s="1" t="s">
        <v>45</v>
      </c>
      <c r="AP234" s="1" t="s">
        <v>51</v>
      </c>
      <c r="AQ234" s="1" t="s">
        <v>45</v>
      </c>
      <c r="AR234" s="1" t="s">
        <v>45</v>
      </c>
      <c r="AT234" s="1" t="s">
        <v>1560</v>
      </c>
      <c r="AW234" s="33" t="s">
        <v>1463</v>
      </c>
      <c r="AX234" s="3" t="s">
        <v>1560</v>
      </c>
      <c r="AY234" s="3"/>
      <c r="AZ234" s="1">
        <v>4</v>
      </c>
      <c r="BA234" s="1" t="s">
        <v>1529</v>
      </c>
      <c r="BB234" s="1" t="s">
        <v>1567</v>
      </c>
      <c r="BC234" s="1" t="s">
        <v>1531</v>
      </c>
      <c r="BD234" s="1" t="s">
        <v>1822</v>
      </c>
      <c r="BE234" s="1" t="s">
        <v>1603</v>
      </c>
      <c r="BF234" s="1" t="s">
        <v>1534</v>
      </c>
      <c r="BG234" s="1" t="s">
        <v>45</v>
      </c>
      <c r="BH234" s="1" t="s">
        <v>46</v>
      </c>
      <c r="BI234" s="1" t="s">
        <v>1599</v>
      </c>
      <c r="BJ234" s="1" t="s">
        <v>1525</v>
      </c>
      <c r="BK234" s="1" t="s">
        <v>1536</v>
      </c>
      <c r="BL234" s="32">
        <v>45531</v>
      </c>
      <c r="BM234" s="1" t="s">
        <v>1192</v>
      </c>
      <c r="BO234" s="1" t="s">
        <v>1537</v>
      </c>
      <c r="BP234" s="1" t="s">
        <v>1538</v>
      </c>
      <c r="BQ234" s="1" t="s">
        <v>1647</v>
      </c>
      <c r="BR234" s="1" t="s">
        <v>1540</v>
      </c>
      <c r="BS234" s="1" t="s">
        <v>106</v>
      </c>
      <c r="BW234" s="1" t="s">
        <v>1563</v>
      </c>
      <c r="BX234" s="32">
        <v>45637</v>
      </c>
      <c r="BY234" s="1">
        <v>12</v>
      </c>
      <c r="BZ234" s="1" t="s">
        <v>2170</v>
      </c>
      <c r="CA234" s="1" t="s">
        <v>51</v>
      </c>
      <c r="CB234" s="1" t="s">
        <v>51</v>
      </c>
      <c r="CC234" s="32">
        <v>45554</v>
      </c>
      <c r="CD234" s="1">
        <v>59.4</v>
      </c>
      <c r="CE234" s="1">
        <v>33</v>
      </c>
      <c r="CJ234" s="1" t="s">
        <v>45</v>
      </c>
      <c r="DH234" s="1" t="s">
        <v>45</v>
      </c>
      <c r="DM234" s="1" t="s">
        <v>45</v>
      </c>
      <c r="DO234" s="1" t="s">
        <v>45</v>
      </c>
      <c r="DQ234" s="1" t="s">
        <v>45</v>
      </c>
      <c r="DT234" s="32">
        <v>45805</v>
      </c>
      <c r="DU234" s="1" t="s">
        <v>1598</v>
      </c>
      <c r="DV234" s="1">
        <v>9.0013140604467807</v>
      </c>
      <c r="DW234" s="1" t="s">
        <v>45</v>
      </c>
      <c r="DY234" s="32">
        <v>45819</v>
      </c>
      <c r="DZ234" s="1" t="s">
        <v>1544</v>
      </c>
    </row>
    <row r="235" spans="1:130" ht="15.75" customHeight="1" x14ac:dyDescent="0.2">
      <c r="A235" s="8" t="s">
        <v>1197</v>
      </c>
      <c r="B235" s="32">
        <v>27801</v>
      </c>
      <c r="C235" s="32">
        <v>45450</v>
      </c>
      <c r="D235" s="1">
        <v>48.321320766340101</v>
      </c>
      <c r="E235" s="1" t="s">
        <v>1587</v>
      </c>
      <c r="F235" s="1" t="s">
        <v>1524</v>
      </c>
      <c r="G235" s="1" t="s">
        <v>1545</v>
      </c>
      <c r="H235" s="1" t="s">
        <v>51</v>
      </c>
      <c r="I235" s="1">
        <v>1.61</v>
      </c>
      <c r="J235" s="1" t="s">
        <v>51</v>
      </c>
      <c r="K235" s="1">
        <v>83.1</v>
      </c>
      <c r="L235" s="1">
        <v>32.058948343042303</v>
      </c>
      <c r="M235" s="1" t="s">
        <v>45</v>
      </c>
      <c r="N235" s="1" t="s">
        <v>45</v>
      </c>
      <c r="O235" s="1" t="s">
        <v>45</v>
      </c>
      <c r="P235" s="1" t="s">
        <v>45</v>
      </c>
      <c r="Q235" s="1" t="s">
        <v>45</v>
      </c>
      <c r="R235" s="1" t="s">
        <v>45</v>
      </c>
      <c r="S235" s="1" t="s">
        <v>45</v>
      </c>
      <c r="T235" s="1" t="s">
        <v>45</v>
      </c>
      <c r="U235" s="1" t="s">
        <v>45</v>
      </c>
      <c r="V235" s="1" t="s">
        <v>45</v>
      </c>
      <c r="W235" s="1" t="s">
        <v>45</v>
      </c>
      <c r="X235" s="1" t="s">
        <v>45</v>
      </c>
      <c r="Y235" s="1" t="s">
        <v>45</v>
      </c>
      <c r="Z235" s="1" t="s">
        <v>45</v>
      </c>
      <c r="AA235" s="1" t="s">
        <v>45</v>
      </c>
      <c r="AB235" s="1" t="s">
        <v>45</v>
      </c>
      <c r="AC235" s="1" t="s">
        <v>45</v>
      </c>
      <c r="AD235" s="1" t="s">
        <v>45</v>
      </c>
      <c r="AE235" s="1" t="s">
        <v>45</v>
      </c>
      <c r="AF235" s="32">
        <v>45533</v>
      </c>
      <c r="AG235" s="1">
        <v>48.548567047920201</v>
      </c>
      <c r="AH235" s="1" t="s">
        <v>1526</v>
      </c>
      <c r="AI235" s="1" t="s">
        <v>1527</v>
      </c>
      <c r="AJ235" s="1" t="s">
        <v>45</v>
      </c>
      <c r="AK235" s="1" t="s">
        <v>51</v>
      </c>
      <c r="AL235" s="1" t="s">
        <v>45</v>
      </c>
      <c r="AM235" s="1" t="s">
        <v>45</v>
      </c>
      <c r="AN235" s="1" t="s">
        <v>45</v>
      </c>
      <c r="AO235" s="1" t="s">
        <v>45</v>
      </c>
      <c r="AP235" s="1" t="s">
        <v>45</v>
      </c>
      <c r="AQ235" s="1" t="s">
        <v>51</v>
      </c>
      <c r="AR235" s="1" t="s">
        <v>45</v>
      </c>
      <c r="AT235" s="1" t="s">
        <v>1528</v>
      </c>
      <c r="AW235" s="33" t="s">
        <v>1463</v>
      </c>
      <c r="AX235" s="3" t="s">
        <v>1528</v>
      </c>
      <c r="AY235" s="3"/>
      <c r="AZ235" s="1">
        <v>4</v>
      </c>
      <c r="BA235" s="1" t="s">
        <v>1529</v>
      </c>
      <c r="BB235" s="1" t="s">
        <v>1530</v>
      </c>
      <c r="BC235" s="1" t="s">
        <v>1531</v>
      </c>
      <c r="BD235" s="1" t="s">
        <v>1532</v>
      </c>
      <c r="BE235" s="1" t="s">
        <v>1525</v>
      </c>
      <c r="BF235" s="1" t="s">
        <v>1534</v>
      </c>
      <c r="BG235" s="1" t="s">
        <v>1525</v>
      </c>
      <c r="BH235" s="1" t="s">
        <v>46</v>
      </c>
      <c r="BI235" s="1" t="s">
        <v>1535</v>
      </c>
      <c r="BJ235" s="1" t="s">
        <v>1525</v>
      </c>
      <c r="BK235" s="1" t="s">
        <v>1536</v>
      </c>
      <c r="BL235" s="32">
        <v>45533</v>
      </c>
      <c r="BM235" s="1" t="s">
        <v>1198</v>
      </c>
      <c r="BO235" s="1" t="s">
        <v>1853</v>
      </c>
      <c r="BP235" s="1" t="s">
        <v>1551</v>
      </c>
      <c r="BQ235" s="1" t="s">
        <v>1605</v>
      </c>
      <c r="BR235" s="1" t="s">
        <v>1540</v>
      </c>
      <c r="BS235" s="1" t="s">
        <v>50</v>
      </c>
      <c r="BU235" s="1" t="s">
        <v>1525</v>
      </c>
      <c r="BW235" s="1" t="s">
        <v>1561</v>
      </c>
      <c r="CA235" s="1" t="s">
        <v>1525</v>
      </c>
      <c r="CI235" s="1" t="s">
        <v>2171</v>
      </c>
      <c r="CJ235" s="1" t="s">
        <v>45</v>
      </c>
      <c r="DH235" s="1" t="s">
        <v>45</v>
      </c>
      <c r="DM235" s="1" t="s">
        <v>45</v>
      </c>
      <c r="DO235" s="1" t="s">
        <v>45</v>
      </c>
      <c r="DQ235" s="1" t="s">
        <v>45</v>
      </c>
      <c r="DT235" s="32">
        <v>45567</v>
      </c>
      <c r="DU235" s="1" t="s">
        <v>1556</v>
      </c>
      <c r="DV235" s="1">
        <v>1.11695137976346</v>
      </c>
      <c r="DW235" s="1" t="s">
        <v>45</v>
      </c>
      <c r="DY235" s="32">
        <v>45819</v>
      </c>
      <c r="DZ235" s="1" t="s">
        <v>1544</v>
      </c>
    </row>
    <row r="236" spans="1:130" ht="15.75" customHeight="1" x14ac:dyDescent="0.2">
      <c r="A236" s="8" t="s">
        <v>1201</v>
      </c>
      <c r="B236" s="32">
        <v>27346</v>
      </c>
      <c r="C236" s="32">
        <v>45533</v>
      </c>
      <c r="D236" s="1">
        <v>49.794314736099899</v>
      </c>
      <c r="E236" s="1" t="s">
        <v>1523</v>
      </c>
      <c r="F236" s="1" t="s">
        <v>1524</v>
      </c>
      <c r="G236" s="1" t="s">
        <v>1545</v>
      </c>
      <c r="H236" s="1" t="s">
        <v>51</v>
      </c>
      <c r="I236" s="1">
        <v>1.74</v>
      </c>
      <c r="J236" s="1" t="s">
        <v>51</v>
      </c>
      <c r="K236" s="1">
        <v>79.5</v>
      </c>
      <c r="L236" s="1">
        <v>26.258422512881399</v>
      </c>
      <c r="M236" s="1" t="s">
        <v>45</v>
      </c>
      <c r="N236" s="1" t="s">
        <v>45</v>
      </c>
      <c r="O236" s="1" t="s">
        <v>45</v>
      </c>
      <c r="P236" s="1" t="s">
        <v>45</v>
      </c>
      <c r="Q236" s="1" t="s">
        <v>45</v>
      </c>
      <c r="R236" s="1" t="s">
        <v>45</v>
      </c>
      <c r="S236" s="1" t="s">
        <v>45</v>
      </c>
      <c r="T236" s="1" t="s">
        <v>45</v>
      </c>
      <c r="U236" s="1" t="s">
        <v>45</v>
      </c>
      <c r="V236" s="1" t="s">
        <v>45</v>
      </c>
      <c r="W236" s="1" t="s">
        <v>45</v>
      </c>
      <c r="X236" s="1" t="s">
        <v>45</v>
      </c>
      <c r="Y236" s="1" t="s">
        <v>45</v>
      </c>
      <c r="Z236" s="1" t="s">
        <v>45</v>
      </c>
      <c r="AA236" s="1" t="s">
        <v>45</v>
      </c>
      <c r="AB236" s="1" t="s">
        <v>45</v>
      </c>
      <c r="AC236" s="1" t="s">
        <v>45</v>
      </c>
      <c r="AD236" s="1" t="s">
        <v>45</v>
      </c>
      <c r="AE236" s="1" t="s">
        <v>45</v>
      </c>
      <c r="AF236" s="32">
        <v>45541</v>
      </c>
      <c r="AG236" s="1">
        <v>49.816217992155899</v>
      </c>
      <c r="AH236" s="1" t="s">
        <v>1526</v>
      </c>
      <c r="AI236" s="1" t="s">
        <v>1527</v>
      </c>
      <c r="AJ236" s="1" t="s">
        <v>45</v>
      </c>
      <c r="AK236" s="1" t="s">
        <v>45</v>
      </c>
      <c r="AL236" s="1" t="s">
        <v>45</v>
      </c>
      <c r="AM236" s="1" t="s">
        <v>51</v>
      </c>
      <c r="AN236" s="1" t="s">
        <v>45</v>
      </c>
      <c r="AO236" s="1" t="s">
        <v>45</v>
      </c>
      <c r="AP236" s="1" t="s">
        <v>51</v>
      </c>
      <c r="AQ236" s="1" t="s">
        <v>45</v>
      </c>
      <c r="AR236" s="1" t="s">
        <v>51</v>
      </c>
      <c r="AS236" s="1" t="s">
        <v>2172</v>
      </c>
      <c r="AT236" s="1" t="s">
        <v>1546</v>
      </c>
      <c r="AV236" s="1" t="s">
        <v>2155</v>
      </c>
      <c r="AW236" s="33" t="s">
        <v>1463</v>
      </c>
      <c r="AX236" s="33" t="s">
        <v>1547</v>
      </c>
      <c r="AY236" s="3"/>
      <c r="AZ236" s="1">
        <v>4</v>
      </c>
      <c r="BA236" s="1" t="s">
        <v>1529</v>
      </c>
      <c r="BB236" s="1" t="s">
        <v>1530</v>
      </c>
      <c r="BC236" s="1" t="s">
        <v>1531</v>
      </c>
      <c r="BD236" s="1" t="s">
        <v>1532</v>
      </c>
      <c r="BE236" s="1" t="s">
        <v>1533</v>
      </c>
      <c r="BF236" s="1" t="s">
        <v>1534</v>
      </c>
      <c r="BG236" s="1" t="s">
        <v>1525</v>
      </c>
      <c r="BH236" s="1" t="s">
        <v>46</v>
      </c>
      <c r="BI236" s="1" t="s">
        <v>1535</v>
      </c>
      <c r="BJ236" s="1" t="s">
        <v>1525</v>
      </c>
      <c r="BK236" s="1" t="s">
        <v>1536</v>
      </c>
      <c r="BL236" s="32">
        <v>45541</v>
      </c>
      <c r="BM236" s="1" t="s">
        <v>1202</v>
      </c>
      <c r="BO236" s="1" t="s">
        <v>1537</v>
      </c>
      <c r="BP236" s="1" t="s">
        <v>1538</v>
      </c>
      <c r="BQ236" s="1" t="s">
        <v>1539</v>
      </c>
      <c r="BR236" s="1" t="s">
        <v>1540</v>
      </c>
      <c r="BS236" s="1" t="s">
        <v>43</v>
      </c>
      <c r="BW236" s="1" t="s">
        <v>1563</v>
      </c>
      <c r="BX236" s="32">
        <v>45637</v>
      </c>
      <c r="BY236" s="1">
        <v>4</v>
      </c>
      <c r="BZ236" s="1" t="s">
        <v>2173</v>
      </c>
      <c r="CA236" s="1" t="s">
        <v>51</v>
      </c>
      <c r="CB236" s="1" t="s">
        <v>51</v>
      </c>
      <c r="CC236" s="32">
        <v>45561</v>
      </c>
      <c r="CD236" s="1">
        <v>59.4</v>
      </c>
      <c r="CE236" s="1">
        <v>33</v>
      </c>
      <c r="CJ236" s="1" t="s">
        <v>51</v>
      </c>
      <c r="CK236" s="32">
        <v>45800</v>
      </c>
      <c r="CL236" s="1" t="s">
        <v>45</v>
      </c>
      <c r="DH236" s="1" t="s">
        <v>51</v>
      </c>
      <c r="DI236" s="1" t="s">
        <v>2174</v>
      </c>
      <c r="DJ236" s="32">
        <v>45802</v>
      </c>
      <c r="DM236" s="1" t="s">
        <v>45</v>
      </c>
      <c r="DO236" s="1" t="s">
        <v>45</v>
      </c>
      <c r="DQ236" s="1" t="s">
        <v>45</v>
      </c>
      <c r="DT236" s="32">
        <v>45810</v>
      </c>
      <c r="DU236" s="1" t="s">
        <v>1598</v>
      </c>
      <c r="DV236" s="1">
        <v>8.8370565045992109</v>
      </c>
      <c r="DW236" s="1" t="s">
        <v>45</v>
      </c>
      <c r="DY236" s="32">
        <v>45819</v>
      </c>
      <c r="DZ236" s="1" t="s">
        <v>1544</v>
      </c>
    </row>
    <row r="237" spans="1:130" ht="15.75" customHeight="1" x14ac:dyDescent="0.2">
      <c r="A237" s="8" t="s">
        <v>1205</v>
      </c>
      <c r="B237" s="32">
        <v>29752</v>
      </c>
      <c r="C237" s="32">
        <v>42776</v>
      </c>
      <c r="D237" s="1">
        <v>35.658500859018297</v>
      </c>
      <c r="E237" s="1" t="s">
        <v>1587</v>
      </c>
      <c r="F237" s="1" t="s">
        <v>1524</v>
      </c>
      <c r="G237" s="1" t="s">
        <v>1574</v>
      </c>
      <c r="H237" s="1" t="s">
        <v>51</v>
      </c>
      <c r="I237" s="1">
        <v>1.57</v>
      </c>
      <c r="J237" s="1" t="s">
        <v>51</v>
      </c>
      <c r="K237" s="1">
        <v>71</v>
      </c>
      <c r="L237" s="1">
        <v>28.804413972169201</v>
      </c>
      <c r="M237" s="1" t="s">
        <v>45</v>
      </c>
      <c r="N237" s="1" t="s">
        <v>45</v>
      </c>
      <c r="O237" s="1" t="s">
        <v>45</v>
      </c>
      <c r="P237" s="1" t="s">
        <v>45</v>
      </c>
      <c r="Q237" s="1" t="s">
        <v>45</v>
      </c>
      <c r="R237" s="1" t="s">
        <v>45</v>
      </c>
      <c r="S237" s="1" t="s">
        <v>45</v>
      </c>
      <c r="T237" s="1" t="s">
        <v>45</v>
      </c>
      <c r="U237" s="1" t="s">
        <v>51</v>
      </c>
      <c r="V237" s="1" t="s">
        <v>45</v>
      </c>
      <c r="W237" s="1" t="s">
        <v>45</v>
      </c>
      <c r="X237" s="1" t="s">
        <v>45</v>
      </c>
      <c r="Y237" s="1" t="s">
        <v>45</v>
      </c>
      <c r="Z237" s="1" t="s">
        <v>45</v>
      </c>
      <c r="AA237" s="1" t="s">
        <v>45</v>
      </c>
      <c r="AB237" s="1" t="s">
        <v>45</v>
      </c>
      <c r="AC237" s="1" t="s">
        <v>45</v>
      </c>
      <c r="AD237" s="1" t="s">
        <v>45</v>
      </c>
      <c r="AE237" s="1" t="s">
        <v>45</v>
      </c>
      <c r="AF237" s="32">
        <v>38883</v>
      </c>
      <c r="AG237" s="1">
        <v>24.999828880812</v>
      </c>
      <c r="AH237" s="1" t="s">
        <v>1558</v>
      </c>
      <c r="AI237" s="1" t="s">
        <v>1527</v>
      </c>
      <c r="AJ237" s="1" t="s">
        <v>45</v>
      </c>
      <c r="AK237" s="1" t="s">
        <v>45</v>
      </c>
      <c r="AL237" s="1" t="s">
        <v>45</v>
      </c>
      <c r="AM237" s="1" t="s">
        <v>45</v>
      </c>
      <c r="AN237" s="1" t="s">
        <v>45</v>
      </c>
      <c r="AO237" s="1" t="s">
        <v>45</v>
      </c>
      <c r="AP237" s="1" t="s">
        <v>45</v>
      </c>
      <c r="AQ237" s="1" t="s">
        <v>45</v>
      </c>
      <c r="AR237" s="1" t="s">
        <v>45</v>
      </c>
      <c r="AT237" s="1" t="s">
        <v>1560</v>
      </c>
      <c r="AW237" s="33" t="s">
        <v>1464</v>
      </c>
      <c r="AX237" s="3"/>
      <c r="AY237" s="3" t="s">
        <v>1560</v>
      </c>
      <c r="AZ237" s="1">
        <v>2</v>
      </c>
      <c r="BA237" s="1" t="s">
        <v>1821</v>
      </c>
      <c r="BB237" s="1" t="s">
        <v>1561</v>
      </c>
      <c r="BC237" s="1" t="s">
        <v>1561</v>
      </c>
      <c r="BE237" s="1" t="s">
        <v>1525</v>
      </c>
      <c r="BG237" s="1" t="s">
        <v>1525</v>
      </c>
      <c r="BH237" s="1" t="s">
        <v>1525</v>
      </c>
      <c r="BI237" s="1" t="s">
        <v>1525</v>
      </c>
      <c r="BJ237" s="1" t="s">
        <v>1525</v>
      </c>
      <c r="BK237" s="1" t="s">
        <v>1536</v>
      </c>
      <c r="BL237" s="32">
        <v>38883</v>
      </c>
      <c r="BO237" s="1" t="s">
        <v>1537</v>
      </c>
      <c r="BP237" s="1" t="s">
        <v>1538</v>
      </c>
      <c r="BQ237" s="1" t="s">
        <v>1539</v>
      </c>
      <c r="BR237" s="1" t="s">
        <v>1552</v>
      </c>
      <c r="BS237" s="1" t="s">
        <v>106</v>
      </c>
      <c r="BU237" s="1" t="s">
        <v>1525</v>
      </c>
      <c r="BW237" s="1" t="s">
        <v>1563</v>
      </c>
      <c r="BZ237" s="1" t="s">
        <v>2175</v>
      </c>
      <c r="CA237" s="1" t="s">
        <v>51</v>
      </c>
      <c r="CB237" s="1" t="s">
        <v>51</v>
      </c>
      <c r="CI237" s="1" t="s">
        <v>2176</v>
      </c>
      <c r="CJ237" s="1" t="s">
        <v>51</v>
      </c>
      <c r="CK237" s="32">
        <v>45000</v>
      </c>
      <c r="CL237" s="1" t="s">
        <v>51</v>
      </c>
      <c r="CM237" s="32">
        <v>45545</v>
      </c>
      <c r="CN237" s="1">
        <v>18.2399364805574</v>
      </c>
      <c r="CO237" s="1" t="s">
        <v>1537</v>
      </c>
      <c r="CP237" s="1" t="s">
        <v>1796</v>
      </c>
      <c r="CQ237" s="1" t="s">
        <v>1539</v>
      </c>
      <c r="CR237" s="1" t="s">
        <v>1552</v>
      </c>
      <c r="CS237" s="1" t="s">
        <v>106</v>
      </c>
      <c r="CT237" s="1" t="s">
        <v>1560</v>
      </c>
      <c r="CW237" s="1">
        <v>4</v>
      </c>
      <c r="CX237" s="1" t="s">
        <v>1529</v>
      </c>
      <c r="CY237" s="1" t="s">
        <v>1567</v>
      </c>
      <c r="CZ237" s="1" t="s">
        <v>1531</v>
      </c>
      <c r="DA237" s="1" t="s">
        <v>1822</v>
      </c>
      <c r="DB237" s="1" t="s">
        <v>1525</v>
      </c>
      <c r="DD237" s="1" t="s">
        <v>45</v>
      </c>
      <c r="DE237" s="1" t="s">
        <v>46</v>
      </c>
      <c r="DF237" s="1" t="s">
        <v>46</v>
      </c>
      <c r="DG237" s="1" t="s">
        <v>1525</v>
      </c>
      <c r="DH237" s="1" t="s">
        <v>51</v>
      </c>
      <c r="DI237" s="1" t="s">
        <v>2177</v>
      </c>
      <c r="DJ237" s="32">
        <v>45008</v>
      </c>
      <c r="DK237" s="1" t="s">
        <v>1631</v>
      </c>
      <c r="DM237" s="1" t="s">
        <v>45</v>
      </c>
      <c r="DO237" s="1" t="s">
        <v>51</v>
      </c>
      <c r="DP237" s="1" t="s">
        <v>2178</v>
      </c>
      <c r="DQ237" s="1" t="s">
        <v>45</v>
      </c>
      <c r="DT237" s="32">
        <v>45819</v>
      </c>
      <c r="DU237" s="1" t="s">
        <v>1598</v>
      </c>
      <c r="DV237" s="1">
        <v>227.858081471747</v>
      </c>
      <c r="DW237" s="1" t="s">
        <v>45</v>
      </c>
      <c r="DY237" s="32">
        <v>45819</v>
      </c>
      <c r="DZ237" s="1" t="s">
        <v>1544</v>
      </c>
    </row>
    <row r="238" spans="1:130" ht="15.75" customHeight="1" x14ac:dyDescent="0.2">
      <c r="A238" s="8" t="s">
        <v>1207</v>
      </c>
      <c r="B238" s="32">
        <v>29850</v>
      </c>
      <c r="C238" s="32">
        <v>45505</v>
      </c>
      <c r="D238" s="1">
        <v>42.861934194405002</v>
      </c>
      <c r="E238" s="1" t="s">
        <v>1587</v>
      </c>
      <c r="F238" s="1" t="s">
        <v>1524</v>
      </c>
      <c r="G238" s="1" t="s">
        <v>1545</v>
      </c>
      <c r="H238" s="1" t="s">
        <v>51</v>
      </c>
      <c r="I238" s="1">
        <v>1.71</v>
      </c>
      <c r="J238" s="1" t="s">
        <v>51</v>
      </c>
      <c r="K238" s="1">
        <v>95.8</v>
      </c>
      <c r="L238" s="1">
        <v>32.762217434424201</v>
      </c>
      <c r="M238" s="1" t="s">
        <v>45</v>
      </c>
      <c r="N238" s="1" t="s">
        <v>45</v>
      </c>
      <c r="O238" s="1" t="s">
        <v>45</v>
      </c>
      <c r="P238" s="1" t="s">
        <v>45</v>
      </c>
      <c r="Q238" s="1" t="s">
        <v>45</v>
      </c>
      <c r="R238" s="1" t="s">
        <v>45</v>
      </c>
      <c r="S238" s="1" t="s">
        <v>45</v>
      </c>
      <c r="T238" s="1" t="s">
        <v>45</v>
      </c>
      <c r="U238" s="1" t="s">
        <v>45</v>
      </c>
      <c r="V238" s="1" t="s">
        <v>45</v>
      </c>
      <c r="W238" s="1" t="s">
        <v>45</v>
      </c>
      <c r="X238" s="1" t="s">
        <v>45</v>
      </c>
      <c r="Y238" s="1" t="s">
        <v>45</v>
      </c>
      <c r="Z238" s="1" t="s">
        <v>45</v>
      </c>
      <c r="AA238" s="1" t="s">
        <v>45</v>
      </c>
      <c r="AB238" s="1" t="s">
        <v>45</v>
      </c>
      <c r="AC238" s="1" t="s">
        <v>45</v>
      </c>
      <c r="AD238" s="1" t="s">
        <v>45</v>
      </c>
      <c r="AE238" s="1" t="s">
        <v>45</v>
      </c>
      <c r="AF238" s="32">
        <v>45546</v>
      </c>
      <c r="AG238" s="1">
        <v>42.974188381691597</v>
      </c>
      <c r="AH238" s="1" t="s">
        <v>1558</v>
      </c>
      <c r="AI238" s="1" t="s">
        <v>1527</v>
      </c>
      <c r="AJ238" s="1" t="s">
        <v>45</v>
      </c>
      <c r="AK238" s="1" t="s">
        <v>45</v>
      </c>
      <c r="AL238" s="1" t="s">
        <v>45</v>
      </c>
      <c r="AM238" s="1" t="s">
        <v>45</v>
      </c>
      <c r="AN238" s="1" t="s">
        <v>45</v>
      </c>
      <c r="AO238" s="1" t="s">
        <v>51</v>
      </c>
      <c r="AP238" s="1" t="s">
        <v>45</v>
      </c>
      <c r="AQ238" s="1" t="s">
        <v>45</v>
      </c>
      <c r="AR238" s="1" t="s">
        <v>45</v>
      </c>
      <c r="AT238" s="1" t="s">
        <v>1583</v>
      </c>
      <c r="AU238" s="1" t="s">
        <v>2179</v>
      </c>
      <c r="AW238" s="33" t="s">
        <v>1713</v>
      </c>
      <c r="AX238" s="33" t="s">
        <v>1713</v>
      </c>
      <c r="AY238" s="3"/>
      <c r="AZ238" s="1">
        <v>3</v>
      </c>
      <c r="BA238" s="1" t="s">
        <v>1978</v>
      </c>
      <c r="BB238" s="1" t="s">
        <v>1530</v>
      </c>
      <c r="BC238" s="1" t="s">
        <v>1531</v>
      </c>
      <c r="BD238" s="1" t="s">
        <v>1532</v>
      </c>
      <c r="BE238" s="1" t="s">
        <v>1533</v>
      </c>
      <c r="BF238" s="1" t="s">
        <v>1534</v>
      </c>
      <c r="BG238" s="1" t="s">
        <v>45</v>
      </c>
      <c r="BH238" s="1" t="s">
        <v>46</v>
      </c>
      <c r="BI238" s="1" t="s">
        <v>1535</v>
      </c>
      <c r="BJ238" s="1" t="s">
        <v>45</v>
      </c>
      <c r="BK238" s="1" t="s">
        <v>1536</v>
      </c>
      <c r="BL238" s="32">
        <v>45546</v>
      </c>
      <c r="BM238" s="1" t="s">
        <v>1208</v>
      </c>
      <c r="BO238" s="1" t="s">
        <v>1537</v>
      </c>
      <c r="BP238" s="1" t="s">
        <v>1538</v>
      </c>
      <c r="BQ238" s="1" t="s">
        <v>1647</v>
      </c>
      <c r="BR238" s="1" t="s">
        <v>1540</v>
      </c>
      <c r="BS238" s="1" t="s">
        <v>177</v>
      </c>
      <c r="BU238" s="1" t="s">
        <v>45</v>
      </c>
      <c r="BW238" s="1" t="s">
        <v>1542</v>
      </c>
      <c r="CA238" s="1" t="s">
        <v>51</v>
      </c>
      <c r="CB238" s="1" t="s">
        <v>51</v>
      </c>
      <c r="CC238" s="32">
        <v>45573</v>
      </c>
      <c r="CD238" s="1">
        <v>59.4</v>
      </c>
      <c r="CE238" s="1">
        <v>33</v>
      </c>
      <c r="CJ238" s="1" t="s">
        <v>45</v>
      </c>
      <c r="DH238" s="1" t="s">
        <v>45</v>
      </c>
      <c r="DM238" s="1" t="s">
        <v>45</v>
      </c>
      <c r="DO238" s="1" t="s">
        <v>45</v>
      </c>
      <c r="DQ238" s="1" t="s">
        <v>45</v>
      </c>
      <c r="DT238" s="32">
        <v>45777</v>
      </c>
      <c r="DU238" s="1" t="s">
        <v>1598</v>
      </c>
      <c r="DV238" s="1">
        <v>7.5886990801576797</v>
      </c>
      <c r="DW238" s="1" t="s">
        <v>45</v>
      </c>
      <c r="DY238" s="32">
        <v>45819</v>
      </c>
      <c r="DZ238" s="1" t="s">
        <v>1544</v>
      </c>
    </row>
    <row r="239" spans="1:130" ht="15.75" customHeight="1" x14ac:dyDescent="0.2">
      <c r="A239" s="8" t="s">
        <v>1211</v>
      </c>
      <c r="B239" s="32">
        <v>29047</v>
      </c>
      <c r="C239" s="32">
        <v>43217</v>
      </c>
      <c r="D239" s="1">
        <v>38.796142289027102</v>
      </c>
      <c r="E239" s="1" t="s">
        <v>1587</v>
      </c>
      <c r="F239" s="1" t="s">
        <v>1524</v>
      </c>
      <c r="G239" s="1" t="s">
        <v>1574</v>
      </c>
      <c r="H239" s="1" t="s">
        <v>51</v>
      </c>
      <c r="I239" s="1">
        <v>1.59</v>
      </c>
      <c r="J239" s="1" t="s">
        <v>51</v>
      </c>
      <c r="K239" s="1">
        <v>59.4</v>
      </c>
      <c r="L239" s="1">
        <v>23.495906016375901</v>
      </c>
      <c r="M239" s="1" t="s">
        <v>45</v>
      </c>
      <c r="N239" s="1" t="s">
        <v>45</v>
      </c>
      <c r="O239" s="1" t="s">
        <v>45</v>
      </c>
      <c r="P239" s="1" t="s">
        <v>45</v>
      </c>
      <c r="Q239" s="1" t="s">
        <v>45</v>
      </c>
      <c r="R239" s="1" t="s">
        <v>45</v>
      </c>
      <c r="S239" s="1" t="s">
        <v>45</v>
      </c>
      <c r="T239" s="1" t="s">
        <v>45</v>
      </c>
      <c r="U239" s="1" t="s">
        <v>45</v>
      </c>
      <c r="V239" s="1" t="s">
        <v>45</v>
      </c>
      <c r="W239" s="1" t="s">
        <v>45</v>
      </c>
      <c r="X239" s="1" t="s">
        <v>45</v>
      </c>
      <c r="Y239" s="1" t="s">
        <v>45</v>
      </c>
      <c r="Z239" s="1" t="s">
        <v>45</v>
      </c>
      <c r="AA239" s="1" t="s">
        <v>45</v>
      </c>
      <c r="AB239" s="1" t="s">
        <v>45</v>
      </c>
      <c r="AC239" s="1" t="s">
        <v>45</v>
      </c>
      <c r="AD239" s="1" t="s">
        <v>45</v>
      </c>
      <c r="AE239" s="1" t="s">
        <v>45</v>
      </c>
      <c r="AF239" s="32">
        <v>43382</v>
      </c>
      <c r="AG239" s="1">
        <v>39.247896945180202</v>
      </c>
      <c r="AH239" s="1" t="s">
        <v>1526</v>
      </c>
      <c r="AI239" s="1" t="s">
        <v>1527</v>
      </c>
      <c r="AJ239" s="1" t="s">
        <v>45</v>
      </c>
      <c r="AK239" s="1" t="s">
        <v>51</v>
      </c>
      <c r="AL239" s="1" t="s">
        <v>45</v>
      </c>
      <c r="AM239" s="1" t="s">
        <v>45</v>
      </c>
      <c r="AN239" s="1" t="s">
        <v>45</v>
      </c>
      <c r="AO239" s="1" t="s">
        <v>45</v>
      </c>
      <c r="AP239" s="1" t="s">
        <v>45</v>
      </c>
      <c r="AQ239" s="1" t="s">
        <v>45</v>
      </c>
      <c r="AR239" s="1" t="s">
        <v>51</v>
      </c>
      <c r="AS239" s="1" t="s">
        <v>2180</v>
      </c>
      <c r="AT239" s="1" t="s">
        <v>1601</v>
      </c>
      <c r="AW239" s="33" t="s">
        <v>1464</v>
      </c>
      <c r="AX239" s="3"/>
      <c r="AY239" s="3" t="s">
        <v>1601</v>
      </c>
      <c r="AZ239" s="1">
        <v>2</v>
      </c>
      <c r="BA239" s="1" t="s">
        <v>1821</v>
      </c>
      <c r="BB239" s="1" t="s">
        <v>1567</v>
      </c>
      <c r="BC239" s="1" t="s">
        <v>1602</v>
      </c>
      <c r="BD239" s="1" t="s">
        <v>1990</v>
      </c>
      <c r="BE239" s="1" t="s">
        <v>1525</v>
      </c>
      <c r="BG239" s="1" t="s">
        <v>1525</v>
      </c>
      <c r="BH239" s="1" t="s">
        <v>1525</v>
      </c>
      <c r="BI239" s="1" t="s">
        <v>1525</v>
      </c>
      <c r="BJ239" s="1" t="s">
        <v>1525</v>
      </c>
      <c r="BK239" s="1" t="s">
        <v>1536</v>
      </c>
      <c r="BL239" s="32">
        <v>43382</v>
      </c>
      <c r="BO239" s="1" t="s">
        <v>1537</v>
      </c>
      <c r="BP239" s="1" t="s">
        <v>1538</v>
      </c>
      <c r="BQ239" s="1" t="s">
        <v>1539</v>
      </c>
      <c r="BR239" s="1" t="s">
        <v>1540</v>
      </c>
      <c r="BS239" s="1" t="s">
        <v>50</v>
      </c>
      <c r="BW239" s="1" t="s">
        <v>1563</v>
      </c>
      <c r="BX239" s="32">
        <v>43586</v>
      </c>
      <c r="BY239" s="1">
        <v>12</v>
      </c>
      <c r="BZ239" s="1" t="s">
        <v>2181</v>
      </c>
      <c r="CA239" s="1" t="s">
        <v>45</v>
      </c>
      <c r="CB239" s="1" t="s">
        <v>45</v>
      </c>
      <c r="CI239" s="1" t="s">
        <v>2182</v>
      </c>
      <c r="CJ239" s="1" t="s">
        <v>51</v>
      </c>
      <c r="CK239" s="32">
        <v>45472</v>
      </c>
      <c r="CL239" s="1" t="s">
        <v>51</v>
      </c>
      <c r="CM239" s="32">
        <v>45552</v>
      </c>
      <c r="CN239" s="1">
        <v>5.9412582051650604</v>
      </c>
      <c r="CO239" s="1" t="s">
        <v>1537</v>
      </c>
      <c r="CP239" s="1" t="s">
        <v>1796</v>
      </c>
      <c r="CQ239" s="1" t="s">
        <v>1539</v>
      </c>
      <c r="CR239" s="1" t="s">
        <v>1540</v>
      </c>
      <c r="CS239" s="1" t="s">
        <v>43</v>
      </c>
      <c r="CT239" s="1" t="s">
        <v>1601</v>
      </c>
      <c r="CW239" s="1">
        <v>3</v>
      </c>
      <c r="CX239" s="1" t="s">
        <v>1978</v>
      </c>
      <c r="CY239" s="1" t="s">
        <v>1567</v>
      </c>
      <c r="CZ239" s="1" t="s">
        <v>1602</v>
      </c>
      <c r="DA239" s="1" t="s">
        <v>1990</v>
      </c>
      <c r="DB239" s="1" t="s">
        <v>1525</v>
      </c>
      <c r="DD239" s="1" t="s">
        <v>45</v>
      </c>
      <c r="DE239" s="1" t="s">
        <v>1525</v>
      </c>
      <c r="DF239" s="1" t="s">
        <v>68</v>
      </c>
      <c r="DG239" s="1" t="s">
        <v>1525</v>
      </c>
      <c r="DH239" s="1" t="s">
        <v>51</v>
      </c>
      <c r="DI239" s="1" t="s">
        <v>2183</v>
      </c>
      <c r="DJ239" s="32">
        <v>45714</v>
      </c>
      <c r="DM239" s="1" t="s">
        <v>45</v>
      </c>
      <c r="DO239" s="1" t="s">
        <v>45</v>
      </c>
      <c r="DQ239" s="1" t="s">
        <v>45</v>
      </c>
      <c r="DT239" s="32">
        <v>45812</v>
      </c>
      <c r="DU239" s="1" t="s">
        <v>1598</v>
      </c>
      <c r="DV239" s="1">
        <v>79.829172141918505</v>
      </c>
      <c r="DW239" s="1" t="s">
        <v>45</v>
      </c>
      <c r="DY239" s="32">
        <v>45819</v>
      </c>
      <c r="DZ239" s="1" t="s">
        <v>1544</v>
      </c>
    </row>
    <row r="240" spans="1:130" ht="15.75" customHeight="1" x14ac:dyDescent="0.2">
      <c r="A240" s="8" t="s">
        <v>1213</v>
      </c>
      <c r="B240" s="32">
        <v>26006</v>
      </c>
      <c r="C240" s="32">
        <v>45530</v>
      </c>
      <c r="D240" s="1">
        <v>53.454896404443602</v>
      </c>
      <c r="E240" s="1" t="s">
        <v>1587</v>
      </c>
      <c r="F240" s="1" t="s">
        <v>1524</v>
      </c>
      <c r="G240" s="1" t="s">
        <v>1574</v>
      </c>
      <c r="H240" s="1" t="s">
        <v>51</v>
      </c>
      <c r="I240" s="1">
        <v>1.663</v>
      </c>
      <c r="J240" s="1" t="s">
        <v>51</v>
      </c>
      <c r="K240" s="1">
        <v>131.69999999999999</v>
      </c>
      <c r="L240" s="1">
        <v>47.621303247179803</v>
      </c>
      <c r="M240" s="1" t="s">
        <v>45</v>
      </c>
      <c r="N240" s="1" t="s">
        <v>45</v>
      </c>
      <c r="O240" s="1" t="s">
        <v>45</v>
      </c>
      <c r="P240" s="1" t="s">
        <v>45</v>
      </c>
      <c r="Q240" s="1" t="s">
        <v>45</v>
      </c>
      <c r="R240" s="1" t="s">
        <v>45</v>
      </c>
      <c r="S240" s="1" t="s">
        <v>45</v>
      </c>
      <c r="T240" s="1" t="s">
        <v>45</v>
      </c>
      <c r="U240" s="1" t="s">
        <v>45</v>
      </c>
      <c r="V240" s="1" t="s">
        <v>45</v>
      </c>
      <c r="W240" s="1" t="s">
        <v>45</v>
      </c>
      <c r="X240" s="1" t="s">
        <v>45</v>
      </c>
      <c r="Y240" s="1" t="s">
        <v>45</v>
      </c>
      <c r="Z240" s="1" t="s">
        <v>45</v>
      </c>
      <c r="AA240" s="1" t="s">
        <v>45</v>
      </c>
      <c r="AB240" s="1" t="s">
        <v>45</v>
      </c>
      <c r="AC240" s="1" t="s">
        <v>45</v>
      </c>
      <c r="AD240" s="1" t="s">
        <v>45</v>
      </c>
      <c r="AE240" s="1" t="s">
        <v>45</v>
      </c>
      <c r="AF240" s="32">
        <v>45553</v>
      </c>
      <c r="AG240" s="1">
        <v>53.517868265604299</v>
      </c>
      <c r="AH240" s="1" t="s">
        <v>1526</v>
      </c>
      <c r="AI240" s="1" t="s">
        <v>1527</v>
      </c>
      <c r="AJ240" s="1" t="s">
        <v>45</v>
      </c>
      <c r="AK240" s="1" t="s">
        <v>45</v>
      </c>
      <c r="AL240" s="1" t="s">
        <v>45</v>
      </c>
      <c r="AM240" s="1" t="s">
        <v>45</v>
      </c>
      <c r="AN240" s="1" t="s">
        <v>45</v>
      </c>
      <c r="AO240" s="1" t="s">
        <v>45</v>
      </c>
      <c r="AP240" s="1" t="s">
        <v>45</v>
      </c>
      <c r="AQ240" s="1" t="s">
        <v>45</v>
      </c>
      <c r="AR240" s="1" t="s">
        <v>51</v>
      </c>
      <c r="AS240" s="1" t="s">
        <v>2184</v>
      </c>
      <c r="AT240" s="1" t="s">
        <v>1601</v>
      </c>
      <c r="AW240" s="33" t="s">
        <v>1463</v>
      </c>
      <c r="AX240" s="3" t="s">
        <v>1601</v>
      </c>
      <c r="AY240" s="3"/>
      <c r="AZ240" s="1">
        <v>3</v>
      </c>
      <c r="BA240" s="1" t="s">
        <v>1978</v>
      </c>
      <c r="BB240" s="1" t="s">
        <v>1567</v>
      </c>
      <c r="BC240" s="1" t="s">
        <v>1602</v>
      </c>
      <c r="BD240" s="1" t="s">
        <v>1990</v>
      </c>
      <c r="BE240" s="1" t="s">
        <v>1525</v>
      </c>
      <c r="BG240" s="1" t="s">
        <v>1525</v>
      </c>
      <c r="BH240" s="1" t="s">
        <v>46</v>
      </c>
      <c r="BI240" s="1" t="s">
        <v>1535</v>
      </c>
      <c r="BJ240" s="1" t="s">
        <v>1525</v>
      </c>
      <c r="BK240" s="1" t="s">
        <v>1536</v>
      </c>
      <c r="BL240" s="32">
        <v>45553</v>
      </c>
      <c r="BM240" s="1" t="s">
        <v>1214</v>
      </c>
      <c r="BO240" s="1" t="s">
        <v>1537</v>
      </c>
      <c r="BP240" s="1" t="s">
        <v>1538</v>
      </c>
      <c r="BQ240" s="1" t="s">
        <v>1539</v>
      </c>
      <c r="BR240" s="1" t="s">
        <v>1552</v>
      </c>
      <c r="BS240" s="1" t="s">
        <v>43</v>
      </c>
      <c r="BU240" s="1" t="s">
        <v>1525</v>
      </c>
      <c r="BW240" s="1" t="s">
        <v>1561</v>
      </c>
      <c r="CA240" s="1" t="s">
        <v>51</v>
      </c>
      <c r="CB240" s="1" t="s">
        <v>51</v>
      </c>
      <c r="CC240" s="32">
        <v>45609</v>
      </c>
      <c r="CI240" s="1" t="s">
        <v>2185</v>
      </c>
      <c r="CJ240" s="1" t="s">
        <v>45</v>
      </c>
      <c r="DH240" s="1" t="s">
        <v>45</v>
      </c>
      <c r="DM240" s="1" t="s">
        <v>45</v>
      </c>
      <c r="DO240" s="1" t="s">
        <v>45</v>
      </c>
      <c r="DQ240" s="1" t="s">
        <v>45</v>
      </c>
      <c r="DT240" s="32">
        <v>45614</v>
      </c>
      <c r="DU240" s="1" t="s">
        <v>1556</v>
      </c>
      <c r="DV240" s="1">
        <v>2.00394218134034</v>
      </c>
      <c r="DW240" s="1" t="s">
        <v>45</v>
      </c>
      <c r="DY240" s="32">
        <v>45819</v>
      </c>
      <c r="DZ240" s="1" t="s">
        <v>1544</v>
      </c>
    </row>
    <row r="241" spans="1:130" ht="15.75" customHeight="1" x14ac:dyDescent="0.2">
      <c r="A241" s="8" t="s">
        <v>1216</v>
      </c>
      <c r="B241" s="32">
        <v>29306</v>
      </c>
      <c r="C241" s="32">
        <v>45546</v>
      </c>
      <c r="D241" s="1">
        <v>44.463609793493298</v>
      </c>
      <c r="E241" s="1" t="s">
        <v>1523</v>
      </c>
      <c r="F241" s="1" t="s">
        <v>1524</v>
      </c>
      <c r="G241" s="1" t="s">
        <v>1574</v>
      </c>
      <c r="H241" s="1" t="s">
        <v>51</v>
      </c>
      <c r="I241" s="1">
        <v>1.61</v>
      </c>
      <c r="J241" s="1" t="s">
        <v>51</v>
      </c>
      <c r="K241" s="1">
        <v>85.5</v>
      </c>
      <c r="L241" s="1">
        <v>32.9848385478955</v>
      </c>
      <c r="M241" s="1" t="s">
        <v>45</v>
      </c>
      <c r="N241" s="1" t="s">
        <v>45</v>
      </c>
      <c r="O241" s="1" t="s">
        <v>45</v>
      </c>
      <c r="P241" s="1" t="s">
        <v>45</v>
      </c>
      <c r="Q241" s="1" t="s">
        <v>45</v>
      </c>
      <c r="R241" s="1" t="s">
        <v>45</v>
      </c>
      <c r="S241" s="1" t="s">
        <v>45</v>
      </c>
      <c r="T241" s="1" t="s">
        <v>45</v>
      </c>
      <c r="U241" s="1" t="s">
        <v>45</v>
      </c>
      <c r="V241" s="1" t="s">
        <v>45</v>
      </c>
      <c r="W241" s="1" t="s">
        <v>45</v>
      </c>
      <c r="X241" s="1" t="s">
        <v>45</v>
      </c>
      <c r="Y241" s="1" t="s">
        <v>45</v>
      </c>
      <c r="Z241" s="1" t="s">
        <v>45</v>
      </c>
      <c r="AA241" s="1" t="s">
        <v>45</v>
      </c>
      <c r="AB241" s="1" t="s">
        <v>45</v>
      </c>
      <c r="AC241" s="1" t="s">
        <v>45</v>
      </c>
      <c r="AD241" s="1" t="s">
        <v>45</v>
      </c>
      <c r="AE241" s="1" t="s">
        <v>45</v>
      </c>
      <c r="AF241" s="32">
        <v>45554</v>
      </c>
      <c r="AG241" s="1">
        <v>44.485513049549198</v>
      </c>
      <c r="AH241" s="1" t="s">
        <v>1613</v>
      </c>
      <c r="AI241" s="1" t="s">
        <v>1527</v>
      </c>
      <c r="AJ241" s="1" t="s">
        <v>45</v>
      </c>
      <c r="AK241" s="1" t="s">
        <v>45</v>
      </c>
      <c r="AL241" s="1" t="s">
        <v>45</v>
      </c>
      <c r="AM241" s="1" t="s">
        <v>51</v>
      </c>
      <c r="AN241" s="1" t="s">
        <v>51</v>
      </c>
      <c r="AO241" s="1" t="s">
        <v>45</v>
      </c>
      <c r="AP241" s="1" t="s">
        <v>51</v>
      </c>
      <c r="AQ241" s="1" t="s">
        <v>45</v>
      </c>
      <c r="AR241" s="1" t="s">
        <v>51</v>
      </c>
      <c r="AS241" s="1" t="s">
        <v>1852</v>
      </c>
      <c r="AT241" s="1" t="s">
        <v>1528</v>
      </c>
      <c r="AW241" s="33" t="s">
        <v>1463</v>
      </c>
      <c r="AX241" s="3" t="s">
        <v>1528</v>
      </c>
      <c r="AY241" s="3"/>
      <c r="AZ241" s="1">
        <v>4</v>
      </c>
      <c r="BA241" s="1" t="s">
        <v>1529</v>
      </c>
      <c r="BB241" s="1" t="s">
        <v>1530</v>
      </c>
      <c r="BC241" s="1" t="s">
        <v>1531</v>
      </c>
      <c r="BD241" s="1" t="s">
        <v>1532</v>
      </c>
      <c r="BE241" s="1" t="s">
        <v>1533</v>
      </c>
      <c r="BF241" s="1" t="s">
        <v>1534</v>
      </c>
      <c r="BG241" s="1" t="s">
        <v>45</v>
      </c>
      <c r="BH241" s="1" t="s">
        <v>46</v>
      </c>
      <c r="BI241" s="1" t="s">
        <v>1535</v>
      </c>
      <c r="BJ241" s="1" t="s">
        <v>1525</v>
      </c>
      <c r="BK241" s="1" t="s">
        <v>1536</v>
      </c>
      <c r="BL241" s="32">
        <v>45554</v>
      </c>
      <c r="BM241" s="1" t="s">
        <v>1217</v>
      </c>
      <c r="BO241" s="1" t="s">
        <v>1537</v>
      </c>
      <c r="BP241" s="1" t="s">
        <v>1538</v>
      </c>
      <c r="BQ241" s="1" t="s">
        <v>1539</v>
      </c>
      <c r="BR241" s="1" t="s">
        <v>1540</v>
      </c>
      <c r="BS241" s="1" t="s">
        <v>43</v>
      </c>
      <c r="BU241" s="1" t="s">
        <v>51</v>
      </c>
      <c r="BV241" s="1" t="s">
        <v>1541</v>
      </c>
      <c r="BW241" s="1" t="s">
        <v>1542</v>
      </c>
      <c r="CA241" s="1" t="s">
        <v>45</v>
      </c>
      <c r="CB241" s="1" t="s">
        <v>45</v>
      </c>
      <c r="CJ241" s="1" t="s">
        <v>45</v>
      </c>
      <c r="DH241" s="1" t="s">
        <v>45</v>
      </c>
      <c r="DM241" s="1" t="s">
        <v>45</v>
      </c>
      <c r="DO241" s="1" t="s">
        <v>45</v>
      </c>
      <c r="DQ241" s="1" t="s">
        <v>45</v>
      </c>
      <c r="DT241" s="32">
        <v>45686</v>
      </c>
      <c r="DU241" s="1" t="s">
        <v>1556</v>
      </c>
      <c r="DV241" s="1">
        <v>4.3363994743758196</v>
      </c>
      <c r="DW241" s="1" t="s">
        <v>45</v>
      </c>
      <c r="DY241" s="32">
        <v>45819</v>
      </c>
      <c r="DZ241" s="1" t="s">
        <v>1544</v>
      </c>
    </row>
    <row r="242" spans="1:130" ht="15.75" customHeight="1" x14ac:dyDescent="0.2">
      <c r="A242" s="8" t="s">
        <v>1221</v>
      </c>
      <c r="B242" s="32">
        <v>30667</v>
      </c>
      <c r="C242" s="32">
        <v>45530</v>
      </c>
      <c r="D242" s="1">
        <v>40.693511844870102</v>
      </c>
      <c r="E242" s="1" t="s">
        <v>1523</v>
      </c>
      <c r="F242" s="1" t="s">
        <v>1524</v>
      </c>
      <c r="G242" s="1" t="s">
        <v>1545</v>
      </c>
      <c r="H242" s="1" t="s">
        <v>51</v>
      </c>
      <c r="I242" s="1">
        <v>1.84</v>
      </c>
      <c r="J242" s="1" t="s">
        <v>51</v>
      </c>
      <c r="K242" s="1">
        <v>97.1</v>
      </c>
      <c r="L242" s="1">
        <v>28.680293005671</v>
      </c>
      <c r="M242" s="1" t="s">
        <v>45</v>
      </c>
      <c r="N242" s="1" t="s">
        <v>45</v>
      </c>
      <c r="O242" s="1" t="s">
        <v>45</v>
      </c>
      <c r="P242" s="1" t="s">
        <v>45</v>
      </c>
      <c r="Q242" s="1" t="s">
        <v>45</v>
      </c>
      <c r="R242" s="1" t="s">
        <v>45</v>
      </c>
      <c r="S242" s="1" t="s">
        <v>45</v>
      </c>
      <c r="T242" s="1" t="s">
        <v>45</v>
      </c>
      <c r="U242" s="1" t="s">
        <v>45</v>
      </c>
      <c r="V242" s="1" t="s">
        <v>45</v>
      </c>
      <c r="W242" s="1" t="s">
        <v>45</v>
      </c>
      <c r="X242" s="1" t="s">
        <v>45</v>
      </c>
      <c r="Y242" s="1" t="s">
        <v>45</v>
      </c>
      <c r="Z242" s="1" t="s">
        <v>45</v>
      </c>
      <c r="AA242" s="1" t="s">
        <v>45</v>
      </c>
      <c r="AB242" s="1" t="s">
        <v>45</v>
      </c>
      <c r="AC242" s="1" t="s">
        <v>45</v>
      </c>
      <c r="AD242" s="1" t="s">
        <v>45</v>
      </c>
      <c r="AE242" s="1" t="s">
        <v>45</v>
      </c>
      <c r="AF242" s="32">
        <v>45561</v>
      </c>
      <c r="AG242" s="1">
        <v>40.778386962086799</v>
      </c>
      <c r="AH242" s="1" t="s">
        <v>1526</v>
      </c>
      <c r="AI242" s="1" t="s">
        <v>1527</v>
      </c>
      <c r="AJ242" s="1" t="s">
        <v>45</v>
      </c>
      <c r="AK242" s="1" t="s">
        <v>45</v>
      </c>
      <c r="AL242" s="1" t="s">
        <v>45</v>
      </c>
      <c r="AM242" s="1" t="s">
        <v>51</v>
      </c>
      <c r="AN242" s="1" t="s">
        <v>45</v>
      </c>
      <c r="AO242" s="1" t="s">
        <v>45</v>
      </c>
      <c r="AP242" s="1" t="s">
        <v>51</v>
      </c>
      <c r="AQ242" s="1" t="s">
        <v>45</v>
      </c>
      <c r="AR242" s="1" t="s">
        <v>45</v>
      </c>
      <c r="AT242" s="1" t="s">
        <v>1528</v>
      </c>
      <c r="AW242" s="33" t="s">
        <v>1463</v>
      </c>
      <c r="AX242" s="3" t="s">
        <v>1528</v>
      </c>
      <c r="AY242" s="3"/>
      <c r="AZ242" s="1">
        <v>4</v>
      </c>
      <c r="BA242" s="1" t="s">
        <v>1529</v>
      </c>
      <c r="BB242" s="1" t="s">
        <v>1530</v>
      </c>
      <c r="BC242" s="1" t="s">
        <v>1531</v>
      </c>
      <c r="BD242" s="1" t="s">
        <v>1532</v>
      </c>
      <c r="BE242" s="1" t="s">
        <v>1533</v>
      </c>
      <c r="BF242" s="1" t="s">
        <v>1534</v>
      </c>
      <c r="BG242" s="1" t="s">
        <v>1525</v>
      </c>
      <c r="BH242" s="1" t="s">
        <v>46</v>
      </c>
      <c r="BI242" s="1" t="s">
        <v>1535</v>
      </c>
      <c r="BJ242" s="1" t="s">
        <v>1525</v>
      </c>
      <c r="BK242" s="1" t="s">
        <v>1536</v>
      </c>
      <c r="BL242" s="32">
        <v>45561</v>
      </c>
      <c r="BM242" s="1" t="s">
        <v>1222</v>
      </c>
      <c r="BO242" s="1" t="s">
        <v>1537</v>
      </c>
      <c r="BP242" s="1" t="s">
        <v>1538</v>
      </c>
      <c r="BQ242" s="1" t="s">
        <v>1647</v>
      </c>
      <c r="BR242" s="1" t="s">
        <v>1552</v>
      </c>
      <c r="BS242" s="1" t="s">
        <v>43</v>
      </c>
      <c r="BU242" s="1" t="s">
        <v>51</v>
      </c>
      <c r="BV242" s="1" t="s">
        <v>1541</v>
      </c>
      <c r="BW242" s="1" t="s">
        <v>1563</v>
      </c>
      <c r="BX242" s="32">
        <v>45674</v>
      </c>
      <c r="BY242" s="1">
        <v>12</v>
      </c>
      <c r="BZ242" s="1" t="s">
        <v>2186</v>
      </c>
      <c r="CA242" s="1" t="s">
        <v>51</v>
      </c>
      <c r="CB242" s="1" t="s">
        <v>51</v>
      </c>
      <c r="CC242" s="32">
        <v>45595</v>
      </c>
      <c r="CD242" s="1">
        <v>60</v>
      </c>
      <c r="CE242" s="1">
        <v>30</v>
      </c>
      <c r="CJ242" s="1" t="s">
        <v>45</v>
      </c>
      <c r="DH242" s="1" t="s">
        <v>45</v>
      </c>
      <c r="DM242" s="1" t="s">
        <v>45</v>
      </c>
      <c r="DO242" s="1" t="s">
        <v>45</v>
      </c>
      <c r="DQ242" s="1" t="s">
        <v>45</v>
      </c>
      <c r="DT242" s="32">
        <v>45819</v>
      </c>
      <c r="DU242" s="1" t="s">
        <v>1598</v>
      </c>
      <c r="DV242" s="1">
        <v>8.4756898817345601</v>
      </c>
      <c r="DW242" s="1" t="s">
        <v>45</v>
      </c>
      <c r="DY242" s="32">
        <v>45819</v>
      </c>
      <c r="DZ242" s="1" t="s">
        <v>1544</v>
      </c>
    </row>
    <row r="243" spans="1:130" ht="15.75" customHeight="1" x14ac:dyDescent="0.2">
      <c r="A243" s="8" t="s">
        <v>1225</v>
      </c>
      <c r="B243" s="32">
        <v>39063</v>
      </c>
      <c r="C243" s="32">
        <v>45554</v>
      </c>
      <c r="D243" s="1">
        <v>17.771754382362399</v>
      </c>
      <c r="E243" s="1" t="s">
        <v>1523</v>
      </c>
      <c r="F243" s="1" t="s">
        <v>1524</v>
      </c>
      <c r="G243" s="1" t="s">
        <v>1574</v>
      </c>
      <c r="H243" s="1" t="s">
        <v>51</v>
      </c>
      <c r="I243" s="1">
        <v>1.82</v>
      </c>
      <c r="J243" s="1" t="s">
        <v>51</v>
      </c>
      <c r="K243" s="1">
        <v>67.400000000000006</v>
      </c>
      <c r="L243" s="1">
        <v>20.347784084047799</v>
      </c>
      <c r="M243" s="1" t="s">
        <v>45</v>
      </c>
      <c r="N243" s="1" t="s">
        <v>45</v>
      </c>
      <c r="O243" s="1" t="s">
        <v>45</v>
      </c>
      <c r="P243" s="1" t="s">
        <v>45</v>
      </c>
      <c r="Q243" s="1" t="s">
        <v>45</v>
      </c>
      <c r="R243" s="1" t="s">
        <v>45</v>
      </c>
      <c r="S243" s="1" t="s">
        <v>45</v>
      </c>
      <c r="T243" s="1" t="s">
        <v>45</v>
      </c>
      <c r="U243" s="1" t="s">
        <v>45</v>
      </c>
      <c r="V243" s="1" t="s">
        <v>45</v>
      </c>
      <c r="W243" s="1" t="s">
        <v>45</v>
      </c>
      <c r="X243" s="1" t="s">
        <v>45</v>
      </c>
      <c r="Y243" s="1" t="s">
        <v>45</v>
      </c>
      <c r="Z243" s="1" t="s">
        <v>45</v>
      </c>
      <c r="AA243" s="1" t="s">
        <v>45</v>
      </c>
      <c r="AB243" s="1" t="s">
        <v>45</v>
      </c>
      <c r="AC243" s="1" t="s">
        <v>45</v>
      </c>
      <c r="AD243" s="1" t="s">
        <v>45</v>
      </c>
      <c r="AE243" s="1" t="s">
        <v>45</v>
      </c>
      <c r="AF243" s="32">
        <v>45379</v>
      </c>
      <c r="AG243" s="1">
        <v>17.292620656139398</v>
      </c>
      <c r="AH243" s="1" t="s">
        <v>1526</v>
      </c>
      <c r="AI243" s="1" t="s">
        <v>1527</v>
      </c>
      <c r="AJ243" s="1" t="s">
        <v>45</v>
      </c>
      <c r="AK243" s="1" t="s">
        <v>45</v>
      </c>
      <c r="AL243" s="1" t="s">
        <v>45</v>
      </c>
      <c r="AM243" s="1" t="s">
        <v>51</v>
      </c>
      <c r="AN243" s="1" t="s">
        <v>45</v>
      </c>
      <c r="AO243" s="1" t="s">
        <v>45</v>
      </c>
      <c r="AP243" s="1" t="s">
        <v>45</v>
      </c>
      <c r="AQ243" s="1" t="s">
        <v>45</v>
      </c>
      <c r="AR243" s="1" t="s">
        <v>45</v>
      </c>
      <c r="AT243" s="1" t="s">
        <v>1528</v>
      </c>
      <c r="AW243" s="33" t="s">
        <v>1463</v>
      </c>
      <c r="AX243" s="3" t="s">
        <v>1528</v>
      </c>
      <c r="AY243" s="3"/>
      <c r="AZ243" s="43">
        <v>4</v>
      </c>
      <c r="BB243" s="1" t="s">
        <v>1561</v>
      </c>
      <c r="BC243" s="1" t="s">
        <v>1561</v>
      </c>
      <c r="BE243" s="1" t="s">
        <v>1525</v>
      </c>
      <c r="BG243" s="1" t="s">
        <v>1525</v>
      </c>
      <c r="BH243" s="1" t="s">
        <v>1525</v>
      </c>
      <c r="BI243" s="1" t="s">
        <v>1525</v>
      </c>
      <c r="BJ243" s="1" t="s">
        <v>1525</v>
      </c>
      <c r="BK243" s="1" t="s">
        <v>1536</v>
      </c>
      <c r="BL243" s="32">
        <v>45379</v>
      </c>
      <c r="BO243" s="1" t="s">
        <v>1537</v>
      </c>
      <c r="BP243" s="1" t="s">
        <v>1538</v>
      </c>
      <c r="BQ243" s="1" t="s">
        <v>1539</v>
      </c>
      <c r="BR243" s="1" t="s">
        <v>1552</v>
      </c>
      <c r="BS243" s="1" t="s">
        <v>43</v>
      </c>
      <c r="BU243" s="1" t="s">
        <v>1525</v>
      </c>
      <c r="BW243" s="1" t="s">
        <v>1563</v>
      </c>
      <c r="CA243" s="1" t="s">
        <v>51</v>
      </c>
      <c r="CB243" s="1" t="s">
        <v>51</v>
      </c>
      <c r="CI243" s="1" t="s">
        <v>2187</v>
      </c>
      <c r="CJ243" s="1" t="s">
        <v>51</v>
      </c>
      <c r="CK243" s="32">
        <v>45554</v>
      </c>
      <c r="CL243" s="1" t="s">
        <v>51</v>
      </c>
      <c r="CM243" s="32">
        <v>45566</v>
      </c>
      <c r="CN243" s="1">
        <v>0.51198861030684994</v>
      </c>
      <c r="CO243" s="1" t="s">
        <v>1537</v>
      </c>
      <c r="CP243" s="1" t="s">
        <v>1796</v>
      </c>
      <c r="CQ243" s="1" t="s">
        <v>1539</v>
      </c>
      <c r="CR243" s="1" t="s">
        <v>1552</v>
      </c>
      <c r="CS243" s="1" t="s">
        <v>43</v>
      </c>
      <c r="CT243" s="1" t="s">
        <v>1528</v>
      </c>
      <c r="CY243" s="1" t="s">
        <v>1530</v>
      </c>
      <c r="CZ243" s="1" t="s">
        <v>1531</v>
      </c>
      <c r="DA243" s="1" t="s">
        <v>1532</v>
      </c>
      <c r="DB243" s="1" t="s">
        <v>1533</v>
      </c>
      <c r="DC243" s="1" t="s">
        <v>1534</v>
      </c>
      <c r="DD243" s="1" t="s">
        <v>45</v>
      </c>
      <c r="DE243" s="1" t="s">
        <v>68</v>
      </c>
      <c r="DF243" s="1" t="s">
        <v>68</v>
      </c>
      <c r="DG243" s="1" t="s">
        <v>45</v>
      </c>
      <c r="DH243" s="1" t="s">
        <v>51</v>
      </c>
      <c r="DI243" s="1" t="s">
        <v>2188</v>
      </c>
      <c r="DJ243" s="32">
        <v>45622</v>
      </c>
      <c r="DM243" s="1" t="s">
        <v>45</v>
      </c>
      <c r="DO243" s="1" t="s">
        <v>45</v>
      </c>
      <c r="DQ243" s="1" t="s">
        <v>45</v>
      </c>
      <c r="DT243" s="32">
        <v>45762</v>
      </c>
      <c r="DU243" s="1" t="s">
        <v>1598</v>
      </c>
      <c r="DV243" s="1">
        <v>12.5821287779237</v>
      </c>
      <c r="DW243" s="1" t="s">
        <v>51</v>
      </c>
      <c r="DX243" s="1" t="s">
        <v>2189</v>
      </c>
      <c r="DY243" s="32">
        <v>45819</v>
      </c>
      <c r="DZ243" s="1" t="s">
        <v>1544</v>
      </c>
    </row>
    <row r="244" spans="1:130" ht="15.75" customHeight="1" x14ac:dyDescent="0.2">
      <c r="A244" s="8" t="s">
        <v>1231</v>
      </c>
      <c r="B244" s="32">
        <v>26738</v>
      </c>
      <c r="C244" s="32">
        <v>42746</v>
      </c>
      <c r="D244" s="1">
        <v>43.828415367871997</v>
      </c>
      <c r="E244" s="1" t="s">
        <v>1587</v>
      </c>
      <c r="F244" s="1" t="s">
        <v>1524</v>
      </c>
      <c r="G244" s="1" t="s">
        <v>1574</v>
      </c>
      <c r="H244" s="1" t="s">
        <v>51</v>
      </c>
      <c r="I244" s="1">
        <v>1.62</v>
      </c>
      <c r="J244" s="1" t="s">
        <v>51</v>
      </c>
      <c r="K244" s="1">
        <v>52.3</v>
      </c>
      <c r="L244" s="1">
        <v>19.928364578570299</v>
      </c>
      <c r="M244" s="1" t="s">
        <v>45</v>
      </c>
      <c r="N244" s="1" t="s">
        <v>45</v>
      </c>
      <c r="O244" s="1" t="s">
        <v>45</v>
      </c>
      <c r="P244" s="1" t="s">
        <v>45</v>
      </c>
      <c r="Q244" s="1" t="s">
        <v>45</v>
      </c>
      <c r="R244" s="1" t="s">
        <v>45</v>
      </c>
      <c r="S244" s="1" t="s">
        <v>45</v>
      </c>
      <c r="T244" s="1" t="s">
        <v>45</v>
      </c>
      <c r="U244" s="1" t="s">
        <v>45</v>
      </c>
      <c r="V244" s="1" t="s">
        <v>45</v>
      </c>
      <c r="W244" s="1" t="s">
        <v>45</v>
      </c>
      <c r="X244" s="1" t="s">
        <v>45</v>
      </c>
      <c r="Y244" s="1" t="s">
        <v>45</v>
      </c>
      <c r="Z244" s="1" t="s">
        <v>45</v>
      </c>
      <c r="AA244" s="1" t="s">
        <v>45</v>
      </c>
      <c r="AB244" s="1" t="s">
        <v>45</v>
      </c>
      <c r="AC244" s="1" t="s">
        <v>45</v>
      </c>
      <c r="AD244" s="1" t="s">
        <v>45</v>
      </c>
      <c r="AE244" s="1" t="s">
        <v>45</v>
      </c>
      <c r="AF244" s="32">
        <v>40435</v>
      </c>
      <c r="AG244" s="1">
        <v>37.5011122747215</v>
      </c>
      <c r="AH244" s="1" t="s">
        <v>1558</v>
      </c>
      <c r="AI244" s="1" t="s">
        <v>1527</v>
      </c>
      <c r="AJ244" s="1" t="s">
        <v>45</v>
      </c>
      <c r="AK244" s="1" t="s">
        <v>45</v>
      </c>
      <c r="AL244" s="1" t="s">
        <v>45</v>
      </c>
      <c r="AM244" s="1" t="s">
        <v>45</v>
      </c>
      <c r="AN244" s="1" t="s">
        <v>45</v>
      </c>
      <c r="AO244" s="1" t="s">
        <v>45</v>
      </c>
      <c r="AP244" s="1" t="s">
        <v>45</v>
      </c>
      <c r="AQ244" s="1" t="s">
        <v>45</v>
      </c>
      <c r="AR244" s="1" t="s">
        <v>45</v>
      </c>
      <c r="AT244" s="1" t="s">
        <v>1560</v>
      </c>
      <c r="AV244" s="1" t="s">
        <v>2099</v>
      </c>
      <c r="AW244" s="33" t="s">
        <v>1463</v>
      </c>
      <c r="AX244" s="3" t="s">
        <v>1560</v>
      </c>
      <c r="AY244" s="3"/>
      <c r="AZ244" s="1">
        <v>3</v>
      </c>
      <c r="BA244" s="1" t="s">
        <v>1978</v>
      </c>
      <c r="BB244" s="1" t="s">
        <v>1567</v>
      </c>
      <c r="BC244" s="1" t="s">
        <v>1531</v>
      </c>
      <c r="BD244" s="1" t="s">
        <v>1822</v>
      </c>
      <c r="BE244" s="1" t="s">
        <v>1525</v>
      </c>
      <c r="BG244" s="1" t="s">
        <v>1525</v>
      </c>
      <c r="BH244" s="1" t="s">
        <v>46</v>
      </c>
      <c r="BI244" s="1" t="s">
        <v>1599</v>
      </c>
      <c r="BJ244" s="1" t="s">
        <v>1525</v>
      </c>
      <c r="BK244" s="1" t="s">
        <v>1536</v>
      </c>
      <c r="BL244" s="32">
        <v>40435</v>
      </c>
      <c r="BO244" s="1" t="s">
        <v>1537</v>
      </c>
      <c r="BP244" s="1" t="s">
        <v>1538</v>
      </c>
      <c r="BQ244" s="1" t="s">
        <v>1539</v>
      </c>
      <c r="BR244" s="1" t="s">
        <v>1540</v>
      </c>
      <c r="BS244" s="1" t="s">
        <v>50</v>
      </c>
      <c r="BU244" s="1" t="s">
        <v>1525</v>
      </c>
      <c r="BW244" s="1" t="s">
        <v>1542</v>
      </c>
      <c r="CA244" s="1" t="s">
        <v>51</v>
      </c>
      <c r="CB244" s="1" t="s">
        <v>51</v>
      </c>
      <c r="CC244" s="32">
        <v>40458</v>
      </c>
      <c r="CD244" s="1">
        <v>60</v>
      </c>
      <c r="CE244" s="1">
        <v>30</v>
      </c>
      <c r="CI244" s="1" t="s">
        <v>2190</v>
      </c>
      <c r="CJ244" s="1" t="s">
        <v>51</v>
      </c>
      <c r="CK244" s="32">
        <v>45567</v>
      </c>
      <c r="CL244" s="1" t="s">
        <v>51</v>
      </c>
      <c r="CM244" s="32">
        <v>45573</v>
      </c>
      <c r="CN244" s="1">
        <v>14.0673662019069</v>
      </c>
      <c r="CO244" s="1" t="s">
        <v>1537</v>
      </c>
      <c r="CP244" s="1" t="s">
        <v>1796</v>
      </c>
      <c r="CQ244" s="1" t="s">
        <v>1539</v>
      </c>
      <c r="CR244" s="1" t="s">
        <v>1540</v>
      </c>
      <c r="CS244" s="1" t="s">
        <v>43</v>
      </c>
      <c r="CT244" s="1" t="s">
        <v>1583</v>
      </c>
      <c r="CU244" s="1" t="s">
        <v>2191</v>
      </c>
      <c r="CY244" s="1" t="s">
        <v>1530</v>
      </c>
      <c r="CZ244" s="1" t="s">
        <v>1531</v>
      </c>
      <c r="DA244" s="1" t="s">
        <v>1532</v>
      </c>
      <c r="DB244" s="1" t="s">
        <v>1533</v>
      </c>
      <c r="DC244" s="1" t="s">
        <v>1534</v>
      </c>
      <c r="DD244" s="1" t="s">
        <v>45</v>
      </c>
      <c r="DE244" s="1" t="s">
        <v>1525</v>
      </c>
      <c r="DF244" s="1" t="s">
        <v>68</v>
      </c>
      <c r="DG244" s="1" t="s">
        <v>1525</v>
      </c>
      <c r="DH244" s="1" t="s">
        <v>45</v>
      </c>
      <c r="DM244" s="1" t="s">
        <v>45</v>
      </c>
      <c r="DO244" s="1" t="s">
        <v>45</v>
      </c>
      <c r="DQ244" s="1" t="s">
        <v>45</v>
      </c>
      <c r="DT244" s="32">
        <v>45630</v>
      </c>
      <c r="DU244" s="1" t="s">
        <v>1543</v>
      </c>
      <c r="DV244" s="1">
        <v>170.66360052562399</v>
      </c>
      <c r="DW244" s="1" t="s">
        <v>45</v>
      </c>
      <c r="DY244" s="32">
        <v>45819</v>
      </c>
      <c r="DZ244" s="1" t="s">
        <v>1544</v>
      </c>
    </row>
    <row r="245" spans="1:130" ht="15.75" customHeight="1" x14ac:dyDescent="0.2">
      <c r="A245" s="8" t="s">
        <v>1235</v>
      </c>
      <c r="B245" s="32">
        <v>37021</v>
      </c>
      <c r="C245" s="32">
        <v>45551</v>
      </c>
      <c r="D245" s="1">
        <v>23.354346769611901</v>
      </c>
      <c r="E245" s="1" t="s">
        <v>1523</v>
      </c>
      <c r="F245" s="1" t="s">
        <v>1524</v>
      </c>
      <c r="G245" s="1" t="s">
        <v>1545</v>
      </c>
      <c r="H245" s="1" t="s">
        <v>51</v>
      </c>
      <c r="I245" s="1">
        <v>1.708</v>
      </c>
      <c r="J245" s="1" t="s">
        <v>51</v>
      </c>
      <c r="K245" s="1">
        <v>69.2</v>
      </c>
      <c r="L245" s="1">
        <v>23.720856254353301</v>
      </c>
      <c r="M245" s="1" t="s">
        <v>45</v>
      </c>
      <c r="N245" s="1" t="s">
        <v>45</v>
      </c>
      <c r="O245" s="1" t="s">
        <v>45</v>
      </c>
      <c r="P245" s="1" t="s">
        <v>45</v>
      </c>
      <c r="Q245" s="1" t="s">
        <v>45</v>
      </c>
      <c r="R245" s="1" t="s">
        <v>45</v>
      </c>
      <c r="S245" s="1" t="s">
        <v>45</v>
      </c>
      <c r="T245" s="1" t="s">
        <v>45</v>
      </c>
      <c r="U245" s="1" t="s">
        <v>45</v>
      </c>
      <c r="V245" s="1" t="s">
        <v>45</v>
      </c>
      <c r="W245" s="1" t="s">
        <v>45</v>
      </c>
      <c r="X245" s="1" t="s">
        <v>45</v>
      </c>
      <c r="Y245" s="1" t="s">
        <v>45</v>
      </c>
      <c r="Z245" s="1" t="s">
        <v>45</v>
      </c>
      <c r="AA245" s="1" t="s">
        <v>45</v>
      </c>
      <c r="AB245" s="1" t="s">
        <v>45</v>
      </c>
      <c r="AC245" s="1" t="s">
        <v>45</v>
      </c>
      <c r="AD245" s="1" t="s">
        <v>45</v>
      </c>
      <c r="AE245" s="1" t="s">
        <v>45</v>
      </c>
      <c r="AF245" s="32">
        <v>45574</v>
      </c>
      <c r="AG245" s="1">
        <v>23.417318630772701</v>
      </c>
      <c r="AH245" s="1" t="s">
        <v>1526</v>
      </c>
      <c r="AI245" s="1" t="s">
        <v>1527</v>
      </c>
      <c r="AJ245" s="1" t="s">
        <v>45</v>
      </c>
      <c r="AK245" s="1" t="s">
        <v>45</v>
      </c>
      <c r="AL245" s="1" t="s">
        <v>45</v>
      </c>
      <c r="AM245" s="1" t="s">
        <v>51</v>
      </c>
      <c r="AN245" s="1" t="s">
        <v>45</v>
      </c>
      <c r="AO245" s="1" t="s">
        <v>51</v>
      </c>
      <c r="AP245" s="1" t="s">
        <v>45</v>
      </c>
      <c r="AQ245" s="1" t="s">
        <v>45</v>
      </c>
      <c r="AR245" s="1" t="s">
        <v>45</v>
      </c>
      <c r="AT245" s="1" t="s">
        <v>1583</v>
      </c>
      <c r="AU245" s="1" t="s">
        <v>2066</v>
      </c>
      <c r="AW245" s="33" t="s">
        <v>1464</v>
      </c>
      <c r="AX245" s="3"/>
      <c r="AY245" s="33" t="s">
        <v>1621</v>
      </c>
      <c r="BB245" s="1" t="s">
        <v>1530</v>
      </c>
      <c r="BC245" s="1" t="s">
        <v>1531</v>
      </c>
      <c r="BE245" s="1" t="s">
        <v>1533</v>
      </c>
      <c r="BF245" s="1" t="s">
        <v>1534</v>
      </c>
      <c r="BG245" s="1" t="s">
        <v>45</v>
      </c>
      <c r="BH245" s="1" t="s">
        <v>46</v>
      </c>
      <c r="BI245" s="1" t="s">
        <v>1535</v>
      </c>
      <c r="BJ245" s="1" t="s">
        <v>45</v>
      </c>
      <c r="BK245" s="1" t="s">
        <v>1536</v>
      </c>
      <c r="BL245" s="32">
        <v>45574</v>
      </c>
      <c r="BM245" s="1" t="s">
        <v>1236</v>
      </c>
      <c r="BO245" s="1" t="s">
        <v>1537</v>
      </c>
      <c r="BP245" s="1" t="s">
        <v>1538</v>
      </c>
      <c r="BQ245" s="1" t="s">
        <v>1647</v>
      </c>
      <c r="BR245" s="1" t="s">
        <v>1540</v>
      </c>
      <c r="BS245" s="1" t="s">
        <v>177</v>
      </c>
      <c r="BU245" s="1" t="s">
        <v>45</v>
      </c>
      <c r="BW245" s="1" t="s">
        <v>1542</v>
      </c>
      <c r="CA245" s="1" t="s">
        <v>45</v>
      </c>
      <c r="CB245" s="1" t="s">
        <v>45</v>
      </c>
      <c r="CJ245" s="1" t="s">
        <v>45</v>
      </c>
      <c r="DH245" s="1" t="s">
        <v>45</v>
      </c>
      <c r="DM245" s="1" t="s">
        <v>45</v>
      </c>
      <c r="DO245" s="1" t="s">
        <v>45</v>
      </c>
      <c r="DQ245" s="1" t="s">
        <v>45</v>
      </c>
      <c r="DT245" s="32">
        <v>45755</v>
      </c>
      <c r="DU245" s="1" t="s">
        <v>1598</v>
      </c>
      <c r="DV245" s="1">
        <v>5.9461235216819901</v>
      </c>
      <c r="DW245" s="1" t="s">
        <v>45</v>
      </c>
      <c r="DY245" s="32">
        <v>45820</v>
      </c>
      <c r="DZ245" s="1" t="s">
        <v>1544</v>
      </c>
    </row>
    <row r="246" spans="1:130" ht="15.75" customHeight="1" x14ac:dyDescent="0.2">
      <c r="A246" s="8" t="s">
        <v>1239</v>
      </c>
      <c r="B246" s="32">
        <v>19668</v>
      </c>
      <c r="C246" s="32">
        <v>45327</v>
      </c>
      <c r="D246" s="1">
        <v>70.251955892318094</v>
      </c>
      <c r="E246" s="1" t="s">
        <v>1523</v>
      </c>
      <c r="F246" s="1" t="s">
        <v>1524</v>
      </c>
      <c r="G246" s="1" t="s">
        <v>1545</v>
      </c>
      <c r="H246" s="1" t="s">
        <v>51</v>
      </c>
      <c r="I246" s="1">
        <v>1.673</v>
      </c>
      <c r="J246" s="1" t="s">
        <v>51</v>
      </c>
      <c r="K246" s="1">
        <v>139.30000000000001</v>
      </c>
      <c r="L246" s="1">
        <v>49.769036656521102</v>
      </c>
      <c r="M246" s="1" t="s">
        <v>51</v>
      </c>
      <c r="N246" s="1" t="s">
        <v>45</v>
      </c>
      <c r="O246" s="1" t="s">
        <v>45</v>
      </c>
      <c r="P246" s="1" t="s">
        <v>45</v>
      </c>
      <c r="Q246" s="1" t="s">
        <v>45</v>
      </c>
      <c r="R246" s="1" t="s">
        <v>45</v>
      </c>
      <c r="S246" s="1" t="s">
        <v>45</v>
      </c>
      <c r="T246" s="1" t="s">
        <v>45</v>
      </c>
      <c r="U246" s="1" t="s">
        <v>45</v>
      </c>
      <c r="V246" s="1" t="s">
        <v>45</v>
      </c>
      <c r="W246" s="1" t="s">
        <v>45</v>
      </c>
      <c r="X246" s="1" t="s">
        <v>45</v>
      </c>
      <c r="Y246" s="1" t="s">
        <v>45</v>
      </c>
      <c r="Z246" s="1" t="s">
        <v>45</v>
      </c>
      <c r="AA246" s="1" t="s">
        <v>45</v>
      </c>
      <c r="AB246" s="1" t="s">
        <v>45</v>
      </c>
      <c r="AC246" s="1" t="s">
        <v>45</v>
      </c>
      <c r="AD246" s="1" t="s">
        <v>45</v>
      </c>
      <c r="AE246" s="1" t="s">
        <v>45</v>
      </c>
      <c r="AF246" s="32">
        <v>45575</v>
      </c>
      <c r="AG246" s="1">
        <v>70.930956830051201</v>
      </c>
      <c r="AH246" s="1" t="s">
        <v>1558</v>
      </c>
      <c r="AI246" s="1" t="s">
        <v>1527</v>
      </c>
      <c r="AJ246" s="1" t="s">
        <v>45</v>
      </c>
      <c r="AK246" s="1" t="s">
        <v>45</v>
      </c>
      <c r="AL246" s="1" t="s">
        <v>45</v>
      </c>
      <c r="AM246" s="1" t="s">
        <v>45</v>
      </c>
      <c r="AN246" s="1" t="s">
        <v>45</v>
      </c>
      <c r="AO246" s="1" t="s">
        <v>45</v>
      </c>
      <c r="AP246" s="1" t="s">
        <v>45</v>
      </c>
      <c r="AQ246" s="1" t="s">
        <v>45</v>
      </c>
      <c r="AR246" s="1" t="s">
        <v>51</v>
      </c>
      <c r="AS246" s="1" t="s">
        <v>2192</v>
      </c>
      <c r="AT246" s="1" t="s">
        <v>1528</v>
      </c>
      <c r="AW246" s="33" t="s">
        <v>1463</v>
      </c>
      <c r="AX246" s="3" t="s">
        <v>1528</v>
      </c>
      <c r="AY246" s="3"/>
      <c r="AZ246" s="1">
        <v>4</v>
      </c>
      <c r="BA246" s="1" t="s">
        <v>1529</v>
      </c>
      <c r="BB246" s="1" t="s">
        <v>1530</v>
      </c>
      <c r="BE246" s="1" t="s">
        <v>1533</v>
      </c>
      <c r="BF246" s="1" t="s">
        <v>1534</v>
      </c>
      <c r="BG246" s="1" t="s">
        <v>51</v>
      </c>
      <c r="BH246" s="1" t="s">
        <v>46</v>
      </c>
      <c r="BI246" s="1" t="s">
        <v>1535</v>
      </c>
      <c r="BJ246" s="1" t="s">
        <v>1525</v>
      </c>
      <c r="BK246" s="1" t="s">
        <v>1536</v>
      </c>
      <c r="BL246" s="32">
        <v>45575</v>
      </c>
      <c r="BM246" s="1" t="s">
        <v>1240</v>
      </c>
      <c r="BO246" s="1" t="s">
        <v>1537</v>
      </c>
      <c r="BP246" s="1" t="s">
        <v>1538</v>
      </c>
      <c r="BQ246" s="1" t="s">
        <v>1605</v>
      </c>
      <c r="BR246" s="1" t="s">
        <v>1540</v>
      </c>
      <c r="BS246" s="1" t="s">
        <v>50</v>
      </c>
      <c r="BU246" s="1" t="s">
        <v>1525</v>
      </c>
      <c r="BW246" s="1" t="s">
        <v>1563</v>
      </c>
      <c r="BZ246" s="1" t="s">
        <v>2193</v>
      </c>
      <c r="CA246" s="1" t="s">
        <v>51</v>
      </c>
      <c r="CB246" s="1" t="s">
        <v>51</v>
      </c>
      <c r="CD246" s="1">
        <v>54</v>
      </c>
      <c r="CE246" s="1">
        <v>30</v>
      </c>
      <c r="CF246" s="1" t="s">
        <v>2194</v>
      </c>
      <c r="CJ246" s="1" t="s">
        <v>45</v>
      </c>
      <c r="DH246" s="1" t="s">
        <v>45</v>
      </c>
      <c r="DM246" s="1" t="s">
        <v>45</v>
      </c>
      <c r="DO246" s="1" t="s">
        <v>45</v>
      </c>
      <c r="DQ246" s="1" t="s">
        <v>45</v>
      </c>
      <c r="DT246" s="32">
        <v>45677</v>
      </c>
      <c r="DU246" s="1" t="s">
        <v>1598</v>
      </c>
      <c r="DV246" s="1">
        <v>3.3508541392904001</v>
      </c>
      <c r="DW246" s="1" t="s">
        <v>45</v>
      </c>
      <c r="DY246" s="32">
        <v>45820</v>
      </c>
      <c r="DZ246" s="1" t="s">
        <v>1544</v>
      </c>
    </row>
    <row r="247" spans="1:130" ht="15.75" customHeight="1" x14ac:dyDescent="0.2">
      <c r="A247" s="8" t="s">
        <v>1245</v>
      </c>
      <c r="B247" s="32">
        <v>38768</v>
      </c>
      <c r="C247" s="32">
        <v>45546</v>
      </c>
      <c r="D247" s="1">
        <v>18.5575336933681</v>
      </c>
      <c r="E247" s="1" t="s">
        <v>1587</v>
      </c>
      <c r="F247" s="1" t="s">
        <v>1578</v>
      </c>
      <c r="G247" s="1" t="s">
        <v>1574</v>
      </c>
      <c r="H247" s="1" t="s">
        <v>51</v>
      </c>
      <c r="I247" s="1">
        <v>1.78</v>
      </c>
      <c r="J247" s="1" t="s">
        <v>51</v>
      </c>
      <c r="K247" s="1">
        <v>61.1</v>
      </c>
      <c r="L247" s="1">
        <v>19.284181290241101</v>
      </c>
      <c r="M247" s="1" t="s">
        <v>45</v>
      </c>
      <c r="N247" s="1" t="s">
        <v>45</v>
      </c>
      <c r="O247" s="1" t="s">
        <v>45</v>
      </c>
      <c r="P247" s="1" t="s">
        <v>45</v>
      </c>
      <c r="Q247" s="1" t="s">
        <v>45</v>
      </c>
      <c r="R247" s="1" t="s">
        <v>45</v>
      </c>
      <c r="S247" s="1" t="s">
        <v>45</v>
      </c>
      <c r="T247" s="1" t="s">
        <v>45</v>
      </c>
      <c r="U247" s="1" t="s">
        <v>45</v>
      </c>
      <c r="V247" s="1" t="s">
        <v>45</v>
      </c>
      <c r="W247" s="1" t="s">
        <v>45</v>
      </c>
      <c r="X247" s="1" t="s">
        <v>45</v>
      </c>
      <c r="Y247" s="1" t="s">
        <v>45</v>
      </c>
      <c r="Z247" s="1" t="s">
        <v>45</v>
      </c>
      <c r="AA247" s="1" t="s">
        <v>45</v>
      </c>
      <c r="AB247" s="1" t="s">
        <v>45</v>
      </c>
      <c r="AC247" s="1" t="s">
        <v>45</v>
      </c>
      <c r="AD247" s="1" t="s">
        <v>45</v>
      </c>
      <c r="AE247" s="1" t="s">
        <v>45</v>
      </c>
      <c r="AF247" s="32">
        <v>45576</v>
      </c>
      <c r="AG247" s="1">
        <v>18.639670903577699</v>
      </c>
      <c r="AH247" s="1" t="s">
        <v>1526</v>
      </c>
      <c r="AI247" s="1" t="s">
        <v>1527</v>
      </c>
      <c r="AJ247" s="1" t="s">
        <v>45</v>
      </c>
      <c r="AK247" s="1" t="s">
        <v>45</v>
      </c>
      <c r="AL247" s="1" t="s">
        <v>45</v>
      </c>
      <c r="AM247" s="1" t="s">
        <v>51</v>
      </c>
      <c r="AN247" s="1" t="s">
        <v>45</v>
      </c>
      <c r="AO247" s="1" t="s">
        <v>51</v>
      </c>
      <c r="AP247" s="1" t="s">
        <v>51</v>
      </c>
      <c r="AQ247" s="1" t="s">
        <v>45</v>
      </c>
      <c r="AR247" s="1" t="s">
        <v>45</v>
      </c>
      <c r="AT247" s="1" t="s">
        <v>1546</v>
      </c>
      <c r="AV247" s="1" t="s">
        <v>2195</v>
      </c>
      <c r="AW247" s="33" t="s">
        <v>1463</v>
      </c>
      <c r="AX247" s="33" t="s">
        <v>2196</v>
      </c>
      <c r="AY247" s="3"/>
      <c r="AZ247" s="1">
        <v>4</v>
      </c>
      <c r="BA247" s="1" t="s">
        <v>1529</v>
      </c>
      <c r="BB247" s="1" t="s">
        <v>1530</v>
      </c>
      <c r="BC247" s="1" t="s">
        <v>1531</v>
      </c>
      <c r="BD247" s="1" t="s">
        <v>1532</v>
      </c>
      <c r="BE247" s="1" t="s">
        <v>1533</v>
      </c>
      <c r="BF247" s="1" t="s">
        <v>1534</v>
      </c>
      <c r="BG247" s="1" t="s">
        <v>45</v>
      </c>
      <c r="BH247" s="1" t="s">
        <v>46</v>
      </c>
      <c r="BI247" s="1" t="s">
        <v>1535</v>
      </c>
      <c r="BJ247" s="1" t="s">
        <v>1525</v>
      </c>
      <c r="BK247" s="1" t="s">
        <v>1536</v>
      </c>
      <c r="BL247" s="32">
        <v>45576</v>
      </c>
      <c r="BM247" s="1" t="s">
        <v>1246</v>
      </c>
      <c r="BO247" s="1" t="s">
        <v>1537</v>
      </c>
      <c r="BP247" s="1" t="s">
        <v>1538</v>
      </c>
      <c r="BQ247" s="1" t="s">
        <v>1539</v>
      </c>
      <c r="BR247" s="1" t="s">
        <v>1623</v>
      </c>
      <c r="BS247" s="1" t="s">
        <v>90</v>
      </c>
      <c r="BU247" s="1" t="s">
        <v>51</v>
      </c>
      <c r="BV247" s="1" t="s">
        <v>1541</v>
      </c>
      <c r="BW247" s="1" t="s">
        <v>1542</v>
      </c>
      <c r="CA247" s="1" t="s">
        <v>45</v>
      </c>
      <c r="CB247" s="1" t="s">
        <v>51</v>
      </c>
      <c r="CC247" s="32">
        <v>45596</v>
      </c>
      <c r="CD247" s="1">
        <v>59.4</v>
      </c>
      <c r="CE247" s="1">
        <v>33</v>
      </c>
      <c r="CJ247" s="1" t="s">
        <v>51</v>
      </c>
      <c r="CK247" s="32">
        <v>45672</v>
      </c>
      <c r="CL247" s="1" t="s">
        <v>45</v>
      </c>
      <c r="DH247" s="1" t="s">
        <v>45</v>
      </c>
      <c r="DM247" s="1" t="s">
        <v>45</v>
      </c>
      <c r="DO247" s="1" t="s">
        <v>45</v>
      </c>
      <c r="DQ247" s="1" t="s">
        <v>45</v>
      </c>
      <c r="DT247" s="32">
        <v>45712</v>
      </c>
      <c r="DU247" s="1" t="s">
        <v>1543</v>
      </c>
      <c r="DV247" s="1">
        <v>4.4678055190538704</v>
      </c>
      <c r="DW247" s="1" t="s">
        <v>51</v>
      </c>
      <c r="DX247" s="1" t="s">
        <v>2197</v>
      </c>
      <c r="DY247" s="32">
        <v>45820</v>
      </c>
      <c r="DZ247" s="1" t="s">
        <v>1544</v>
      </c>
    </row>
    <row r="248" spans="1:130" ht="15.75" customHeight="1" x14ac:dyDescent="0.2">
      <c r="A248" s="8" t="s">
        <v>1251</v>
      </c>
      <c r="B248" s="32">
        <v>27154</v>
      </c>
      <c r="C248" s="32">
        <v>45522</v>
      </c>
      <c r="D248" s="1">
        <v>50.289875904364898</v>
      </c>
      <c r="E248" s="1" t="s">
        <v>1523</v>
      </c>
      <c r="F248" s="1" t="s">
        <v>1524</v>
      </c>
      <c r="G248" s="1" t="s">
        <v>1574</v>
      </c>
      <c r="H248" s="1" t="s">
        <v>51</v>
      </c>
      <c r="I248" s="1">
        <v>1.702</v>
      </c>
      <c r="J248" s="1" t="s">
        <v>51</v>
      </c>
      <c r="K248" s="1">
        <v>85.6</v>
      </c>
      <c r="L248" s="1">
        <v>29.549807304878001</v>
      </c>
      <c r="M248" s="1" t="s">
        <v>45</v>
      </c>
      <c r="N248" s="1" t="s">
        <v>45</v>
      </c>
      <c r="O248" s="1" t="s">
        <v>45</v>
      </c>
      <c r="P248" s="1" t="s">
        <v>45</v>
      </c>
      <c r="Q248" s="1" t="s">
        <v>45</v>
      </c>
      <c r="R248" s="1" t="s">
        <v>45</v>
      </c>
      <c r="S248" s="1" t="s">
        <v>45</v>
      </c>
      <c r="T248" s="1" t="s">
        <v>45</v>
      </c>
      <c r="U248" s="1" t="s">
        <v>45</v>
      </c>
      <c r="V248" s="1" t="s">
        <v>45</v>
      </c>
      <c r="W248" s="1" t="s">
        <v>45</v>
      </c>
      <c r="X248" s="1" t="s">
        <v>45</v>
      </c>
      <c r="Y248" s="1" t="s">
        <v>45</v>
      </c>
      <c r="Z248" s="1" t="s">
        <v>45</v>
      </c>
      <c r="AA248" s="1" t="s">
        <v>45</v>
      </c>
      <c r="AB248" s="1" t="s">
        <v>45</v>
      </c>
      <c r="AC248" s="1" t="s">
        <v>45</v>
      </c>
      <c r="AD248" s="1" t="s">
        <v>45</v>
      </c>
      <c r="AE248" s="1" t="s">
        <v>45</v>
      </c>
      <c r="AF248" s="32">
        <v>45583</v>
      </c>
      <c r="AG248" s="1">
        <v>50.456888231791197</v>
      </c>
      <c r="AH248" s="1" t="s">
        <v>1526</v>
      </c>
      <c r="AI248" s="1" t="s">
        <v>1527</v>
      </c>
      <c r="AJ248" s="1" t="s">
        <v>45</v>
      </c>
      <c r="AK248" s="1" t="s">
        <v>51</v>
      </c>
      <c r="AL248" s="1" t="s">
        <v>45</v>
      </c>
      <c r="AM248" s="1" t="s">
        <v>51</v>
      </c>
      <c r="AN248" s="1" t="s">
        <v>45</v>
      </c>
      <c r="AO248" s="1" t="s">
        <v>45</v>
      </c>
      <c r="AP248" s="1" t="s">
        <v>45</v>
      </c>
      <c r="AQ248" s="1" t="s">
        <v>51</v>
      </c>
      <c r="AR248" s="1" t="s">
        <v>51</v>
      </c>
      <c r="AS248" s="1" t="s">
        <v>2198</v>
      </c>
      <c r="AT248" s="1" t="s">
        <v>1546</v>
      </c>
      <c r="AV248" s="1" t="s">
        <v>2199</v>
      </c>
      <c r="AW248" s="33" t="s">
        <v>1463</v>
      </c>
      <c r="AX248" s="33" t="s">
        <v>1547</v>
      </c>
      <c r="AY248" s="3"/>
      <c r="AZ248" s="1">
        <v>4</v>
      </c>
      <c r="BA248" s="1" t="s">
        <v>1529</v>
      </c>
      <c r="BB248" s="1" t="s">
        <v>1530</v>
      </c>
      <c r="BC248" s="1" t="s">
        <v>1531</v>
      </c>
      <c r="BD248" s="1" t="s">
        <v>1532</v>
      </c>
      <c r="BE248" s="1" t="s">
        <v>1603</v>
      </c>
      <c r="BF248" s="1" t="s">
        <v>1534</v>
      </c>
      <c r="BG248" s="1" t="s">
        <v>51</v>
      </c>
      <c r="BH248" s="1" t="s">
        <v>46</v>
      </c>
      <c r="BI248" s="1" t="s">
        <v>1535</v>
      </c>
      <c r="BJ248" s="1" t="s">
        <v>1525</v>
      </c>
      <c r="BK248" s="1" t="s">
        <v>1536</v>
      </c>
      <c r="BL248" s="32">
        <v>45583</v>
      </c>
      <c r="BM248" s="1" t="s">
        <v>2200</v>
      </c>
      <c r="BO248" s="1" t="s">
        <v>1537</v>
      </c>
      <c r="BP248" s="1" t="s">
        <v>1538</v>
      </c>
      <c r="BQ248" s="1" t="s">
        <v>1539</v>
      </c>
      <c r="BR248" s="1" t="s">
        <v>1540</v>
      </c>
      <c r="BS248" s="1" t="s">
        <v>50</v>
      </c>
      <c r="BU248" s="1" t="s">
        <v>1525</v>
      </c>
      <c r="BW248" s="1" t="s">
        <v>1563</v>
      </c>
      <c r="BZ248" s="1" t="s">
        <v>2201</v>
      </c>
      <c r="CA248" s="1" t="s">
        <v>51</v>
      </c>
      <c r="CB248" s="1" t="s">
        <v>51</v>
      </c>
      <c r="CF248" s="1" t="s">
        <v>2201</v>
      </c>
      <c r="CJ248" s="1" t="s">
        <v>45</v>
      </c>
      <c r="DH248" s="1" t="s">
        <v>45</v>
      </c>
      <c r="DM248" s="1" t="s">
        <v>45</v>
      </c>
      <c r="DO248" s="1" t="s">
        <v>45</v>
      </c>
      <c r="DQ248" s="1" t="s">
        <v>45</v>
      </c>
      <c r="DT248" s="32">
        <v>45790</v>
      </c>
      <c r="DU248" s="1" t="s">
        <v>1598</v>
      </c>
      <c r="DV248" s="1">
        <v>6.8002628120893496</v>
      </c>
      <c r="DW248" s="1" t="s">
        <v>45</v>
      </c>
      <c r="DY248" s="32">
        <v>45820</v>
      </c>
      <c r="DZ248" s="1" t="s">
        <v>1544</v>
      </c>
    </row>
    <row r="249" spans="1:130" ht="15.75" customHeight="1" x14ac:dyDescent="0.2">
      <c r="A249" s="8" t="s">
        <v>1258</v>
      </c>
      <c r="B249" s="32">
        <v>31830</v>
      </c>
      <c r="C249" s="32">
        <v>45488</v>
      </c>
      <c r="D249" s="1">
        <v>37.394333901449002</v>
      </c>
      <c r="E249" s="1" t="s">
        <v>1523</v>
      </c>
      <c r="F249" s="1" t="s">
        <v>1524</v>
      </c>
      <c r="G249" s="1" t="s">
        <v>1574</v>
      </c>
      <c r="H249" s="1" t="s">
        <v>51</v>
      </c>
      <c r="I249" s="1">
        <v>1.865</v>
      </c>
      <c r="J249" s="1" t="s">
        <v>51</v>
      </c>
      <c r="K249" s="1">
        <v>104.3</v>
      </c>
      <c r="L249" s="1">
        <v>29.9865592363921</v>
      </c>
      <c r="M249" s="1" t="s">
        <v>45</v>
      </c>
      <c r="N249" s="1" t="s">
        <v>45</v>
      </c>
      <c r="O249" s="1" t="s">
        <v>45</v>
      </c>
      <c r="P249" s="1" t="s">
        <v>45</v>
      </c>
      <c r="Q249" s="1" t="s">
        <v>45</v>
      </c>
      <c r="R249" s="1" t="s">
        <v>45</v>
      </c>
      <c r="S249" s="1" t="s">
        <v>45</v>
      </c>
      <c r="T249" s="1" t="s">
        <v>45</v>
      </c>
      <c r="U249" s="1" t="s">
        <v>45</v>
      </c>
      <c r="V249" s="1" t="s">
        <v>45</v>
      </c>
      <c r="W249" s="1" t="s">
        <v>45</v>
      </c>
      <c r="X249" s="1" t="s">
        <v>45</v>
      </c>
      <c r="Y249" s="1" t="s">
        <v>45</v>
      </c>
      <c r="Z249" s="1" t="s">
        <v>45</v>
      </c>
      <c r="AA249" s="1" t="s">
        <v>45</v>
      </c>
      <c r="AB249" s="1" t="s">
        <v>45</v>
      </c>
      <c r="AC249" s="1" t="s">
        <v>45</v>
      </c>
      <c r="AD249" s="1" t="s">
        <v>45</v>
      </c>
      <c r="AE249" s="1" t="s">
        <v>45</v>
      </c>
      <c r="AF249" s="32">
        <v>45586</v>
      </c>
      <c r="AG249" s="1">
        <v>37.6626487881339</v>
      </c>
      <c r="AH249" s="1" t="s">
        <v>1526</v>
      </c>
      <c r="AI249" s="1" t="s">
        <v>1527</v>
      </c>
      <c r="AJ249" s="1" t="s">
        <v>45</v>
      </c>
      <c r="AK249" s="1" t="s">
        <v>51</v>
      </c>
      <c r="AL249" s="1" t="s">
        <v>45</v>
      </c>
      <c r="AM249" s="1" t="s">
        <v>51</v>
      </c>
      <c r="AN249" s="1" t="s">
        <v>45</v>
      </c>
      <c r="AO249" s="1" t="s">
        <v>45</v>
      </c>
      <c r="AP249" s="1" t="s">
        <v>45</v>
      </c>
      <c r="AQ249" s="1" t="s">
        <v>51</v>
      </c>
      <c r="AR249" s="1" t="s">
        <v>45</v>
      </c>
      <c r="AT249" s="1" t="s">
        <v>1601</v>
      </c>
      <c r="AW249" s="33" t="s">
        <v>1464</v>
      </c>
      <c r="AX249" s="3"/>
      <c r="AY249" s="3" t="s">
        <v>1601</v>
      </c>
      <c r="AZ249" s="1">
        <v>2</v>
      </c>
      <c r="BA249" s="1" t="s">
        <v>1821</v>
      </c>
      <c r="BB249" s="1" t="s">
        <v>1567</v>
      </c>
      <c r="BC249" s="1" t="s">
        <v>1602</v>
      </c>
      <c r="BD249" s="1" t="s">
        <v>1990</v>
      </c>
      <c r="BE249" s="1" t="s">
        <v>1525</v>
      </c>
      <c r="BG249" s="1" t="s">
        <v>1525</v>
      </c>
      <c r="BH249" s="1" t="s">
        <v>46</v>
      </c>
      <c r="BI249" s="1" t="s">
        <v>1535</v>
      </c>
      <c r="BJ249" s="1" t="s">
        <v>45</v>
      </c>
      <c r="BK249" s="1" t="s">
        <v>1536</v>
      </c>
      <c r="BL249" s="32">
        <v>45586</v>
      </c>
      <c r="BM249" s="1" t="s">
        <v>1259</v>
      </c>
      <c r="BO249" s="1" t="s">
        <v>1537</v>
      </c>
      <c r="BP249" s="1" t="s">
        <v>1538</v>
      </c>
      <c r="BQ249" s="1" t="s">
        <v>1539</v>
      </c>
      <c r="BR249" s="1" t="s">
        <v>1540</v>
      </c>
      <c r="BS249" s="1" t="s">
        <v>50</v>
      </c>
      <c r="BU249" s="1" t="s">
        <v>45</v>
      </c>
      <c r="BW249" s="1" t="s">
        <v>1542</v>
      </c>
      <c r="CA249" s="1" t="s">
        <v>45</v>
      </c>
      <c r="CB249" s="1" t="s">
        <v>45</v>
      </c>
      <c r="CG249" s="1" t="s">
        <v>2202</v>
      </c>
      <c r="CJ249" s="1" t="s">
        <v>45</v>
      </c>
      <c r="DH249" s="1" t="s">
        <v>45</v>
      </c>
      <c r="DM249" s="1" t="s">
        <v>45</v>
      </c>
      <c r="DO249" s="1" t="s">
        <v>45</v>
      </c>
      <c r="DQ249" s="1" t="s">
        <v>45</v>
      </c>
      <c r="DT249" s="32">
        <v>45782</v>
      </c>
      <c r="DU249" s="1" t="s">
        <v>1598</v>
      </c>
      <c r="DV249" s="1">
        <v>6.4388961892246996</v>
      </c>
      <c r="DW249" s="1" t="s">
        <v>45</v>
      </c>
      <c r="DY249" s="32">
        <v>45820</v>
      </c>
      <c r="DZ249" s="1" t="s">
        <v>1544</v>
      </c>
    </row>
    <row r="250" spans="1:130" ht="15.75" customHeight="1" x14ac:dyDescent="0.2">
      <c r="A250" s="8" t="s">
        <v>1261</v>
      </c>
      <c r="B250" s="32">
        <v>26069</v>
      </c>
      <c r="C250" s="32">
        <v>42969</v>
      </c>
      <c r="D250" s="1">
        <v>46.270628418105701</v>
      </c>
      <c r="E250" s="1" t="s">
        <v>1587</v>
      </c>
      <c r="F250" s="1" t="s">
        <v>1524</v>
      </c>
      <c r="G250" s="1" t="s">
        <v>1574</v>
      </c>
      <c r="H250" s="1" t="s">
        <v>51</v>
      </c>
      <c r="I250" s="1">
        <v>1.62</v>
      </c>
      <c r="J250" s="1" t="s">
        <v>51</v>
      </c>
      <c r="K250" s="1">
        <v>57.2</v>
      </c>
      <c r="L250" s="1">
        <v>21.7954580094497</v>
      </c>
      <c r="M250" s="1" t="s">
        <v>45</v>
      </c>
      <c r="N250" s="1" t="s">
        <v>45</v>
      </c>
      <c r="O250" s="1" t="s">
        <v>45</v>
      </c>
      <c r="P250" s="1" t="s">
        <v>45</v>
      </c>
      <c r="Q250" s="1" t="s">
        <v>45</v>
      </c>
      <c r="R250" s="1" t="s">
        <v>45</v>
      </c>
      <c r="S250" s="1" t="s">
        <v>45</v>
      </c>
      <c r="T250" s="1" t="s">
        <v>51</v>
      </c>
      <c r="U250" s="1" t="s">
        <v>45</v>
      </c>
      <c r="V250" s="1" t="s">
        <v>45</v>
      </c>
      <c r="W250" s="1" t="s">
        <v>45</v>
      </c>
      <c r="X250" s="1" t="s">
        <v>45</v>
      </c>
      <c r="Y250" s="1" t="s">
        <v>45</v>
      </c>
      <c r="Z250" s="1" t="s">
        <v>45</v>
      </c>
      <c r="AA250" s="1" t="s">
        <v>45</v>
      </c>
      <c r="AB250" s="1" t="s">
        <v>45</v>
      </c>
      <c r="AC250" s="1" t="s">
        <v>45</v>
      </c>
      <c r="AD250" s="1" t="s">
        <v>45</v>
      </c>
      <c r="AE250" s="1" t="s">
        <v>45</v>
      </c>
      <c r="AF250" s="32">
        <v>45587</v>
      </c>
      <c r="AG250" s="1">
        <v>53.4384689624016</v>
      </c>
      <c r="AH250" s="1" t="s">
        <v>1526</v>
      </c>
      <c r="AI250" s="1" t="s">
        <v>1527</v>
      </c>
      <c r="AJ250" s="1" t="s">
        <v>45</v>
      </c>
      <c r="AK250" s="1" t="s">
        <v>51</v>
      </c>
      <c r="AL250" s="1" t="s">
        <v>45</v>
      </c>
      <c r="AM250" s="1" t="s">
        <v>45</v>
      </c>
      <c r="AN250" s="1" t="s">
        <v>45</v>
      </c>
      <c r="AO250" s="1" t="s">
        <v>51</v>
      </c>
      <c r="AP250" s="1" t="s">
        <v>45</v>
      </c>
      <c r="AQ250" s="1" t="s">
        <v>45</v>
      </c>
      <c r="AR250" s="1" t="s">
        <v>45</v>
      </c>
      <c r="AT250" s="1" t="s">
        <v>1601</v>
      </c>
      <c r="AW250" s="33" t="s">
        <v>1464</v>
      </c>
      <c r="AX250" s="3"/>
      <c r="AY250" s="3" t="s">
        <v>1601</v>
      </c>
      <c r="AZ250" s="1">
        <v>2</v>
      </c>
      <c r="BA250" s="1" t="s">
        <v>1821</v>
      </c>
      <c r="BB250" s="1" t="s">
        <v>1567</v>
      </c>
      <c r="BC250" s="1" t="s">
        <v>1602</v>
      </c>
      <c r="BD250" s="1" t="s">
        <v>1990</v>
      </c>
      <c r="BE250" s="1" t="s">
        <v>1525</v>
      </c>
      <c r="BG250" s="1" t="s">
        <v>1525</v>
      </c>
      <c r="BH250" s="1" t="s">
        <v>46</v>
      </c>
      <c r="BI250" s="1" t="s">
        <v>1535</v>
      </c>
      <c r="BJ250" s="1" t="s">
        <v>45</v>
      </c>
      <c r="BK250" s="1" t="s">
        <v>1536</v>
      </c>
      <c r="BL250" s="32">
        <v>45587</v>
      </c>
      <c r="BM250" s="1" t="s">
        <v>1262</v>
      </c>
      <c r="BO250" s="1" t="s">
        <v>1537</v>
      </c>
      <c r="BP250" s="1" t="s">
        <v>1538</v>
      </c>
      <c r="BQ250" s="1" t="s">
        <v>1539</v>
      </c>
      <c r="BR250" s="1" t="s">
        <v>1540</v>
      </c>
      <c r="BS250" s="1" t="s">
        <v>50</v>
      </c>
      <c r="BU250" s="1" t="s">
        <v>45</v>
      </c>
      <c r="BW250" s="1" t="s">
        <v>1542</v>
      </c>
      <c r="CA250" s="1" t="s">
        <v>45</v>
      </c>
      <c r="CB250" s="1" t="s">
        <v>45</v>
      </c>
      <c r="CG250" s="1" t="s">
        <v>2203</v>
      </c>
      <c r="CJ250" s="1" t="s">
        <v>45</v>
      </c>
      <c r="DH250" s="1" t="s">
        <v>45</v>
      </c>
      <c r="DM250" s="1" t="s">
        <v>45</v>
      </c>
      <c r="DO250" s="1" t="s">
        <v>45</v>
      </c>
      <c r="DQ250" s="1" t="s">
        <v>45</v>
      </c>
      <c r="DT250" s="32">
        <v>45758</v>
      </c>
      <c r="DU250" s="1" t="s">
        <v>1598</v>
      </c>
      <c r="DV250" s="1">
        <v>5.6176084099868504</v>
      </c>
      <c r="DW250" s="1" t="s">
        <v>45</v>
      </c>
      <c r="DY250" s="32">
        <v>45820</v>
      </c>
      <c r="DZ250" s="1" t="s">
        <v>1544</v>
      </c>
    </row>
    <row r="251" spans="1:130" ht="15.75" customHeight="1" x14ac:dyDescent="0.2">
      <c r="A251" s="8" t="s">
        <v>1265</v>
      </c>
      <c r="B251" s="32">
        <v>17504</v>
      </c>
      <c r="C251" s="32">
        <v>45584</v>
      </c>
      <c r="D251" s="1">
        <v>76.880428756237293</v>
      </c>
      <c r="E251" s="1" t="s">
        <v>1523</v>
      </c>
      <c r="F251" s="1" t="s">
        <v>1524</v>
      </c>
      <c r="G251" s="1" t="s">
        <v>1574</v>
      </c>
      <c r="H251" s="1" t="s">
        <v>51</v>
      </c>
      <c r="I251" s="1">
        <v>1.7350000000000001</v>
      </c>
      <c r="J251" s="1" t="s">
        <v>51</v>
      </c>
      <c r="K251" s="1">
        <v>67.8</v>
      </c>
      <c r="L251" s="1">
        <v>22.5232333131244</v>
      </c>
      <c r="M251" s="1" t="s">
        <v>45</v>
      </c>
      <c r="N251" s="1" t="s">
        <v>45</v>
      </c>
      <c r="O251" s="1" t="s">
        <v>45</v>
      </c>
      <c r="P251" s="1" t="s">
        <v>45</v>
      </c>
      <c r="Q251" s="1" t="s">
        <v>45</v>
      </c>
      <c r="R251" s="1" t="s">
        <v>45</v>
      </c>
      <c r="S251" s="1" t="s">
        <v>45</v>
      </c>
      <c r="T251" s="1" t="s">
        <v>45</v>
      </c>
      <c r="U251" s="1" t="s">
        <v>45</v>
      </c>
      <c r="V251" s="1" t="s">
        <v>45</v>
      </c>
      <c r="W251" s="1" t="s">
        <v>45</v>
      </c>
      <c r="X251" s="1" t="s">
        <v>45</v>
      </c>
      <c r="Y251" s="1" t="s">
        <v>45</v>
      </c>
      <c r="Z251" s="1" t="s">
        <v>45</v>
      </c>
      <c r="AA251" s="1" t="s">
        <v>45</v>
      </c>
      <c r="AB251" s="1" t="s">
        <v>45</v>
      </c>
      <c r="AC251" s="1" t="s">
        <v>45</v>
      </c>
      <c r="AD251" s="1" t="s">
        <v>45</v>
      </c>
      <c r="AE251" s="1" t="s">
        <v>45</v>
      </c>
      <c r="AF251" s="32">
        <v>45587</v>
      </c>
      <c r="AG251" s="1">
        <v>76.888642477258202</v>
      </c>
      <c r="AH251" s="1" t="s">
        <v>1558</v>
      </c>
      <c r="AI251" s="1" t="s">
        <v>1527</v>
      </c>
      <c r="AJ251" s="1" t="s">
        <v>45</v>
      </c>
      <c r="AK251" s="1" t="s">
        <v>45</v>
      </c>
      <c r="AL251" s="1" t="s">
        <v>45</v>
      </c>
      <c r="AM251" s="1" t="s">
        <v>45</v>
      </c>
      <c r="AN251" s="1" t="s">
        <v>45</v>
      </c>
      <c r="AO251" s="1" t="s">
        <v>45</v>
      </c>
      <c r="AP251" s="1" t="s">
        <v>45</v>
      </c>
      <c r="AQ251" s="1" t="s">
        <v>45</v>
      </c>
      <c r="AR251" s="1" t="s">
        <v>45</v>
      </c>
      <c r="AT251" s="1" t="s">
        <v>1528</v>
      </c>
      <c r="AW251" s="33" t="s">
        <v>1463</v>
      </c>
      <c r="AX251" s="3" t="s">
        <v>1528</v>
      </c>
      <c r="AY251" s="3"/>
      <c r="AZ251" s="1">
        <v>4</v>
      </c>
      <c r="BA251" s="1" t="s">
        <v>1529</v>
      </c>
      <c r="BB251" s="1" t="s">
        <v>1530</v>
      </c>
      <c r="BC251" s="1" t="s">
        <v>1531</v>
      </c>
      <c r="BD251" s="1" t="s">
        <v>1532</v>
      </c>
      <c r="BE251" s="1" t="s">
        <v>1603</v>
      </c>
      <c r="BF251" s="1" t="s">
        <v>1534</v>
      </c>
      <c r="BG251" s="1" t="s">
        <v>1525</v>
      </c>
      <c r="BH251" s="1" t="s">
        <v>46</v>
      </c>
      <c r="BI251" s="1" t="s">
        <v>1535</v>
      </c>
      <c r="BJ251" s="1" t="s">
        <v>1525</v>
      </c>
      <c r="BK251" s="1" t="s">
        <v>1536</v>
      </c>
      <c r="BL251" s="32">
        <v>45587</v>
      </c>
      <c r="BM251" s="1" t="s">
        <v>1266</v>
      </c>
      <c r="BO251" s="1" t="s">
        <v>1537</v>
      </c>
      <c r="BP251" s="1" t="s">
        <v>1551</v>
      </c>
      <c r="BQ251" s="1" t="s">
        <v>1605</v>
      </c>
      <c r="BR251" s="1" t="s">
        <v>1552</v>
      </c>
      <c r="BS251" s="1" t="s">
        <v>50</v>
      </c>
      <c r="BU251" s="1" t="s">
        <v>51</v>
      </c>
      <c r="BV251" s="1" t="s">
        <v>1541</v>
      </c>
      <c r="BW251" s="1" t="s">
        <v>1542</v>
      </c>
      <c r="CA251" s="1" t="s">
        <v>51</v>
      </c>
      <c r="CB251" s="1" t="s">
        <v>51</v>
      </c>
      <c r="CC251" s="32">
        <v>45621</v>
      </c>
      <c r="CD251" s="1">
        <v>40.049999999999997</v>
      </c>
      <c r="CE251" s="1">
        <v>15</v>
      </c>
      <c r="CJ251" s="1" t="s">
        <v>51</v>
      </c>
      <c r="CK251" s="32">
        <v>45653</v>
      </c>
      <c r="CL251" s="1" t="s">
        <v>45</v>
      </c>
      <c r="DH251" s="1" t="s">
        <v>45</v>
      </c>
      <c r="DM251" s="1" t="s">
        <v>45</v>
      </c>
      <c r="DO251" s="1" t="s">
        <v>45</v>
      </c>
      <c r="DQ251" s="1" t="s">
        <v>45</v>
      </c>
      <c r="DT251" s="32">
        <v>45728</v>
      </c>
      <c r="DU251" s="1" t="s">
        <v>1543</v>
      </c>
      <c r="DV251" s="1">
        <v>4.6320630749014402</v>
      </c>
      <c r="DW251" s="1" t="s">
        <v>45</v>
      </c>
      <c r="DY251" s="32">
        <v>45820</v>
      </c>
      <c r="DZ251" s="1" t="s">
        <v>1544</v>
      </c>
    </row>
    <row r="252" spans="1:130" ht="15.75" customHeight="1" x14ac:dyDescent="0.2">
      <c r="A252" s="8" t="s">
        <v>1271</v>
      </c>
      <c r="B252" s="32">
        <v>17476</v>
      </c>
      <c r="E252" s="1" t="s">
        <v>1523</v>
      </c>
      <c r="F252" s="1" t="s">
        <v>1524</v>
      </c>
      <c r="G252" s="1" t="s">
        <v>1574</v>
      </c>
      <c r="H252" s="1" t="s">
        <v>51</v>
      </c>
      <c r="I252" s="1">
        <v>1.72</v>
      </c>
      <c r="J252" s="1" t="s">
        <v>51</v>
      </c>
      <c r="K252" s="1">
        <v>86.2</v>
      </c>
      <c r="L252" s="1">
        <v>29.137371552190299</v>
      </c>
      <c r="M252" s="1" t="s">
        <v>45</v>
      </c>
      <c r="N252" s="1" t="s">
        <v>45</v>
      </c>
      <c r="O252" s="1" t="s">
        <v>45</v>
      </c>
      <c r="P252" s="1" t="s">
        <v>51</v>
      </c>
      <c r="Q252" s="1" t="s">
        <v>45</v>
      </c>
      <c r="R252" s="1" t="s">
        <v>45</v>
      </c>
      <c r="S252" s="1" t="s">
        <v>45</v>
      </c>
      <c r="T252" s="1" t="s">
        <v>45</v>
      </c>
      <c r="U252" s="1" t="s">
        <v>45</v>
      </c>
      <c r="V252" s="1" t="s">
        <v>45</v>
      </c>
      <c r="W252" s="1" t="s">
        <v>45</v>
      </c>
      <c r="X252" s="1" t="s">
        <v>45</v>
      </c>
      <c r="Y252" s="1" t="s">
        <v>45</v>
      </c>
      <c r="Z252" s="1" t="s">
        <v>45</v>
      </c>
      <c r="AA252" s="1" t="s">
        <v>51</v>
      </c>
      <c r="AB252" s="1" t="s">
        <v>51</v>
      </c>
      <c r="AC252" s="1" t="s">
        <v>45</v>
      </c>
      <c r="AD252" s="1" t="s">
        <v>45</v>
      </c>
      <c r="AE252" s="1" t="s">
        <v>45</v>
      </c>
      <c r="AF252" s="32">
        <v>45594</v>
      </c>
      <c r="AG252" s="1">
        <v>76.984469222502796</v>
      </c>
      <c r="AH252" s="1" t="s">
        <v>1526</v>
      </c>
      <c r="AI252" s="1" t="s">
        <v>1527</v>
      </c>
      <c r="AJ252" s="1" t="s">
        <v>45</v>
      </c>
      <c r="AK252" s="1" t="s">
        <v>51</v>
      </c>
      <c r="AL252" s="1" t="s">
        <v>45</v>
      </c>
      <c r="AM252" s="1" t="s">
        <v>45</v>
      </c>
      <c r="AN252" s="1" t="s">
        <v>45</v>
      </c>
      <c r="AO252" s="1" t="s">
        <v>45</v>
      </c>
      <c r="AP252" s="1" t="s">
        <v>45</v>
      </c>
      <c r="AQ252" s="1" t="s">
        <v>45</v>
      </c>
      <c r="AR252" s="1" t="s">
        <v>45</v>
      </c>
      <c r="AT252" s="1" t="s">
        <v>1601</v>
      </c>
      <c r="AW252" s="33" t="s">
        <v>1464</v>
      </c>
      <c r="AX252" s="3"/>
      <c r="AY252" s="3" t="s">
        <v>1601</v>
      </c>
      <c r="AZ252" s="1">
        <v>2</v>
      </c>
      <c r="BA252" s="1" t="s">
        <v>1821</v>
      </c>
      <c r="BB252" s="1" t="s">
        <v>1567</v>
      </c>
      <c r="BC252" s="1" t="s">
        <v>1602</v>
      </c>
      <c r="BD252" s="1" t="s">
        <v>1990</v>
      </c>
      <c r="BE252" s="1" t="s">
        <v>1603</v>
      </c>
      <c r="BF252" s="1" t="s">
        <v>1534</v>
      </c>
      <c r="BG252" s="1" t="s">
        <v>1525</v>
      </c>
      <c r="BH252" s="1" t="s">
        <v>46</v>
      </c>
      <c r="BI252" s="1" t="s">
        <v>1535</v>
      </c>
      <c r="BJ252" s="1" t="s">
        <v>45</v>
      </c>
      <c r="BK252" s="1" t="s">
        <v>1536</v>
      </c>
      <c r="BL252" s="32">
        <v>45594</v>
      </c>
      <c r="BM252" s="1" t="s">
        <v>1272</v>
      </c>
      <c r="BO252" s="1" t="s">
        <v>1537</v>
      </c>
      <c r="BP252" s="1" t="s">
        <v>1551</v>
      </c>
      <c r="BQ252" s="1" t="s">
        <v>1539</v>
      </c>
      <c r="BR252" s="1" t="s">
        <v>1540</v>
      </c>
      <c r="BS252" s="1" t="s">
        <v>50</v>
      </c>
      <c r="BU252" s="1" t="s">
        <v>51</v>
      </c>
      <c r="BV252" s="1" t="s">
        <v>1541</v>
      </c>
      <c r="BW252" s="1" t="s">
        <v>1542</v>
      </c>
      <c r="CA252" s="1" t="s">
        <v>51</v>
      </c>
      <c r="CB252" s="1" t="s">
        <v>51</v>
      </c>
      <c r="CC252" s="32">
        <v>45621</v>
      </c>
      <c r="CD252" s="1">
        <v>28.8</v>
      </c>
      <c r="CE252" s="1">
        <v>16</v>
      </c>
      <c r="CF252" s="1" t="s">
        <v>2204</v>
      </c>
      <c r="CJ252" s="1" t="s">
        <v>51</v>
      </c>
      <c r="CK252" s="32">
        <v>45815</v>
      </c>
      <c r="CL252" s="1" t="s">
        <v>45</v>
      </c>
      <c r="DH252" s="1" t="s">
        <v>45</v>
      </c>
      <c r="DM252" s="1" t="s">
        <v>45</v>
      </c>
      <c r="DO252" s="1" t="s">
        <v>45</v>
      </c>
      <c r="DQ252" s="1" t="s">
        <v>45</v>
      </c>
      <c r="DT252" s="32">
        <v>45710</v>
      </c>
      <c r="DU252" s="1" t="s">
        <v>1543</v>
      </c>
      <c r="DV252" s="1">
        <v>3.8107752956635998</v>
      </c>
      <c r="DW252" s="1" t="s">
        <v>45</v>
      </c>
      <c r="DY252" s="32">
        <v>45820</v>
      </c>
      <c r="DZ252" s="1" t="s">
        <v>1544</v>
      </c>
    </row>
    <row r="253" spans="1:130" ht="15.75" customHeight="1" x14ac:dyDescent="0.2">
      <c r="A253" s="8" t="s">
        <v>1276</v>
      </c>
      <c r="B253" s="32">
        <v>38310</v>
      </c>
      <c r="C253" s="32">
        <v>45478</v>
      </c>
      <c r="D253" s="1">
        <v>19.625317426093599</v>
      </c>
      <c r="E253" s="1" t="s">
        <v>1523</v>
      </c>
      <c r="F253" s="1" t="s">
        <v>1524</v>
      </c>
      <c r="G253" s="1" t="s">
        <v>1574</v>
      </c>
      <c r="H253" s="1" t="s">
        <v>51</v>
      </c>
      <c r="I253" s="1">
        <v>2.0070000000000001</v>
      </c>
      <c r="J253" s="1" t="s">
        <v>51</v>
      </c>
      <c r="K253" s="1">
        <v>85.9</v>
      </c>
      <c r="L253" s="1">
        <v>21.325460539333001</v>
      </c>
      <c r="M253" s="1" t="s">
        <v>45</v>
      </c>
      <c r="N253" s="1" t="s">
        <v>45</v>
      </c>
      <c r="O253" s="1" t="s">
        <v>45</v>
      </c>
      <c r="P253" s="1" t="s">
        <v>45</v>
      </c>
      <c r="Q253" s="1" t="s">
        <v>45</v>
      </c>
      <c r="R253" s="1" t="s">
        <v>45</v>
      </c>
      <c r="S253" s="1" t="s">
        <v>45</v>
      </c>
      <c r="T253" s="1" t="s">
        <v>45</v>
      </c>
      <c r="U253" s="1" t="s">
        <v>45</v>
      </c>
      <c r="V253" s="1" t="s">
        <v>45</v>
      </c>
      <c r="W253" s="1" t="s">
        <v>45</v>
      </c>
      <c r="X253" s="1" t="s">
        <v>45</v>
      </c>
      <c r="Y253" s="1" t="s">
        <v>45</v>
      </c>
      <c r="Z253" s="1" t="s">
        <v>45</v>
      </c>
      <c r="AA253" s="1" t="s">
        <v>45</v>
      </c>
      <c r="AB253" s="1" t="s">
        <v>45</v>
      </c>
      <c r="AC253" s="1" t="s">
        <v>45</v>
      </c>
      <c r="AD253" s="1" t="s">
        <v>45</v>
      </c>
      <c r="AE253" s="1" t="s">
        <v>45</v>
      </c>
      <c r="AF253" s="32">
        <v>45601</v>
      </c>
      <c r="AG253" s="1">
        <v>19.962079987953199</v>
      </c>
      <c r="AH253" s="1" t="s">
        <v>1526</v>
      </c>
      <c r="AI253" s="1" t="s">
        <v>1527</v>
      </c>
      <c r="AJ253" s="1" t="s">
        <v>45</v>
      </c>
      <c r="AK253" s="1" t="s">
        <v>51</v>
      </c>
      <c r="AL253" s="1" t="s">
        <v>45</v>
      </c>
      <c r="AM253" s="1" t="s">
        <v>51</v>
      </c>
      <c r="AN253" s="1" t="s">
        <v>45</v>
      </c>
      <c r="AO253" s="1" t="s">
        <v>45</v>
      </c>
      <c r="AP253" s="1" t="s">
        <v>45</v>
      </c>
      <c r="AQ253" s="1" t="s">
        <v>51</v>
      </c>
      <c r="AR253" s="1" t="s">
        <v>45</v>
      </c>
      <c r="AT253" s="1" t="s">
        <v>1546</v>
      </c>
      <c r="AV253" s="1" t="s">
        <v>2155</v>
      </c>
      <c r="AW253" s="33" t="s">
        <v>1463</v>
      </c>
      <c r="AX253" s="33" t="s">
        <v>1547</v>
      </c>
      <c r="AY253" s="3"/>
      <c r="BB253" s="1" t="s">
        <v>1530</v>
      </c>
      <c r="BC253" s="1" t="s">
        <v>1531</v>
      </c>
      <c r="BD253" s="1" t="s">
        <v>1532</v>
      </c>
      <c r="BE253" s="1" t="s">
        <v>1533</v>
      </c>
      <c r="BF253" s="1" t="s">
        <v>1534</v>
      </c>
      <c r="BG253" s="1" t="s">
        <v>45</v>
      </c>
      <c r="BH253" s="1" t="s">
        <v>46</v>
      </c>
      <c r="BI253" s="1" t="s">
        <v>1535</v>
      </c>
      <c r="BJ253" s="1" t="s">
        <v>1525</v>
      </c>
      <c r="BK253" s="1" t="s">
        <v>1536</v>
      </c>
      <c r="BL253" s="32">
        <v>45601</v>
      </c>
      <c r="BM253" s="1" t="s">
        <v>1277</v>
      </c>
      <c r="BO253" s="1" t="s">
        <v>1537</v>
      </c>
      <c r="BP253" s="1" t="s">
        <v>1538</v>
      </c>
      <c r="BQ253" s="1" t="s">
        <v>1539</v>
      </c>
      <c r="BR253" s="1" t="s">
        <v>1552</v>
      </c>
      <c r="BS253" s="1" t="s">
        <v>106</v>
      </c>
      <c r="BU253" s="1" t="s">
        <v>45</v>
      </c>
      <c r="BW253" s="1" t="s">
        <v>1563</v>
      </c>
      <c r="BX253" s="32">
        <v>45730</v>
      </c>
      <c r="BY253" s="1">
        <v>12</v>
      </c>
      <c r="BZ253" s="1" t="s">
        <v>2205</v>
      </c>
      <c r="CA253" s="1" t="s">
        <v>51</v>
      </c>
      <c r="CB253" s="1" t="s">
        <v>51</v>
      </c>
      <c r="CC253" s="32">
        <v>45646</v>
      </c>
      <c r="CD253" s="1">
        <v>60</v>
      </c>
      <c r="CE253" s="1">
        <v>30</v>
      </c>
      <c r="CJ253" s="1" t="s">
        <v>45</v>
      </c>
      <c r="DH253" s="1" t="s">
        <v>45</v>
      </c>
      <c r="DM253" s="1" t="s">
        <v>45</v>
      </c>
      <c r="DO253" s="1" t="s">
        <v>45</v>
      </c>
      <c r="DQ253" s="1" t="s">
        <v>45</v>
      </c>
      <c r="DT253" s="32">
        <v>45814</v>
      </c>
      <c r="DU253" s="1" t="s">
        <v>1598</v>
      </c>
      <c r="DV253" s="1">
        <v>6.9973718791064297</v>
      </c>
      <c r="DW253" s="1" t="s">
        <v>45</v>
      </c>
      <c r="DY253" s="32">
        <v>45820</v>
      </c>
      <c r="DZ253" s="1" t="s">
        <v>1544</v>
      </c>
    </row>
    <row r="254" spans="1:130" ht="15.75" customHeight="1" x14ac:dyDescent="0.2">
      <c r="A254" s="8" t="s">
        <v>1282</v>
      </c>
      <c r="B254" s="32">
        <v>35202</v>
      </c>
      <c r="C254" s="32">
        <v>45601</v>
      </c>
      <c r="D254" s="1">
        <v>28.471494965673401</v>
      </c>
      <c r="E254" s="1" t="s">
        <v>1587</v>
      </c>
      <c r="F254" s="1" t="s">
        <v>1524</v>
      </c>
      <c r="G254" s="1" t="s">
        <v>1574</v>
      </c>
      <c r="H254" s="1" t="s">
        <v>51</v>
      </c>
      <c r="I254" s="1">
        <v>1.63</v>
      </c>
      <c r="J254" s="1" t="s">
        <v>51</v>
      </c>
      <c r="K254" s="1">
        <v>52.7</v>
      </c>
      <c r="L254" s="1">
        <v>19.8351462230418</v>
      </c>
      <c r="M254" s="1" t="s">
        <v>45</v>
      </c>
      <c r="N254" s="1" t="s">
        <v>45</v>
      </c>
      <c r="O254" s="1" t="s">
        <v>45</v>
      </c>
      <c r="P254" s="1" t="s">
        <v>45</v>
      </c>
      <c r="Q254" s="1" t="s">
        <v>45</v>
      </c>
      <c r="R254" s="1" t="s">
        <v>45</v>
      </c>
      <c r="S254" s="1" t="s">
        <v>45</v>
      </c>
      <c r="T254" s="1" t="s">
        <v>45</v>
      </c>
      <c r="U254" s="1" t="s">
        <v>45</v>
      </c>
      <c r="V254" s="1" t="s">
        <v>45</v>
      </c>
      <c r="W254" s="1" t="s">
        <v>45</v>
      </c>
      <c r="X254" s="1" t="s">
        <v>45</v>
      </c>
      <c r="Y254" s="1" t="s">
        <v>45</v>
      </c>
      <c r="Z254" s="1" t="s">
        <v>45</v>
      </c>
      <c r="AA254" s="1" t="s">
        <v>45</v>
      </c>
      <c r="AB254" s="1" t="s">
        <v>45</v>
      </c>
      <c r="AC254" s="1" t="s">
        <v>45</v>
      </c>
      <c r="AD254" s="1" t="s">
        <v>45</v>
      </c>
      <c r="AE254" s="1" t="s">
        <v>45</v>
      </c>
      <c r="AF254" s="32">
        <v>45604</v>
      </c>
      <c r="AG254" s="1">
        <v>28.479708686694401</v>
      </c>
      <c r="AH254" s="1" t="s">
        <v>1526</v>
      </c>
      <c r="AI254" s="1" t="s">
        <v>1527</v>
      </c>
      <c r="AJ254" s="1" t="s">
        <v>45</v>
      </c>
      <c r="AK254" s="1" t="s">
        <v>45</v>
      </c>
      <c r="AL254" s="1" t="s">
        <v>51</v>
      </c>
      <c r="AM254" s="1" t="s">
        <v>51</v>
      </c>
      <c r="AN254" s="1" t="s">
        <v>45</v>
      </c>
      <c r="AO254" s="1" t="s">
        <v>51</v>
      </c>
      <c r="AP254" s="1" t="s">
        <v>45</v>
      </c>
      <c r="AQ254" s="1" t="s">
        <v>45</v>
      </c>
      <c r="AR254" s="1" t="s">
        <v>45</v>
      </c>
      <c r="AT254" s="1" t="s">
        <v>1546</v>
      </c>
      <c r="AV254" s="1" t="s">
        <v>2155</v>
      </c>
      <c r="AW254" s="33" t="s">
        <v>1463</v>
      </c>
      <c r="AX254" s="33" t="s">
        <v>1547</v>
      </c>
      <c r="AY254" s="3"/>
      <c r="BB254" s="1" t="s">
        <v>1530</v>
      </c>
      <c r="BC254" s="1" t="s">
        <v>1531</v>
      </c>
      <c r="BD254" s="1" t="s">
        <v>1532</v>
      </c>
      <c r="BE254" s="1" t="s">
        <v>1533</v>
      </c>
      <c r="BF254" s="1" t="s">
        <v>1534</v>
      </c>
      <c r="BG254" s="1" t="s">
        <v>45</v>
      </c>
      <c r="BH254" s="1" t="s">
        <v>46</v>
      </c>
      <c r="BI254" s="1" t="s">
        <v>1535</v>
      </c>
      <c r="BJ254" s="1" t="s">
        <v>45</v>
      </c>
      <c r="BK254" s="1" t="s">
        <v>1536</v>
      </c>
      <c r="BL254" s="32">
        <v>45604</v>
      </c>
      <c r="BM254" s="1" t="s">
        <v>1283</v>
      </c>
      <c r="BO254" s="1" t="s">
        <v>1537</v>
      </c>
      <c r="BP254" s="1" t="s">
        <v>1538</v>
      </c>
      <c r="BQ254" s="1" t="s">
        <v>1539</v>
      </c>
      <c r="BR254" s="1" t="s">
        <v>1540</v>
      </c>
      <c r="BS254" s="1" t="s">
        <v>50</v>
      </c>
      <c r="BU254" s="1" t="s">
        <v>45</v>
      </c>
      <c r="BW254" s="1" t="s">
        <v>1542</v>
      </c>
      <c r="CA254" s="1" t="s">
        <v>45</v>
      </c>
      <c r="CB254" s="1" t="s">
        <v>51</v>
      </c>
      <c r="CC254" s="32">
        <v>45650</v>
      </c>
      <c r="CD254" s="1">
        <v>40.049999999999997</v>
      </c>
      <c r="CE254" s="1">
        <v>15</v>
      </c>
      <c r="CJ254" s="1" t="s">
        <v>45</v>
      </c>
      <c r="DH254" s="1" t="s">
        <v>45</v>
      </c>
      <c r="DM254" s="1" t="s">
        <v>45</v>
      </c>
      <c r="DO254" s="1" t="s">
        <v>45</v>
      </c>
      <c r="DQ254" s="1" t="s">
        <v>45</v>
      </c>
      <c r="DT254" s="32">
        <v>45782</v>
      </c>
      <c r="DU254" s="1" t="s">
        <v>1598</v>
      </c>
      <c r="DV254" s="1">
        <v>5.8475689881734496</v>
      </c>
      <c r="DW254" s="1" t="s">
        <v>45</v>
      </c>
      <c r="DY254" s="32">
        <v>45820</v>
      </c>
      <c r="DZ254" s="1" t="s">
        <v>1544</v>
      </c>
    </row>
    <row r="255" spans="1:130" ht="15.75" customHeight="1" x14ac:dyDescent="0.2">
      <c r="A255" s="8" t="s">
        <v>1287</v>
      </c>
      <c r="B255" s="32">
        <v>29642</v>
      </c>
      <c r="C255" s="32">
        <v>42824</v>
      </c>
      <c r="D255" s="1">
        <v>36.091090166122498</v>
      </c>
      <c r="E255" s="1" t="s">
        <v>1587</v>
      </c>
      <c r="F255" s="1" t="s">
        <v>1524</v>
      </c>
      <c r="G255" s="1" t="s">
        <v>1574</v>
      </c>
      <c r="H255" s="1" t="s">
        <v>51</v>
      </c>
      <c r="I255" s="1">
        <v>1.65</v>
      </c>
      <c r="J255" s="1" t="s">
        <v>51</v>
      </c>
      <c r="K255" s="1">
        <v>75.3</v>
      </c>
      <c r="L255" s="1">
        <v>27.658402203856699</v>
      </c>
      <c r="M255" s="1" t="s">
        <v>45</v>
      </c>
      <c r="N255" s="1" t="s">
        <v>45</v>
      </c>
      <c r="O255" s="1" t="s">
        <v>45</v>
      </c>
      <c r="P255" s="1" t="s">
        <v>45</v>
      </c>
      <c r="Q255" s="1" t="s">
        <v>45</v>
      </c>
      <c r="R255" s="1" t="s">
        <v>45</v>
      </c>
      <c r="S255" s="1" t="s">
        <v>45</v>
      </c>
      <c r="T255" s="1" t="s">
        <v>45</v>
      </c>
      <c r="U255" s="1" t="s">
        <v>45</v>
      </c>
      <c r="V255" s="1" t="s">
        <v>45</v>
      </c>
      <c r="W255" s="1" t="s">
        <v>45</v>
      </c>
      <c r="X255" s="1" t="s">
        <v>45</v>
      </c>
      <c r="Y255" s="1" t="s">
        <v>45</v>
      </c>
      <c r="Z255" s="1" t="s">
        <v>45</v>
      </c>
      <c r="AA255" s="1" t="s">
        <v>45</v>
      </c>
      <c r="AB255" s="1" t="s">
        <v>45</v>
      </c>
      <c r="AC255" s="1" t="s">
        <v>51</v>
      </c>
      <c r="AD255" s="1" t="s">
        <v>45</v>
      </c>
      <c r="AE255" s="1" t="s">
        <v>45</v>
      </c>
      <c r="AF255" s="32">
        <v>38153</v>
      </c>
      <c r="AG255" s="1">
        <v>23.3023265364791</v>
      </c>
      <c r="AH255" s="1" t="s">
        <v>1558</v>
      </c>
      <c r="AI255" s="1" t="s">
        <v>1527</v>
      </c>
      <c r="AJ255" s="1" t="s">
        <v>45</v>
      </c>
      <c r="AK255" s="1" t="s">
        <v>45</v>
      </c>
      <c r="AL255" s="1" t="s">
        <v>45</v>
      </c>
      <c r="AM255" s="1" t="s">
        <v>45</v>
      </c>
      <c r="AN255" s="1" t="s">
        <v>45</v>
      </c>
      <c r="AO255" s="1" t="s">
        <v>45</v>
      </c>
      <c r="AP255" s="1" t="s">
        <v>45</v>
      </c>
      <c r="AQ255" s="1" t="s">
        <v>45</v>
      </c>
      <c r="AR255" s="1" t="s">
        <v>45</v>
      </c>
      <c r="AT255" s="1" t="s">
        <v>1560</v>
      </c>
      <c r="AW255" s="33" t="s">
        <v>1464</v>
      </c>
      <c r="AX255" s="3"/>
      <c r="AY255" s="3" t="s">
        <v>1560</v>
      </c>
      <c r="AZ255" s="1">
        <v>2</v>
      </c>
      <c r="BA255" s="1" t="s">
        <v>1821</v>
      </c>
      <c r="BB255" s="1" t="s">
        <v>1567</v>
      </c>
      <c r="BC255" s="1" t="s">
        <v>1531</v>
      </c>
      <c r="BD255" s="1" t="s">
        <v>1822</v>
      </c>
      <c r="BE255" s="1" t="s">
        <v>1603</v>
      </c>
      <c r="BF255" s="1" t="s">
        <v>1534</v>
      </c>
      <c r="BG255" s="1" t="s">
        <v>45</v>
      </c>
      <c r="BH255" s="1" t="s">
        <v>46</v>
      </c>
      <c r="BI255" s="1" t="s">
        <v>1599</v>
      </c>
      <c r="BJ255" s="1" t="s">
        <v>45</v>
      </c>
      <c r="BK255" s="1" t="s">
        <v>1536</v>
      </c>
      <c r="BL255" s="32">
        <v>45608</v>
      </c>
      <c r="BM255" s="1" t="s">
        <v>1288</v>
      </c>
      <c r="BO255" s="1" t="s">
        <v>1537</v>
      </c>
      <c r="BP255" s="1" t="s">
        <v>1796</v>
      </c>
      <c r="BQ255" s="1" t="s">
        <v>1539</v>
      </c>
      <c r="BR255" s="1" t="s">
        <v>1552</v>
      </c>
      <c r="BS255" s="1" t="s">
        <v>50</v>
      </c>
      <c r="BU255" s="1" t="s">
        <v>45</v>
      </c>
      <c r="BW255" s="1" t="s">
        <v>1542</v>
      </c>
      <c r="CA255" s="1" t="s">
        <v>45</v>
      </c>
      <c r="CB255" s="1" t="s">
        <v>45</v>
      </c>
      <c r="CI255" s="1" t="s">
        <v>2206</v>
      </c>
      <c r="CJ255" s="1" t="s">
        <v>51</v>
      </c>
      <c r="CL255" s="1" t="s">
        <v>45</v>
      </c>
      <c r="DH255" s="1" t="s">
        <v>45</v>
      </c>
      <c r="DM255" s="1" t="s">
        <v>45</v>
      </c>
      <c r="DO255" s="1" t="s">
        <v>45</v>
      </c>
      <c r="DQ255" s="1" t="s">
        <v>45</v>
      </c>
      <c r="DT255" s="32">
        <v>45779</v>
      </c>
      <c r="DU255" s="1" t="s">
        <v>1598</v>
      </c>
      <c r="DV255" s="1">
        <v>250.52562417871201</v>
      </c>
      <c r="DW255" s="1" t="s">
        <v>51</v>
      </c>
      <c r="DX255" s="1" t="s">
        <v>2207</v>
      </c>
      <c r="DY255" s="32">
        <v>45820</v>
      </c>
      <c r="DZ255" s="1" t="s">
        <v>1544</v>
      </c>
    </row>
    <row r="256" spans="1:130" ht="15.75" customHeight="1" x14ac:dyDescent="0.2">
      <c r="A256" s="8" t="s">
        <v>1292</v>
      </c>
      <c r="B256" s="32">
        <v>26047</v>
      </c>
      <c r="C256" s="32">
        <v>45634</v>
      </c>
      <c r="D256" s="1">
        <v>53.627384545883899</v>
      </c>
      <c r="E256" s="1" t="s">
        <v>1523</v>
      </c>
      <c r="F256" s="1" t="s">
        <v>1578</v>
      </c>
      <c r="G256" s="1" t="s">
        <v>1574</v>
      </c>
      <c r="H256" s="1" t="s">
        <v>51</v>
      </c>
      <c r="I256" s="1">
        <v>1.65</v>
      </c>
      <c r="J256" s="1" t="s">
        <v>51</v>
      </c>
      <c r="K256" s="1">
        <v>78.8</v>
      </c>
      <c r="L256" s="1">
        <v>28.943985307621599</v>
      </c>
      <c r="M256" s="1" t="s">
        <v>45</v>
      </c>
      <c r="N256" s="1" t="s">
        <v>45</v>
      </c>
      <c r="O256" s="1" t="s">
        <v>45</v>
      </c>
      <c r="P256" s="1" t="s">
        <v>45</v>
      </c>
      <c r="Q256" s="1" t="s">
        <v>45</v>
      </c>
      <c r="R256" s="1" t="s">
        <v>45</v>
      </c>
      <c r="S256" s="1" t="s">
        <v>45</v>
      </c>
      <c r="T256" s="1" t="s">
        <v>45</v>
      </c>
      <c r="U256" s="1" t="s">
        <v>45</v>
      </c>
      <c r="V256" s="1" t="s">
        <v>45</v>
      </c>
      <c r="W256" s="1" t="s">
        <v>45</v>
      </c>
      <c r="X256" s="1" t="s">
        <v>45</v>
      </c>
      <c r="Y256" s="1" t="s">
        <v>45</v>
      </c>
      <c r="Z256" s="1" t="s">
        <v>45</v>
      </c>
      <c r="AA256" s="1" t="s">
        <v>45</v>
      </c>
      <c r="AB256" s="1" t="s">
        <v>45</v>
      </c>
      <c r="AC256" s="1" t="s">
        <v>51</v>
      </c>
      <c r="AD256" s="1" t="s">
        <v>45</v>
      </c>
      <c r="AE256" s="1" t="s">
        <v>45</v>
      </c>
      <c r="AF256" s="32">
        <v>45634</v>
      </c>
      <c r="AG256" s="1">
        <v>53.627384545883899</v>
      </c>
      <c r="AH256" s="1" t="s">
        <v>1625</v>
      </c>
      <c r="AI256" s="1" t="s">
        <v>1527</v>
      </c>
      <c r="AJ256" s="1" t="s">
        <v>45</v>
      </c>
      <c r="AK256" s="1" t="s">
        <v>51</v>
      </c>
      <c r="AL256" s="1" t="s">
        <v>45</v>
      </c>
      <c r="AM256" s="1" t="s">
        <v>45</v>
      </c>
      <c r="AN256" s="1" t="s">
        <v>51</v>
      </c>
      <c r="AO256" s="1" t="s">
        <v>45</v>
      </c>
      <c r="AP256" s="1" t="s">
        <v>45</v>
      </c>
      <c r="AQ256" s="1" t="s">
        <v>51</v>
      </c>
      <c r="AR256" s="1" t="s">
        <v>45</v>
      </c>
      <c r="AT256" s="1" t="s">
        <v>1528</v>
      </c>
      <c r="AW256" s="33" t="s">
        <v>1463</v>
      </c>
      <c r="AX256" s="3" t="s">
        <v>1528</v>
      </c>
      <c r="AY256" s="3"/>
      <c r="AZ256" s="1">
        <v>4</v>
      </c>
      <c r="BA256" s="1" t="s">
        <v>1529</v>
      </c>
      <c r="BB256" s="1" t="s">
        <v>1530</v>
      </c>
      <c r="BC256" s="1" t="s">
        <v>1531</v>
      </c>
      <c r="BD256" s="1" t="s">
        <v>1532</v>
      </c>
      <c r="BE256" s="1" t="s">
        <v>1533</v>
      </c>
      <c r="BF256" s="1" t="s">
        <v>1534</v>
      </c>
      <c r="BG256" s="1" t="s">
        <v>45</v>
      </c>
      <c r="BH256" s="1" t="s">
        <v>1525</v>
      </c>
      <c r="BI256" s="1" t="s">
        <v>1535</v>
      </c>
      <c r="BJ256" s="1" t="s">
        <v>1525</v>
      </c>
      <c r="BK256" s="1" t="s">
        <v>1536</v>
      </c>
      <c r="BL256" s="32">
        <v>45634</v>
      </c>
      <c r="BM256" s="1" t="s">
        <v>1293</v>
      </c>
      <c r="BO256" s="1" t="s">
        <v>1537</v>
      </c>
      <c r="BP256" s="1" t="s">
        <v>1538</v>
      </c>
      <c r="BQ256" s="1" t="s">
        <v>1647</v>
      </c>
      <c r="BR256" s="1" t="s">
        <v>1540</v>
      </c>
      <c r="BS256" s="1" t="s">
        <v>106</v>
      </c>
      <c r="BU256" s="1" t="s">
        <v>51</v>
      </c>
      <c r="BV256" s="1" t="s">
        <v>1541</v>
      </c>
      <c r="BW256" s="1" t="s">
        <v>1563</v>
      </c>
      <c r="BX256" s="32">
        <v>45742</v>
      </c>
      <c r="BY256" s="1">
        <v>12</v>
      </c>
      <c r="BZ256" s="1" t="s">
        <v>2208</v>
      </c>
      <c r="CA256" s="1" t="s">
        <v>51</v>
      </c>
      <c r="CB256" s="1" t="s">
        <v>51</v>
      </c>
      <c r="CC256" s="32">
        <v>45664</v>
      </c>
      <c r="CD256" s="1">
        <v>60</v>
      </c>
      <c r="CE256" s="1">
        <v>30</v>
      </c>
      <c r="CJ256" s="1" t="s">
        <v>45</v>
      </c>
      <c r="DH256" s="1" t="s">
        <v>45</v>
      </c>
      <c r="DM256" s="1" t="s">
        <v>45</v>
      </c>
      <c r="DO256" s="1" t="s">
        <v>45</v>
      </c>
      <c r="DQ256" s="1" t="s">
        <v>45</v>
      </c>
      <c r="DT256" s="32">
        <v>45798</v>
      </c>
      <c r="DU256" s="1" t="s">
        <v>1598</v>
      </c>
      <c r="DV256" s="1">
        <v>5.3876478318002601</v>
      </c>
      <c r="DW256" s="1" t="s">
        <v>45</v>
      </c>
      <c r="DY256" s="32">
        <v>45820</v>
      </c>
      <c r="DZ256" s="1" t="s">
        <v>1544</v>
      </c>
    </row>
    <row r="257" spans="1:130" ht="15.75" customHeight="1" x14ac:dyDescent="0.2">
      <c r="A257" s="8" t="s">
        <v>1298</v>
      </c>
      <c r="B257" s="32">
        <v>18472</v>
      </c>
      <c r="C257" s="32">
        <v>44475</v>
      </c>
      <c r="D257" s="1">
        <v>71.193795902722101</v>
      </c>
      <c r="E257" s="1" t="s">
        <v>1523</v>
      </c>
      <c r="F257" s="1" t="s">
        <v>1578</v>
      </c>
      <c r="G257" s="1" t="s">
        <v>1574</v>
      </c>
      <c r="H257" s="1" t="s">
        <v>51</v>
      </c>
      <c r="I257" s="1">
        <v>1.67</v>
      </c>
      <c r="J257" s="1" t="s">
        <v>51</v>
      </c>
      <c r="K257" s="1">
        <v>61.3</v>
      </c>
      <c r="L257" s="1">
        <v>21.979992111585201</v>
      </c>
      <c r="M257" s="1" t="s">
        <v>45</v>
      </c>
      <c r="N257" s="1" t="s">
        <v>45</v>
      </c>
      <c r="O257" s="1" t="s">
        <v>45</v>
      </c>
      <c r="P257" s="1" t="s">
        <v>45</v>
      </c>
      <c r="Q257" s="1" t="s">
        <v>45</v>
      </c>
      <c r="R257" s="1" t="s">
        <v>45</v>
      </c>
      <c r="S257" s="1" t="s">
        <v>45</v>
      </c>
      <c r="T257" s="1" t="s">
        <v>45</v>
      </c>
      <c r="U257" s="1" t="s">
        <v>45</v>
      </c>
      <c r="V257" s="1" t="s">
        <v>45</v>
      </c>
      <c r="W257" s="1" t="s">
        <v>45</v>
      </c>
      <c r="X257" s="1" t="s">
        <v>45</v>
      </c>
      <c r="Y257" s="1" t="s">
        <v>45</v>
      </c>
      <c r="Z257" s="1" t="s">
        <v>45</v>
      </c>
      <c r="AA257" s="1" t="s">
        <v>45</v>
      </c>
      <c r="AB257" s="1" t="s">
        <v>45</v>
      </c>
      <c r="AC257" s="1" t="s">
        <v>45</v>
      </c>
      <c r="AD257" s="1" t="s">
        <v>45</v>
      </c>
      <c r="AE257" s="1" t="s">
        <v>45</v>
      </c>
      <c r="AF257" s="32">
        <v>45644</v>
      </c>
      <c r="AG257" s="1">
        <v>74.394409193891704</v>
      </c>
      <c r="AH257" s="1" t="s">
        <v>1558</v>
      </c>
      <c r="AI257" s="1" t="s">
        <v>1527</v>
      </c>
      <c r="AJ257" s="1" t="s">
        <v>45</v>
      </c>
      <c r="AK257" s="1" t="s">
        <v>51</v>
      </c>
      <c r="AL257" s="1" t="s">
        <v>51</v>
      </c>
      <c r="AM257" s="1" t="s">
        <v>45</v>
      </c>
      <c r="AN257" s="1" t="s">
        <v>45</v>
      </c>
      <c r="AO257" s="1" t="s">
        <v>45</v>
      </c>
      <c r="AP257" s="1" t="s">
        <v>45</v>
      </c>
      <c r="AQ257" s="1" t="s">
        <v>45</v>
      </c>
      <c r="AR257" s="1" t="s">
        <v>51</v>
      </c>
      <c r="AS257" s="1" t="s">
        <v>2209</v>
      </c>
      <c r="AT257" s="1" t="s">
        <v>1601</v>
      </c>
      <c r="AW257" s="33" t="s">
        <v>1464</v>
      </c>
      <c r="AX257" s="3"/>
      <c r="AY257" s="3" t="s">
        <v>1601</v>
      </c>
      <c r="AZ257" s="1">
        <v>2</v>
      </c>
      <c r="BA257" s="1" t="s">
        <v>1821</v>
      </c>
      <c r="BB257" s="1" t="s">
        <v>1567</v>
      </c>
      <c r="BC257" s="1" t="s">
        <v>1602</v>
      </c>
      <c r="BD257" s="1" t="s">
        <v>1990</v>
      </c>
      <c r="BE257" s="1" t="s">
        <v>1603</v>
      </c>
      <c r="BF257" s="1" t="s">
        <v>1534</v>
      </c>
      <c r="BG257" s="1" t="s">
        <v>1525</v>
      </c>
      <c r="BH257" s="1" t="s">
        <v>1525</v>
      </c>
      <c r="BI257" s="1" t="s">
        <v>1535</v>
      </c>
      <c r="BJ257" s="1" t="s">
        <v>45</v>
      </c>
      <c r="BK257" s="1" t="s">
        <v>1536</v>
      </c>
      <c r="BL257" s="32">
        <v>45644</v>
      </c>
      <c r="BM257" s="1" t="s">
        <v>1299</v>
      </c>
      <c r="BO257" s="1" t="s">
        <v>1537</v>
      </c>
      <c r="BP257" s="1" t="s">
        <v>1551</v>
      </c>
      <c r="BQ257" s="1" t="s">
        <v>1605</v>
      </c>
      <c r="BR257" s="1" t="s">
        <v>1540</v>
      </c>
      <c r="BS257" s="1" t="s">
        <v>50</v>
      </c>
      <c r="BU257" s="1" t="s">
        <v>45</v>
      </c>
      <c r="BW257" s="1" t="s">
        <v>1542</v>
      </c>
      <c r="CA257" s="1" t="s">
        <v>45</v>
      </c>
      <c r="CB257" s="1" t="s">
        <v>45</v>
      </c>
      <c r="CG257" s="1" t="s">
        <v>2210</v>
      </c>
      <c r="CJ257" s="1" t="s">
        <v>45</v>
      </c>
      <c r="DH257" s="1" t="s">
        <v>45</v>
      </c>
      <c r="DM257" s="1" t="s">
        <v>45</v>
      </c>
      <c r="DO257" s="1" t="s">
        <v>45</v>
      </c>
      <c r="DQ257" s="1" t="s">
        <v>45</v>
      </c>
      <c r="DT257" s="32">
        <v>45812</v>
      </c>
      <c r="DU257" s="1" t="s">
        <v>1598</v>
      </c>
      <c r="DV257" s="1">
        <v>5.5190538764783099</v>
      </c>
      <c r="DW257" s="1" t="s">
        <v>45</v>
      </c>
      <c r="DY257" s="32">
        <v>45820</v>
      </c>
      <c r="DZ257" s="1" t="s">
        <v>1544</v>
      </c>
    </row>
    <row r="258" spans="1:130" ht="15.75" customHeight="1" x14ac:dyDescent="0.2">
      <c r="A258" s="8" t="s">
        <v>1301</v>
      </c>
      <c r="B258" s="32">
        <v>22093</v>
      </c>
      <c r="C258" s="32">
        <v>45640</v>
      </c>
      <c r="D258" s="1">
        <v>64.469496293558393</v>
      </c>
      <c r="E258" s="1" t="s">
        <v>1587</v>
      </c>
      <c r="F258" s="1" t="s">
        <v>1524</v>
      </c>
      <c r="G258" s="1" t="s">
        <v>1686</v>
      </c>
      <c r="H258" s="1" t="s">
        <v>45</v>
      </c>
      <c r="J258" s="1" t="s">
        <v>45</v>
      </c>
      <c r="M258" s="1" t="s">
        <v>45</v>
      </c>
      <c r="N258" s="1" t="s">
        <v>45</v>
      </c>
      <c r="O258" s="1" t="s">
        <v>45</v>
      </c>
      <c r="P258" s="1" t="s">
        <v>45</v>
      </c>
      <c r="Q258" s="1" t="s">
        <v>45</v>
      </c>
      <c r="R258" s="1" t="s">
        <v>51</v>
      </c>
      <c r="S258" s="1" t="s">
        <v>45</v>
      </c>
      <c r="T258" s="1" t="s">
        <v>45</v>
      </c>
      <c r="U258" s="1" t="s">
        <v>45</v>
      </c>
      <c r="V258" s="1" t="s">
        <v>45</v>
      </c>
      <c r="W258" s="1" t="s">
        <v>45</v>
      </c>
      <c r="X258" s="1" t="s">
        <v>45</v>
      </c>
      <c r="Y258" s="1" t="s">
        <v>45</v>
      </c>
      <c r="Z258" s="1" t="s">
        <v>45</v>
      </c>
      <c r="AA258" s="1" t="s">
        <v>51</v>
      </c>
      <c r="AB258" s="1" t="s">
        <v>45</v>
      </c>
      <c r="AC258" s="1" t="s">
        <v>45</v>
      </c>
      <c r="AD258" s="1" t="s">
        <v>45</v>
      </c>
      <c r="AE258" s="1" t="s">
        <v>45</v>
      </c>
      <c r="AF258" s="32">
        <v>45645</v>
      </c>
      <c r="AG258" s="1">
        <v>64.483185828593307</v>
      </c>
      <c r="AH258" s="34" t="s">
        <v>1625</v>
      </c>
      <c r="AI258" s="1" t="s">
        <v>1527</v>
      </c>
      <c r="AJ258" s="1" t="s">
        <v>45</v>
      </c>
      <c r="AK258" s="1" t="s">
        <v>45</v>
      </c>
      <c r="AL258" s="1" t="s">
        <v>45</v>
      </c>
      <c r="AM258" s="1" t="s">
        <v>45</v>
      </c>
      <c r="AN258" s="1" t="s">
        <v>51</v>
      </c>
      <c r="AO258" s="1" t="s">
        <v>51</v>
      </c>
      <c r="AP258" s="1" t="s">
        <v>51</v>
      </c>
      <c r="AQ258" s="1" t="s">
        <v>45</v>
      </c>
      <c r="AR258" s="1" t="s">
        <v>45</v>
      </c>
      <c r="AT258" s="1" t="s">
        <v>1528</v>
      </c>
      <c r="AW258" s="33" t="s">
        <v>1463</v>
      </c>
      <c r="AX258" s="3" t="s">
        <v>1528</v>
      </c>
      <c r="AY258" s="3"/>
      <c r="AZ258" s="1">
        <v>4</v>
      </c>
      <c r="BA258" s="1" t="s">
        <v>1529</v>
      </c>
      <c r="BB258" s="1" t="s">
        <v>1530</v>
      </c>
      <c r="BC258" s="1" t="s">
        <v>1531</v>
      </c>
      <c r="BD258" s="1" t="s">
        <v>1532</v>
      </c>
      <c r="BE258" s="1" t="s">
        <v>1533</v>
      </c>
      <c r="BF258" s="1" t="s">
        <v>1534</v>
      </c>
      <c r="BG258" s="1" t="s">
        <v>1525</v>
      </c>
      <c r="BH258" s="1" t="s">
        <v>1525</v>
      </c>
      <c r="BI258" s="1" t="s">
        <v>1535</v>
      </c>
      <c r="BJ258" s="1" t="s">
        <v>1525</v>
      </c>
      <c r="BK258" s="1" t="s">
        <v>1536</v>
      </c>
      <c r="BL258" s="32">
        <v>45645</v>
      </c>
      <c r="BM258" s="1" t="s">
        <v>1302</v>
      </c>
      <c r="BO258" s="1" t="s">
        <v>1853</v>
      </c>
      <c r="BP258" s="1" t="s">
        <v>1551</v>
      </c>
      <c r="BQ258" s="1" t="s">
        <v>1605</v>
      </c>
      <c r="BR258" s="1" t="s">
        <v>1552</v>
      </c>
      <c r="BS258" s="1" t="s">
        <v>1658</v>
      </c>
      <c r="BU258" s="1" t="s">
        <v>45</v>
      </c>
      <c r="BW258" s="1" t="s">
        <v>1542</v>
      </c>
      <c r="CA258" s="1" t="s">
        <v>45</v>
      </c>
      <c r="CB258" s="1" t="s">
        <v>45</v>
      </c>
      <c r="CI258" s="1" t="s">
        <v>2211</v>
      </c>
      <c r="CJ258" s="1" t="s">
        <v>51</v>
      </c>
      <c r="CK258" s="32">
        <v>45703</v>
      </c>
      <c r="CL258" s="1" t="s">
        <v>45</v>
      </c>
      <c r="DH258" s="1" t="s">
        <v>45</v>
      </c>
      <c r="DM258" s="1" t="s">
        <v>45</v>
      </c>
      <c r="DO258" s="1" t="s">
        <v>45</v>
      </c>
      <c r="DQ258" s="1" t="s">
        <v>45</v>
      </c>
      <c r="DT258" s="32">
        <v>45766</v>
      </c>
      <c r="DU258" s="1" t="s">
        <v>1543</v>
      </c>
      <c r="DV258" s="1">
        <v>3.9750328515111599</v>
      </c>
      <c r="DW258" s="1" t="s">
        <v>45</v>
      </c>
      <c r="DY258" s="32">
        <v>45820</v>
      </c>
      <c r="DZ258" s="1" t="s">
        <v>1544</v>
      </c>
    </row>
    <row r="259" spans="1:130" ht="15.75" customHeight="1" x14ac:dyDescent="0.2">
      <c r="A259" s="8" t="s">
        <v>1305</v>
      </c>
      <c r="B259" s="32">
        <v>39022</v>
      </c>
      <c r="C259" s="32">
        <v>45647</v>
      </c>
      <c r="D259" s="1">
        <v>18.138633921298801</v>
      </c>
      <c r="E259" s="1" t="s">
        <v>1523</v>
      </c>
      <c r="F259" s="1" t="s">
        <v>1524</v>
      </c>
      <c r="G259" s="1" t="s">
        <v>1574</v>
      </c>
      <c r="H259" s="1" t="s">
        <v>51</v>
      </c>
      <c r="I259" s="1">
        <v>1.72</v>
      </c>
      <c r="J259" s="1" t="s">
        <v>51</v>
      </c>
      <c r="K259" s="1">
        <v>72</v>
      </c>
      <c r="L259" s="1">
        <v>24.3374797187669</v>
      </c>
      <c r="M259" s="1" t="s">
        <v>45</v>
      </c>
      <c r="N259" s="1" t="s">
        <v>45</v>
      </c>
      <c r="O259" s="1" t="s">
        <v>45</v>
      </c>
      <c r="P259" s="1" t="s">
        <v>45</v>
      </c>
      <c r="Q259" s="1" t="s">
        <v>45</v>
      </c>
      <c r="R259" s="1" t="s">
        <v>45</v>
      </c>
      <c r="S259" s="1" t="s">
        <v>45</v>
      </c>
      <c r="T259" s="1" t="s">
        <v>45</v>
      </c>
      <c r="U259" s="1" t="s">
        <v>45</v>
      </c>
      <c r="V259" s="1" t="s">
        <v>45</v>
      </c>
      <c r="W259" s="1" t="s">
        <v>45</v>
      </c>
      <c r="X259" s="1" t="s">
        <v>45</v>
      </c>
      <c r="Y259" s="1" t="s">
        <v>45</v>
      </c>
      <c r="Z259" s="1" t="s">
        <v>45</v>
      </c>
      <c r="AA259" s="1" t="s">
        <v>45</v>
      </c>
      <c r="AB259" s="1" t="s">
        <v>45</v>
      </c>
      <c r="AC259" s="1" t="s">
        <v>45</v>
      </c>
      <c r="AD259" s="1" t="s">
        <v>45</v>
      </c>
      <c r="AE259" s="1" t="s">
        <v>45</v>
      </c>
      <c r="AF259" s="32">
        <v>45648</v>
      </c>
      <c r="AG259" s="1">
        <v>18.1413718283058</v>
      </c>
      <c r="AH259" s="1" t="s">
        <v>1526</v>
      </c>
      <c r="AI259" s="1" t="s">
        <v>1527</v>
      </c>
      <c r="AJ259" s="1" t="s">
        <v>45</v>
      </c>
      <c r="AK259" s="1" t="s">
        <v>45</v>
      </c>
      <c r="AL259" s="1" t="s">
        <v>45</v>
      </c>
      <c r="AM259" s="1" t="s">
        <v>45</v>
      </c>
      <c r="AN259" s="1" t="s">
        <v>45</v>
      </c>
      <c r="AO259" s="1" t="s">
        <v>51</v>
      </c>
      <c r="AP259" s="1" t="s">
        <v>45</v>
      </c>
      <c r="AQ259" s="1" t="s">
        <v>45</v>
      </c>
      <c r="AR259" s="1" t="s">
        <v>45</v>
      </c>
      <c r="AT259" s="1" t="s">
        <v>1560</v>
      </c>
      <c r="AV259" s="1" t="s">
        <v>1667</v>
      </c>
      <c r="AW259" s="33" t="s">
        <v>1464</v>
      </c>
      <c r="AX259" s="3"/>
      <c r="AY259" s="33" t="s">
        <v>1668</v>
      </c>
      <c r="AZ259" s="1">
        <v>1</v>
      </c>
      <c r="BA259" s="1" t="s">
        <v>1814</v>
      </c>
      <c r="BB259" s="1" t="s">
        <v>1561</v>
      </c>
      <c r="BC259" s="1" t="s">
        <v>1561</v>
      </c>
      <c r="BD259" s="1" t="s">
        <v>1561</v>
      </c>
      <c r="BE259" s="1" t="s">
        <v>1525</v>
      </c>
      <c r="BG259" s="1" t="s">
        <v>1525</v>
      </c>
      <c r="BH259" s="1" t="s">
        <v>1525</v>
      </c>
      <c r="BI259" s="1" t="s">
        <v>1525</v>
      </c>
      <c r="BJ259" s="1" t="s">
        <v>45</v>
      </c>
      <c r="BK259" s="1" t="s">
        <v>1536</v>
      </c>
      <c r="BL259" s="32">
        <v>45648</v>
      </c>
      <c r="BM259" s="1" t="s">
        <v>1306</v>
      </c>
      <c r="BO259" s="1" t="s">
        <v>1537</v>
      </c>
      <c r="BP259" s="1" t="s">
        <v>1551</v>
      </c>
      <c r="BQ259" s="1" t="s">
        <v>1605</v>
      </c>
      <c r="BR259" s="1" t="s">
        <v>1623</v>
      </c>
      <c r="BS259" s="1" t="s">
        <v>220</v>
      </c>
      <c r="BU259" s="1" t="s">
        <v>45</v>
      </c>
      <c r="BW259" s="1" t="s">
        <v>1542</v>
      </c>
      <c r="CA259" s="1" t="s">
        <v>45</v>
      </c>
      <c r="CB259" s="1" t="s">
        <v>45</v>
      </c>
      <c r="CG259" s="1" t="s">
        <v>2212</v>
      </c>
      <c r="CJ259" s="1" t="s">
        <v>45</v>
      </c>
      <c r="DH259" s="1" t="s">
        <v>45</v>
      </c>
      <c r="DM259" s="1" t="s">
        <v>45</v>
      </c>
      <c r="DO259" s="1" t="s">
        <v>45</v>
      </c>
      <c r="DQ259" s="1" t="s">
        <v>45</v>
      </c>
      <c r="DT259" s="32">
        <v>45818</v>
      </c>
      <c r="DU259" s="1" t="s">
        <v>1598</v>
      </c>
      <c r="DV259" s="1">
        <v>5.5847568988173402</v>
      </c>
      <c r="DW259" s="1" t="s">
        <v>45</v>
      </c>
      <c r="DY259" s="32">
        <v>45820</v>
      </c>
      <c r="DZ259" s="1" t="s">
        <v>1544</v>
      </c>
    </row>
    <row r="260" spans="1:130" ht="15.75" customHeight="1" x14ac:dyDescent="0.2">
      <c r="A260" s="8" t="s">
        <v>1308</v>
      </c>
      <c r="B260" s="32">
        <v>30167</v>
      </c>
      <c r="E260" s="1" t="s">
        <v>1523</v>
      </c>
      <c r="F260" s="1" t="s">
        <v>1524</v>
      </c>
      <c r="G260" s="1" t="s">
        <v>1574</v>
      </c>
      <c r="H260" s="1" t="s">
        <v>51</v>
      </c>
      <c r="I260" s="1">
        <v>1.93</v>
      </c>
      <c r="J260" s="1" t="s">
        <v>51</v>
      </c>
      <c r="K260" s="1">
        <v>68.900000000000006</v>
      </c>
      <c r="L260" s="1">
        <v>18.497140862841899</v>
      </c>
      <c r="M260" s="1" t="s">
        <v>45</v>
      </c>
      <c r="N260" s="1" t="s">
        <v>45</v>
      </c>
      <c r="O260" s="1" t="s">
        <v>45</v>
      </c>
      <c r="P260" s="1" t="s">
        <v>45</v>
      </c>
      <c r="Q260" s="1" t="s">
        <v>45</v>
      </c>
      <c r="R260" s="1" t="s">
        <v>45</v>
      </c>
      <c r="S260" s="1" t="s">
        <v>45</v>
      </c>
      <c r="T260" s="1" t="s">
        <v>45</v>
      </c>
      <c r="U260" s="1" t="s">
        <v>45</v>
      </c>
      <c r="V260" s="1" t="s">
        <v>45</v>
      </c>
      <c r="W260" s="1" t="s">
        <v>45</v>
      </c>
      <c r="X260" s="1" t="s">
        <v>45</v>
      </c>
      <c r="Y260" s="1" t="s">
        <v>45</v>
      </c>
      <c r="Z260" s="1" t="s">
        <v>45</v>
      </c>
      <c r="AA260" s="1" t="s">
        <v>45</v>
      </c>
      <c r="AB260" s="1" t="s">
        <v>45</v>
      </c>
      <c r="AC260" s="1" t="s">
        <v>45</v>
      </c>
      <c r="AD260" s="1" t="s">
        <v>45</v>
      </c>
      <c r="AE260" s="1" t="s">
        <v>45</v>
      </c>
      <c r="AF260" s="32">
        <v>45653</v>
      </c>
      <c r="AG260" s="1">
        <v>42.399227910223999</v>
      </c>
      <c r="AH260" s="34" t="s">
        <v>1613</v>
      </c>
      <c r="AI260" s="1" t="s">
        <v>1527</v>
      </c>
      <c r="AJ260" s="1" t="s">
        <v>45</v>
      </c>
      <c r="AK260" s="1" t="s">
        <v>45</v>
      </c>
      <c r="AL260" s="1" t="s">
        <v>45</v>
      </c>
      <c r="AM260" s="1" t="s">
        <v>51</v>
      </c>
      <c r="AN260" s="1" t="s">
        <v>51</v>
      </c>
      <c r="AO260" s="1" t="s">
        <v>51</v>
      </c>
      <c r="AP260" s="1" t="s">
        <v>51</v>
      </c>
      <c r="AQ260" s="1" t="s">
        <v>45</v>
      </c>
      <c r="AR260" s="1" t="s">
        <v>51</v>
      </c>
      <c r="AS260" s="1" t="s">
        <v>2213</v>
      </c>
      <c r="AT260" s="1" t="s">
        <v>1560</v>
      </c>
      <c r="AV260" s="1" t="s">
        <v>1667</v>
      </c>
      <c r="AW260" s="33" t="s">
        <v>1464</v>
      </c>
      <c r="AX260" s="3"/>
      <c r="AY260" s="33" t="s">
        <v>1668</v>
      </c>
      <c r="AZ260" s="1">
        <v>1</v>
      </c>
      <c r="BA260" s="1" t="s">
        <v>1814</v>
      </c>
      <c r="BB260" s="1" t="s">
        <v>1530</v>
      </c>
      <c r="BC260" s="1" t="s">
        <v>1531</v>
      </c>
      <c r="BD260" s="1" t="s">
        <v>1532</v>
      </c>
      <c r="BE260" s="1" t="s">
        <v>1525</v>
      </c>
      <c r="BG260" s="1" t="s">
        <v>1525</v>
      </c>
      <c r="BH260" s="1" t="s">
        <v>46</v>
      </c>
      <c r="BI260" s="1" t="s">
        <v>1535</v>
      </c>
      <c r="BJ260" s="1" t="s">
        <v>45</v>
      </c>
      <c r="BK260" s="1" t="s">
        <v>1536</v>
      </c>
      <c r="BL260" s="32">
        <v>45653</v>
      </c>
      <c r="BM260" s="1" t="s">
        <v>1309</v>
      </c>
      <c r="BO260" s="1" t="s">
        <v>1537</v>
      </c>
      <c r="BP260" s="1" t="s">
        <v>1538</v>
      </c>
      <c r="BQ260" s="1" t="s">
        <v>1539</v>
      </c>
      <c r="BR260" s="1" t="s">
        <v>1623</v>
      </c>
      <c r="BS260" s="1" t="s">
        <v>90</v>
      </c>
      <c r="BU260" s="1" t="s">
        <v>45</v>
      </c>
      <c r="BW260" s="1" t="s">
        <v>1542</v>
      </c>
      <c r="CA260" s="1" t="s">
        <v>45</v>
      </c>
      <c r="CB260" s="1" t="s">
        <v>45</v>
      </c>
      <c r="CJ260" s="1" t="s">
        <v>45</v>
      </c>
      <c r="DH260" s="1" t="s">
        <v>45</v>
      </c>
      <c r="DM260" s="1" t="s">
        <v>45</v>
      </c>
      <c r="DO260" s="1" t="s">
        <v>45</v>
      </c>
      <c r="DQ260" s="1" t="s">
        <v>45</v>
      </c>
      <c r="DT260" s="32">
        <v>45817</v>
      </c>
      <c r="DU260" s="1" t="s">
        <v>1598</v>
      </c>
      <c r="DV260" s="1">
        <v>5.3876478318002601</v>
      </c>
      <c r="DW260" s="1" t="s">
        <v>45</v>
      </c>
      <c r="DY260" s="32">
        <v>45820</v>
      </c>
      <c r="DZ260" s="1" t="s">
        <v>1544</v>
      </c>
    </row>
    <row r="261" spans="1:130" ht="15.75" customHeight="1" x14ac:dyDescent="0.2">
      <c r="A261" s="8" t="s">
        <v>1312</v>
      </c>
      <c r="B261" s="32">
        <v>18079</v>
      </c>
      <c r="C261" s="32">
        <v>45644</v>
      </c>
      <c r="D261" s="1">
        <v>75.4704066476382</v>
      </c>
      <c r="E261" s="1" t="s">
        <v>1587</v>
      </c>
      <c r="F261" s="1" t="s">
        <v>1524</v>
      </c>
      <c r="G261" s="1" t="s">
        <v>1574</v>
      </c>
      <c r="H261" s="1" t="s">
        <v>51</v>
      </c>
      <c r="J261" s="1" t="s">
        <v>51</v>
      </c>
      <c r="M261" s="1" t="s">
        <v>51</v>
      </c>
      <c r="N261" s="1" t="s">
        <v>45</v>
      </c>
      <c r="O261" s="1" t="s">
        <v>45</v>
      </c>
      <c r="P261" s="1" t="s">
        <v>45</v>
      </c>
      <c r="Q261" s="1" t="s">
        <v>45</v>
      </c>
      <c r="R261" s="1" t="s">
        <v>45</v>
      </c>
      <c r="S261" s="1" t="s">
        <v>45</v>
      </c>
      <c r="T261" s="1" t="s">
        <v>45</v>
      </c>
      <c r="U261" s="1" t="s">
        <v>45</v>
      </c>
      <c r="V261" s="1" t="s">
        <v>45</v>
      </c>
      <c r="W261" s="1" t="s">
        <v>45</v>
      </c>
      <c r="X261" s="1" t="s">
        <v>45</v>
      </c>
      <c r="Y261" s="1" t="s">
        <v>45</v>
      </c>
      <c r="Z261" s="1" t="s">
        <v>45</v>
      </c>
      <c r="AA261" s="1" t="s">
        <v>45</v>
      </c>
      <c r="AB261" s="1" t="s">
        <v>45</v>
      </c>
      <c r="AC261" s="1" t="s">
        <v>45</v>
      </c>
      <c r="AD261" s="1" t="s">
        <v>45</v>
      </c>
      <c r="AE261" s="1" t="s">
        <v>45</v>
      </c>
      <c r="AF261" s="32">
        <v>45655</v>
      </c>
      <c r="AG261" s="1">
        <v>75.500523624715001</v>
      </c>
      <c r="AH261" s="1" t="s">
        <v>1526</v>
      </c>
      <c r="AI261" s="1" t="s">
        <v>1527</v>
      </c>
      <c r="AJ261" s="1" t="s">
        <v>45</v>
      </c>
      <c r="AK261" s="1" t="s">
        <v>45</v>
      </c>
      <c r="AL261" s="1" t="s">
        <v>51</v>
      </c>
      <c r="AM261" s="1" t="s">
        <v>45</v>
      </c>
      <c r="AN261" s="1" t="s">
        <v>45</v>
      </c>
      <c r="AO261" s="1" t="s">
        <v>51</v>
      </c>
      <c r="AP261" s="1" t="s">
        <v>45</v>
      </c>
      <c r="AQ261" s="1" t="s">
        <v>45</v>
      </c>
      <c r="AR261" s="1" t="s">
        <v>45</v>
      </c>
      <c r="AT261" s="1" t="s">
        <v>1528</v>
      </c>
      <c r="AW261" s="33" t="s">
        <v>1463</v>
      </c>
      <c r="AX261" s="3" t="s">
        <v>1528</v>
      </c>
      <c r="AY261" s="3"/>
      <c r="AZ261" s="1">
        <v>4</v>
      </c>
      <c r="BA261" s="1" t="s">
        <v>1529</v>
      </c>
      <c r="BB261" s="1" t="s">
        <v>1530</v>
      </c>
      <c r="BC261" s="1" t="s">
        <v>1531</v>
      </c>
      <c r="BD261" s="1" t="s">
        <v>1532</v>
      </c>
      <c r="BE261" s="1" t="s">
        <v>1603</v>
      </c>
      <c r="BF261" s="1" t="s">
        <v>1534</v>
      </c>
      <c r="BG261" s="1" t="s">
        <v>1525</v>
      </c>
      <c r="BH261" s="1" t="s">
        <v>46</v>
      </c>
      <c r="BI261" s="1" t="s">
        <v>1535</v>
      </c>
      <c r="BJ261" s="1" t="s">
        <v>1525</v>
      </c>
      <c r="BK261" s="1" t="s">
        <v>1536</v>
      </c>
      <c r="BL261" s="32">
        <v>45655</v>
      </c>
      <c r="BM261" s="1" t="s">
        <v>1313</v>
      </c>
      <c r="BO261" s="1" t="s">
        <v>1537</v>
      </c>
      <c r="BP261" s="1" t="s">
        <v>1551</v>
      </c>
      <c r="BQ261" s="1" t="s">
        <v>1605</v>
      </c>
      <c r="BR261" s="1" t="s">
        <v>1552</v>
      </c>
      <c r="BS261" s="1" t="s">
        <v>106</v>
      </c>
      <c r="BU261" s="1" t="s">
        <v>51</v>
      </c>
      <c r="BV261" s="1" t="s">
        <v>1541</v>
      </c>
      <c r="BW261" s="1" t="s">
        <v>1542</v>
      </c>
      <c r="CA261" s="1" t="s">
        <v>51</v>
      </c>
      <c r="CB261" s="1" t="s">
        <v>51</v>
      </c>
      <c r="CC261" s="32">
        <v>45679</v>
      </c>
      <c r="CD261" s="1">
        <v>40.049999999999997</v>
      </c>
      <c r="CE261" s="1">
        <v>15</v>
      </c>
      <c r="CJ261" s="1" t="s">
        <v>45</v>
      </c>
      <c r="DH261" s="1" t="s">
        <v>45</v>
      </c>
      <c r="DM261" s="1" t="s">
        <v>45</v>
      </c>
      <c r="DO261" s="1" t="s">
        <v>45</v>
      </c>
      <c r="DQ261" s="1" t="s">
        <v>45</v>
      </c>
      <c r="DT261" s="32">
        <v>45755</v>
      </c>
      <c r="DU261" s="1" t="s">
        <v>1598</v>
      </c>
      <c r="DV261" s="1">
        <v>3.2851511169513699</v>
      </c>
      <c r="DW261" s="1" t="s">
        <v>45</v>
      </c>
      <c r="DY261" s="32">
        <v>45820</v>
      </c>
      <c r="DZ261" s="1" t="s">
        <v>1544</v>
      </c>
    </row>
    <row r="262" spans="1:130" ht="15.75" customHeight="1" x14ac:dyDescent="0.2">
      <c r="A262" s="8" t="s">
        <v>1320</v>
      </c>
      <c r="B262" s="32">
        <v>33080</v>
      </c>
      <c r="C262" s="32">
        <v>45495</v>
      </c>
      <c r="D262" s="1">
        <v>33.991115491762301</v>
      </c>
      <c r="E262" s="1" t="s">
        <v>1587</v>
      </c>
      <c r="F262" s="1" t="s">
        <v>1524</v>
      </c>
      <c r="G262" s="1" t="s">
        <v>1574</v>
      </c>
      <c r="H262" s="1" t="s">
        <v>51</v>
      </c>
      <c r="I262" s="1">
        <v>1.7649999999999999</v>
      </c>
      <c r="J262" s="1" t="s">
        <v>51</v>
      </c>
      <c r="K262" s="1">
        <v>114.7</v>
      </c>
      <c r="L262" s="1">
        <v>36.819170364901403</v>
      </c>
      <c r="M262" s="1" t="s">
        <v>45</v>
      </c>
      <c r="N262" s="1" t="s">
        <v>45</v>
      </c>
      <c r="O262" s="1" t="s">
        <v>45</v>
      </c>
      <c r="P262" s="1" t="s">
        <v>45</v>
      </c>
      <c r="Q262" s="1" t="s">
        <v>45</v>
      </c>
      <c r="R262" s="1" t="s">
        <v>45</v>
      </c>
      <c r="S262" s="1" t="s">
        <v>45</v>
      </c>
      <c r="T262" s="1" t="s">
        <v>45</v>
      </c>
      <c r="U262" s="1" t="s">
        <v>45</v>
      </c>
      <c r="V262" s="1" t="s">
        <v>45</v>
      </c>
      <c r="W262" s="1" t="s">
        <v>45</v>
      </c>
      <c r="X262" s="1" t="s">
        <v>45</v>
      </c>
      <c r="Y262" s="1" t="s">
        <v>45</v>
      </c>
      <c r="Z262" s="1" t="s">
        <v>45</v>
      </c>
      <c r="AA262" s="1" t="s">
        <v>45</v>
      </c>
      <c r="AB262" s="1" t="s">
        <v>45</v>
      </c>
      <c r="AC262" s="1" t="s">
        <v>45</v>
      </c>
      <c r="AD262" s="1" t="s">
        <v>45</v>
      </c>
      <c r="AE262" s="1" t="s">
        <v>45</v>
      </c>
      <c r="AF262" s="32">
        <v>45664</v>
      </c>
      <c r="AG262" s="1">
        <v>34.453821775943297</v>
      </c>
      <c r="AH262" s="1" t="s">
        <v>1558</v>
      </c>
      <c r="AI262" s="1" t="s">
        <v>1527</v>
      </c>
      <c r="AJ262" s="1" t="s">
        <v>45</v>
      </c>
      <c r="AK262" s="1" t="s">
        <v>45</v>
      </c>
      <c r="AL262" s="1" t="s">
        <v>45</v>
      </c>
      <c r="AM262" s="1" t="s">
        <v>45</v>
      </c>
      <c r="AN262" s="1" t="s">
        <v>45</v>
      </c>
      <c r="AO262" s="1" t="s">
        <v>45</v>
      </c>
      <c r="AP262" s="1" t="s">
        <v>45</v>
      </c>
      <c r="AQ262" s="1" t="s">
        <v>45</v>
      </c>
      <c r="AR262" s="1" t="s">
        <v>51</v>
      </c>
      <c r="AS262" s="1" t="s">
        <v>2214</v>
      </c>
      <c r="AT262" s="1" t="s">
        <v>1560</v>
      </c>
      <c r="AW262" s="33" t="s">
        <v>1463</v>
      </c>
      <c r="AX262" s="3" t="s">
        <v>1560</v>
      </c>
      <c r="AY262" s="3"/>
      <c r="AZ262" s="1">
        <v>4</v>
      </c>
      <c r="BA262" s="1" t="s">
        <v>1529</v>
      </c>
      <c r="BB262" s="1" t="s">
        <v>1567</v>
      </c>
      <c r="BC262" s="1" t="s">
        <v>1531</v>
      </c>
      <c r="BD262" s="1" t="s">
        <v>1822</v>
      </c>
      <c r="BE262" s="1" t="s">
        <v>1603</v>
      </c>
      <c r="BF262" s="1" t="s">
        <v>1534</v>
      </c>
      <c r="BG262" s="1" t="s">
        <v>45</v>
      </c>
      <c r="BH262" s="1" t="s">
        <v>46</v>
      </c>
      <c r="BI262" s="1" t="s">
        <v>1599</v>
      </c>
      <c r="BJ262" s="1" t="s">
        <v>51</v>
      </c>
      <c r="BK262" s="1" t="s">
        <v>1536</v>
      </c>
      <c r="BL262" s="32">
        <v>45664</v>
      </c>
      <c r="BM262" s="1" t="s">
        <v>1321</v>
      </c>
      <c r="BO262" s="1" t="s">
        <v>1537</v>
      </c>
      <c r="BP262" s="1" t="s">
        <v>1538</v>
      </c>
      <c r="BQ262" s="1" t="s">
        <v>1647</v>
      </c>
      <c r="BR262" s="1" t="s">
        <v>1552</v>
      </c>
      <c r="BS262" s="1" t="s">
        <v>43</v>
      </c>
      <c r="BU262" s="1" t="s">
        <v>51</v>
      </c>
      <c r="BV262" s="1" t="s">
        <v>1541</v>
      </c>
      <c r="BW262" s="1" t="s">
        <v>1542</v>
      </c>
      <c r="CA262" s="1" t="s">
        <v>45</v>
      </c>
      <c r="CB262" s="1" t="s">
        <v>45</v>
      </c>
      <c r="CG262" s="1" t="s">
        <v>2215</v>
      </c>
      <c r="CJ262" s="1" t="s">
        <v>45</v>
      </c>
      <c r="DH262" s="1" t="s">
        <v>45</v>
      </c>
      <c r="DM262" s="1" t="s">
        <v>45</v>
      </c>
      <c r="DO262" s="1" t="s">
        <v>45</v>
      </c>
      <c r="DQ262" s="1" t="s">
        <v>45</v>
      </c>
      <c r="DT262" s="32">
        <v>45783</v>
      </c>
      <c r="DU262" s="1" t="s">
        <v>1598</v>
      </c>
      <c r="DV262" s="1">
        <v>3.9093298291721399</v>
      </c>
      <c r="DW262" s="1" t="s">
        <v>45</v>
      </c>
      <c r="DY262" s="32">
        <v>45812</v>
      </c>
      <c r="DZ262" s="1" t="s">
        <v>1544</v>
      </c>
    </row>
    <row r="263" spans="1:130" ht="15.75" customHeight="1" x14ac:dyDescent="0.2">
      <c r="A263" s="8" t="s">
        <v>1325</v>
      </c>
      <c r="B263" s="32">
        <v>45427</v>
      </c>
      <c r="C263" s="32">
        <v>45664</v>
      </c>
      <c r="D263" s="1">
        <v>0.64888396065627596</v>
      </c>
      <c r="E263" s="1" t="s">
        <v>1587</v>
      </c>
      <c r="F263" s="1" t="s">
        <v>1524</v>
      </c>
      <c r="G263" s="1" t="s">
        <v>1574</v>
      </c>
      <c r="H263" s="1" t="s">
        <v>51</v>
      </c>
      <c r="I263" s="1">
        <v>1.65</v>
      </c>
      <c r="J263" s="1" t="s">
        <v>51</v>
      </c>
      <c r="K263" s="1">
        <v>73.5</v>
      </c>
      <c r="L263" s="1">
        <v>26.997245179063299</v>
      </c>
      <c r="M263" s="1" t="s">
        <v>45</v>
      </c>
      <c r="N263" s="1" t="s">
        <v>45</v>
      </c>
      <c r="O263" s="1" t="s">
        <v>45</v>
      </c>
      <c r="P263" s="1" t="s">
        <v>45</v>
      </c>
      <c r="Q263" s="1" t="s">
        <v>45</v>
      </c>
      <c r="R263" s="1" t="s">
        <v>45</v>
      </c>
      <c r="S263" s="1" t="s">
        <v>45</v>
      </c>
      <c r="T263" s="1" t="s">
        <v>45</v>
      </c>
      <c r="U263" s="1" t="s">
        <v>45</v>
      </c>
      <c r="V263" s="1" t="s">
        <v>45</v>
      </c>
      <c r="W263" s="1" t="s">
        <v>45</v>
      </c>
      <c r="X263" s="1" t="s">
        <v>45</v>
      </c>
      <c r="Y263" s="1" t="s">
        <v>45</v>
      </c>
      <c r="Z263" s="1" t="s">
        <v>45</v>
      </c>
      <c r="AA263" s="1" t="s">
        <v>45</v>
      </c>
      <c r="AB263" s="1" t="s">
        <v>45</v>
      </c>
      <c r="AC263" s="1" t="s">
        <v>45</v>
      </c>
      <c r="AD263" s="1" t="s">
        <v>45</v>
      </c>
      <c r="AE263" s="1" t="s">
        <v>45</v>
      </c>
      <c r="AF263" s="32">
        <v>45665</v>
      </c>
      <c r="AG263" s="1">
        <v>0.65162186766326402</v>
      </c>
      <c r="AH263" s="34" t="s">
        <v>1613</v>
      </c>
      <c r="AI263" s="1" t="s">
        <v>1527</v>
      </c>
      <c r="AJ263" s="1" t="s">
        <v>45</v>
      </c>
      <c r="AK263" s="1" t="s">
        <v>45</v>
      </c>
      <c r="AL263" s="1" t="s">
        <v>51</v>
      </c>
      <c r="AM263" s="1" t="s">
        <v>45</v>
      </c>
      <c r="AN263" s="1" t="s">
        <v>51</v>
      </c>
      <c r="AO263" s="1" t="s">
        <v>45</v>
      </c>
      <c r="AP263" s="1" t="s">
        <v>51</v>
      </c>
      <c r="AQ263" s="1" t="s">
        <v>51</v>
      </c>
      <c r="AR263" s="1" t="s">
        <v>51</v>
      </c>
      <c r="AS263" s="1" t="s">
        <v>2216</v>
      </c>
      <c r="AT263" s="1" t="s">
        <v>1528</v>
      </c>
      <c r="AW263" s="33" t="s">
        <v>1463</v>
      </c>
      <c r="AX263" s="3" t="s">
        <v>1528</v>
      </c>
      <c r="AY263" s="3"/>
      <c r="AZ263" s="1">
        <v>4</v>
      </c>
      <c r="BA263" s="1" t="s">
        <v>1529</v>
      </c>
      <c r="BB263" s="1" t="s">
        <v>1530</v>
      </c>
      <c r="BC263" s="1" t="s">
        <v>1531</v>
      </c>
      <c r="BD263" s="1" t="s">
        <v>1532</v>
      </c>
      <c r="BE263" s="1" t="s">
        <v>1603</v>
      </c>
      <c r="BF263" s="1" t="s">
        <v>1534</v>
      </c>
      <c r="BG263" s="1" t="s">
        <v>45</v>
      </c>
      <c r="BH263" s="1" t="s">
        <v>46</v>
      </c>
      <c r="BI263" s="1" t="s">
        <v>1535</v>
      </c>
      <c r="BJ263" s="1" t="s">
        <v>45</v>
      </c>
      <c r="BK263" s="1" t="s">
        <v>1536</v>
      </c>
      <c r="BL263" s="32">
        <v>45665</v>
      </c>
      <c r="BM263" s="1" t="s">
        <v>1326</v>
      </c>
      <c r="BO263" s="1" t="s">
        <v>1853</v>
      </c>
      <c r="BP263" s="1" t="s">
        <v>1551</v>
      </c>
      <c r="BQ263" s="1" t="s">
        <v>1605</v>
      </c>
      <c r="BR263" s="1" t="s">
        <v>1540</v>
      </c>
      <c r="BS263" s="1" t="s">
        <v>43</v>
      </c>
      <c r="BU263" s="1" t="s">
        <v>51</v>
      </c>
      <c r="BV263" s="1" t="s">
        <v>1541</v>
      </c>
      <c r="BW263" s="1" t="s">
        <v>1542</v>
      </c>
      <c r="CA263" s="1" t="s">
        <v>51</v>
      </c>
      <c r="CB263" s="1" t="s">
        <v>51</v>
      </c>
      <c r="CC263" s="32">
        <v>45686</v>
      </c>
      <c r="CD263" s="1">
        <v>40.049999999999997</v>
      </c>
      <c r="CE263" s="1">
        <v>15</v>
      </c>
      <c r="CJ263" s="1" t="s">
        <v>51</v>
      </c>
      <c r="CK263" s="32">
        <v>45698</v>
      </c>
      <c r="CL263" s="1" t="s">
        <v>45</v>
      </c>
      <c r="DH263" s="1" t="s">
        <v>45</v>
      </c>
      <c r="DM263" s="1" t="s">
        <v>45</v>
      </c>
      <c r="DO263" s="1" t="s">
        <v>45</v>
      </c>
      <c r="DQ263" s="1" t="s">
        <v>45</v>
      </c>
      <c r="DT263" s="32">
        <v>45716</v>
      </c>
      <c r="DU263" s="1" t="s">
        <v>1556</v>
      </c>
      <c r="DV263" s="1">
        <v>1.6754270696452001</v>
      </c>
      <c r="DW263" s="1" t="s">
        <v>45</v>
      </c>
      <c r="DY263" s="32">
        <v>45812</v>
      </c>
      <c r="DZ263" s="1" t="s">
        <v>1544</v>
      </c>
    </row>
    <row r="264" spans="1:130" ht="15.75" customHeight="1" x14ac:dyDescent="0.2">
      <c r="A264" s="8" t="s">
        <v>1329</v>
      </c>
      <c r="B264" s="32">
        <v>21890</v>
      </c>
      <c r="C264" s="32">
        <v>45659</v>
      </c>
      <c r="D264" s="1">
        <v>65.077311649109802</v>
      </c>
      <c r="E264" s="1" t="s">
        <v>1523</v>
      </c>
      <c r="F264" s="1" t="s">
        <v>1578</v>
      </c>
      <c r="G264" s="1" t="s">
        <v>1574</v>
      </c>
      <c r="H264" s="1" t="s">
        <v>51</v>
      </c>
      <c r="I264" s="1">
        <v>1.7270000000000001</v>
      </c>
      <c r="J264" s="1" t="s">
        <v>51</v>
      </c>
      <c r="K264" s="1">
        <v>89</v>
      </c>
      <c r="L264" s="1">
        <v>29.8404474860093</v>
      </c>
      <c r="M264" s="1" t="s">
        <v>45</v>
      </c>
      <c r="N264" s="1" t="s">
        <v>45</v>
      </c>
      <c r="O264" s="1" t="s">
        <v>45</v>
      </c>
      <c r="P264" s="1" t="s">
        <v>45</v>
      </c>
      <c r="Q264" s="1" t="s">
        <v>45</v>
      </c>
      <c r="R264" s="1" t="s">
        <v>45</v>
      </c>
      <c r="S264" s="1" t="s">
        <v>45</v>
      </c>
      <c r="T264" s="1" t="s">
        <v>45</v>
      </c>
      <c r="U264" s="1" t="s">
        <v>45</v>
      </c>
      <c r="V264" s="1" t="s">
        <v>45</v>
      </c>
      <c r="W264" s="1" t="s">
        <v>45</v>
      </c>
      <c r="X264" s="1" t="s">
        <v>45</v>
      </c>
      <c r="Y264" s="1" t="s">
        <v>45</v>
      </c>
      <c r="Z264" s="1" t="s">
        <v>45</v>
      </c>
      <c r="AA264" s="1" t="s">
        <v>45</v>
      </c>
      <c r="AB264" s="1" t="s">
        <v>45</v>
      </c>
      <c r="AC264" s="1" t="s">
        <v>45</v>
      </c>
      <c r="AD264" s="1" t="s">
        <v>45</v>
      </c>
      <c r="AE264" s="1" t="s">
        <v>45</v>
      </c>
      <c r="AF264" s="32">
        <v>45666</v>
      </c>
      <c r="AG264" s="1">
        <v>65.096476998158707</v>
      </c>
      <c r="AH264" s="1" t="s">
        <v>1558</v>
      </c>
      <c r="AI264" s="1" t="s">
        <v>1527</v>
      </c>
      <c r="AJ264" s="1" t="s">
        <v>45</v>
      </c>
      <c r="AK264" s="1" t="s">
        <v>45</v>
      </c>
      <c r="AL264" s="1" t="s">
        <v>45</v>
      </c>
      <c r="AM264" s="1" t="s">
        <v>51</v>
      </c>
      <c r="AN264" s="1" t="s">
        <v>45</v>
      </c>
      <c r="AO264" s="1" t="s">
        <v>45</v>
      </c>
      <c r="AP264" s="1" t="s">
        <v>45</v>
      </c>
      <c r="AQ264" s="1" t="s">
        <v>45</v>
      </c>
      <c r="AR264" s="1" t="s">
        <v>45</v>
      </c>
      <c r="AT264" s="1" t="s">
        <v>1528</v>
      </c>
      <c r="AW264" s="33" t="s">
        <v>1463</v>
      </c>
      <c r="AX264" s="3" t="s">
        <v>1528</v>
      </c>
      <c r="AY264" s="3"/>
      <c r="AZ264" s="1">
        <v>4</v>
      </c>
      <c r="BA264" s="1" t="s">
        <v>1529</v>
      </c>
      <c r="BB264" s="1" t="s">
        <v>1530</v>
      </c>
      <c r="BC264" s="1" t="s">
        <v>1531</v>
      </c>
      <c r="BD264" s="1" t="s">
        <v>1532</v>
      </c>
      <c r="BE264" s="1" t="s">
        <v>1525</v>
      </c>
      <c r="BG264" s="1" t="s">
        <v>45</v>
      </c>
      <c r="BH264" s="1" t="s">
        <v>46</v>
      </c>
      <c r="BI264" s="1" t="s">
        <v>1535</v>
      </c>
      <c r="BJ264" s="1" t="s">
        <v>1525</v>
      </c>
      <c r="BK264" s="1" t="s">
        <v>1536</v>
      </c>
      <c r="BL264" s="32">
        <v>45666</v>
      </c>
      <c r="BM264" s="1" t="s">
        <v>1330</v>
      </c>
      <c r="BO264" s="1" t="s">
        <v>1853</v>
      </c>
      <c r="BP264" s="1" t="s">
        <v>1551</v>
      </c>
      <c r="BQ264" s="1" t="s">
        <v>1605</v>
      </c>
      <c r="BR264" s="1" t="s">
        <v>1540</v>
      </c>
      <c r="BS264" s="1" t="s">
        <v>50</v>
      </c>
      <c r="BU264" s="1" t="s">
        <v>1525</v>
      </c>
      <c r="CA264" s="1" t="s">
        <v>1525</v>
      </c>
      <c r="CI264" s="1" t="s">
        <v>2217</v>
      </c>
      <c r="CJ264" s="1" t="s">
        <v>45</v>
      </c>
      <c r="DH264" s="1" t="s">
        <v>45</v>
      </c>
      <c r="DM264" s="1" t="s">
        <v>45</v>
      </c>
      <c r="DO264" s="1" t="s">
        <v>45</v>
      </c>
      <c r="DQ264" s="1" t="s">
        <v>45</v>
      </c>
      <c r="DT264" s="32">
        <v>45667</v>
      </c>
      <c r="DU264" s="1" t="s">
        <v>1598</v>
      </c>
      <c r="DV264" s="1">
        <v>3.2851511169513799E-2</v>
      </c>
      <c r="DW264" s="1" t="s">
        <v>45</v>
      </c>
      <c r="DY264" s="32">
        <v>45812</v>
      </c>
      <c r="DZ264" s="1" t="s">
        <v>1544</v>
      </c>
    </row>
    <row r="265" spans="1:130" ht="15.75" customHeight="1" x14ac:dyDescent="0.2">
      <c r="A265" s="8" t="s">
        <v>1333</v>
      </c>
      <c r="B265" s="32">
        <v>36453</v>
      </c>
      <c r="C265" s="32">
        <v>45401</v>
      </c>
      <c r="D265" s="1">
        <v>24.498791898533099</v>
      </c>
      <c r="E265" s="1" t="s">
        <v>1523</v>
      </c>
      <c r="F265" s="1" t="s">
        <v>1524</v>
      </c>
      <c r="G265" s="1" t="s">
        <v>1545</v>
      </c>
      <c r="H265" s="1" t="s">
        <v>51</v>
      </c>
      <c r="I265" s="1">
        <v>1.88</v>
      </c>
      <c r="J265" s="1" t="s">
        <v>51</v>
      </c>
      <c r="K265" s="1">
        <v>119.1</v>
      </c>
      <c r="L265" s="1">
        <v>33.697374377546403</v>
      </c>
      <c r="M265" s="1" t="s">
        <v>45</v>
      </c>
      <c r="N265" s="1" t="s">
        <v>45</v>
      </c>
      <c r="O265" s="1" t="s">
        <v>45</v>
      </c>
      <c r="P265" s="1" t="s">
        <v>45</v>
      </c>
      <c r="Q265" s="1" t="s">
        <v>45</v>
      </c>
      <c r="R265" s="1" t="s">
        <v>45</v>
      </c>
      <c r="S265" s="1" t="s">
        <v>45</v>
      </c>
      <c r="T265" s="1" t="s">
        <v>45</v>
      </c>
      <c r="U265" s="1" t="s">
        <v>45</v>
      </c>
      <c r="V265" s="1" t="s">
        <v>45</v>
      </c>
      <c r="W265" s="1" t="s">
        <v>45</v>
      </c>
      <c r="X265" s="1" t="s">
        <v>45</v>
      </c>
      <c r="Y265" s="1" t="s">
        <v>45</v>
      </c>
      <c r="Z265" s="1" t="s">
        <v>45</v>
      </c>
      <c r="AA265" s="1" t="s">
        <v>45</v>
      </c>
      <c r="AB265" s="1" t="s">
        <v>45</v>
      </c>
      <c r="AC265" s="1" t="s">
        <v>45</v>
      </c>
      <c r="AD265" s="1" t="s">
        <v>45</v>
      </c>
      <c r="AE265" s="1" t="s">
        <v>45</v>
      </c>
      <c r="AF265" s="32">
        <v>45672</v>
      </c>
      <c r="AG265" s="1">
        <v>25.240764697427</v>
      </c>
      <c r="AH265" s="1" t="s">
        <v>1558</v>
      </c>
      <c r="AI265" s="1" t="s">
        <v>1527</v>
      </c>
      <c r="AJ265" s="1" t="s">
        <v>45</v>
      </c>
      <c r="AK265" s="1" t="s">
        <v>45</v>
      </c>
      <c r="AL265" s="1" t="s">
        <v>45</v>
      </c>
      <c r="AM265" s="1" t="s">
        <v>45</v>
      </c>
      <c r="AN265" s="1" t="s">
        <v>45</v>
      </c>
      <c r="AO265" s="1" t="s">
        <v>51</v>
      </c>
      <c r="AP265" s="1" t="s">
        <v>45</v>
      </c>
      <c r="AQ265" s="1" t="s">
        <v>45</v>
      </c>
      <c r="AR265" s="1" t="s">
        <v>45</v>
      </c>
      <c r="AT265" s="1" t="s">
        <v>1546</v>
      </c>
      <c r="AV265" s="1" t="s">
        <v>1706</v>
      </c>
      <c r="AW265" s="33" t="s">
        <v>1464</v>
      </c>
      <c r="AX265" s="3"/>
      <c r="AY265" s="33" t="s">
        <v>1621</v>
      </c>
      <c r="AZ265" s="1">
        <v>1</v>
      </c>
      <c r="BA265" s="1" t="s">
        <v>1814</v>
      </c>
      <c r="BB265" s="1" t="s">
        <v>1530</v>
      </c>
      <c r="BC265" s="1" t="s">
        <v>1531</v>
      </c>
      <c r="BD265" s="1" t="s">
        <v>1532</v>
      </c>
      <c r="BE265" s="1" t="s">
        <v>1525</v>
      </c>
      <c r="BG265" s="1" t="s">
        <v>1525</v>
      </c>
      <c r="BH265" s="1" t="s">
        <v>68</v>
      </c>
      <c r="BI265" s="1" t="s">
        <v>1535</v>
      </c>
      <c r="BJ265" s="1" t="s">
        <v>45</v>
      </c>
      <c r="BK265" s="1" t="s">
        <v>1536</v>
      </c>
      <c r="BL265" s="32">
        <v>45672</v>
      </c>
      <c r="BM265" s="1" t="s">
        <v>1334</v>
      </c>
      <c r="BO265" s="1" t="s">
        <v>1537</v>
      </c>
      <c r="BP265" s="1" t="s">
        <v>1538</v>
      </c>
      <c r="BQ265" s="1" t="s">
        <v>1539</v>
      </c>
      <c r="BR265" s="1" t="s">
        <v>1540</v>
      </c>
      <c r="BS265" s="1" t="s">
        <v>43</v>
      </c>
      <c r="BU265" s="1" t="s">
        <v>45</v>
      </c>
      <c r="BW265" s="1" t="s">
        <v>1542</v>
      </c>
      <c r="CA265" s="1" t="s">
        <v>45</v>
      </c>
      <c r="CB265" s="1" t="s">
        <v>45</v>
      </c>
      <c r="CJ265" s="1" t="s">
        <v>45</v>
      </c>
      <c r="DH265" s="1" t="s">
        <v>45</v>
      </c>
      <c r="DM265" s="1" t="s">
        <v>45</v>
      </c>
      <c r="DO265" s="1" t="s">
        <v>45</v>
      </c>
      <c r="DQ265" s="1" t="s">
        <v>45</v>
      </c>
      <c r="DT265" s="32">
        <v>45790</v>
      </c>
      <c r="DU265" s="1" t="s">
        <v>1598</v>
      </c>
      <c r="DV265" s="1">
        <v>3.8764783180026199</v>
      </c>
      <c r="DW265" s="1" t="s">
        <v>45</v>
      </c>
      <c r="DY265" s="32">
        <v>45812</v>
      </c>
      <c r="DZ265" s="1" t="s">
        <v>1544</v>
      </c>
    </row>
    <row r="266" spans="1:130" ht="15.75" customHeight="1" x14ac:dyDescent="0.2">
      <c r="A266" s="8" t="s">
        <v>1336</v>
      </c>
      <c r="B266" s="32">
        <v>32865</v>
      </c>
      <c r="C266" s="32">
        <v>45663</v>
      </c>
      <c r="D266" s="1">
        <v>35.039733875438898</v>
      </c>
      <c r="E266" s="1" t="s">
        <v>1587</v>
      </c>
      <c r="F266" s="1" t="s">
        <v>1524</v>
      </c>
      <c r="G266" s="1" t="s">
        <v>1574</v>
      </c>
      <c r="H266" s="1" t="s">
        <v>51</v>
      </c>
      <c r="I266" s="1">
        <v>1.73</v>
      </c>
      <c r="J266" s="1" t="s">
        <v>51</v>
      </c>
      <c r="K266" s="1">
        <v>72</v>
      </c>
      <c r="L266" s="1">
        <v>24.056934745564501</v>
      </c>
      <c r="M266" s="1" t="s">
        <v>45</v>
      </c>
      <c r="N266" s="1" t="s">
        <v>45</v>
      </c>
      <c r="O266" s="1" t="s">
        <v>45</v>
      </c>
      <c r="P266" s="1" t="s">
        <v>45</v>
      </c>
      <c r="Q266" s="1" t="s">
        <v>45</v>
      </c>
      <c r="R266" s="1" t="s">
        <v>45</v>
      </c>
      <c r="S266" s="1" t="s">
        <v>45</v>
      </c>
      <c r="T266" s="1" t="s">
        <v>45</v>
      </c>
      <c r="U266" s="1" t="s">
        <v>45</v>
      </c>
      <c r="V266" s="1" t="s">
        <v>45</v>
      </c>
      <c r="W266" s="1" t="s">
        <v>45</v>
      </c>
      <c r="X266" s="1" t="s">
        <v>45</v>
      </c>
      <c r="Y266" s="1" t="s">
        <v>45</v>
      </c>
      <c r="Z266" s="1" t="s">
        <v>45</v>
      </c>
      <c r="AA266" s="1" t="s">
        <v>51</v>
      </c>
      <c r="AB266" s="1" t="s">
        <v>45</v>
      </c>
      <c r="AC266" s="1" t="s">
        <v>45</v>
      </c>
      <c r="AD266" s="1" t="s">
        <v>45</v>
      </c>
      <c r="AE266" s="1" t="s">
        <v>45</v>
      </c>
      <c r="AF266" s="32">
        <v>45673</v>
      </c>
      <c r="AG266" s="1">
        <v>35.067112945508804</v>
      </c>
      <c r="AH266" s="1" t="s">
        <v>1526</v>
      </c>
      <c r="AI266" s="1" t="s">
        <v>1527</v>
      </c>
      <c r="AJ266" s="1" t="s">
        <v>45</v>
      </c>
      <c r="AK266" s="1" t="s">
        <v>45</v>
      </c>
      <c r="AL266" s="1" t="s">
        <v>45</v>
      </c>
      <c r="AM266" s="1" t="s">
        <v>51</v>
      </c>
      <c r="AN266" s="1" t="s">
        <v>45</v>
      </c>
      <c r="AO266" s="1" t="s">
        <v>51</v>
      </c>
      <c r="AP266" s="1" t="s">
        <v>45</v>
      </c>
      <c r="AQ266" s="1" t="s">
        <v>45</v>
      </c>
      <c r="AR266" s="1" t="s">
        <v>45</v>
      </c>
      <c r="AT266" s="1" t="s">
        <v>1601</v>
      </c>
      <c r="AW266" s="33" t="s">
        <v>1463</v>
      </c>
      <c r="AX266" s="3" t="s">
        <v>1601</v>
      </c>
      <c r="AY266" s="3"/>
      <c r="AZ266" s="1">
        <v>3</v>
      </c>
      <c r="BA266" s="1" t="s">
        <v>1978</v>
      </c>
      <c r="BB266" s="1" t="s">
        <v>1567</v>
      </c>
      <c r="BC266" s="1" t="s">
        <v>1602</v>
      </c>
      <c r="BD266" s="1" t="s">
        <v>1990</v>
      </c>
      <c r="BE266" s="1" t="s">
        <v>1603</v>
      </c>
      <c r="BF266" s="1" t="s">
        <v>1534</v>
      </c>
      <c r="BG266" s="1" t="s">
        <v>1525</v>
      </c>
      <c r="BH266" s="1" t="s">
        <v>46</v>
      </c>
      <c r="BI266" s="1" t="s">
        <v>1535</v>
      </c>
      <c r="BJ266" s="1" t="s">
        <v>1525</v>
      </c>
      <c r="BK266" s="1" t="s">
        <v>1536</v>
      </c>
      <c r="BL266" s="32">
        <v>45673</v>
      </c>
      <c r="BM266" s="1" t="s">
        <v>1337</v>
      </c>
      <c r="BO266" s="1" t="s">
        <v>1537</v>
      </c>
      <c r="BP266" s="1" t="s">
        <v>1538</v>
      </c>
      <c r="BQ266" s="1" t="s">
        <v>1539</v>
      </c>
      <c r="BR266" s="1" t="s">
        <v>1552</v>
      </c>
      <c r="BS266" s="1" t="s">
        <v>50</v>
      </c>
      <c r="BU266" s="1" t="s">
        <v>51</v>
      </c>
      <c r="BV266" s="1" t="s">
        <v>1541</v>
      </c>
      <c r="BW266" s="1" t="s">
        <v>1563</v>
      </c>
      <c r="BX266" s="32">
        <v>45779</v>
      </c>
      <c r="BY266" s="1">
        <v>12</v>
      </c>
      <c r="BZ266" s="1" t="s">
        <v>2218</v>
      </c>
      <c r="CA266" s="1" t="s">
        <v>51</v>
      </c>
      <c r="CB266" s="1" t="s">
        <v>51</v>
      </c>
      <c r="CC266" s="32">
        <v>45700</v>
      </c>
      <c r="CD266" s="1">
        <v>59.4</v>
      </c>
      <c r="CE266" s="1">
        <v>33</v>
      </c>
      <c r="CJ266" s="1" t="s">
        <v>45</v>
      </c>
      <c r="DH266" s="1" t="s">
        <v>45</v>
      </c>
      <c r="DM266" s="1" t="s">
        <v>45</v>
      </c>
      <c r="DO266" s="1" t="s">
        <v>45</v>
      </c>
      <c r="DQ266" s="1" t="s">
        <v>45</v>
      </c>
      <c r="DT266" s="32">
        <v>45807</v>
      </c>
      <c r="DU266" s="1" t="s">
        <v>1598</v>
      </c>
      <c r="DV266" s="1">
        <v>4.4021024967148401</v>
      </c>
      <c r="DW266" s="1" t="s">
        <v>45</v>
      </c>
      <c r="DY266" s="32">
        <v>45812</v>
      </c>
      <c r="DZ266" s="1" t="s">
        <v>1544</v>
      </c>
    </row>
    <row r="267" spans="1:130" ht="15.75" customHeight="1" x14ac:dyDescent="0.2">
      <c r="A267" s="8" t="s">
        <v>1341</v>
      </c>
      <c r="B267" s="32">
        <v>30461</v>
      </c>
      <c r="C267" s="32">
        <v>45625</v>
      </c>
      <c r="D267" s="1">
        <v>41.517621853973701</v>
      </c>
      <c r="E267" s="1" t="s">
        <v>1523</v>
      </c>
      <c r="F267" s="1" t="s">
        <v>1524</v>
      </c>
      <c r="G267" s="1" t="s">
        <v>1574</v>
      </c>
      <c r="H267" s="1" t="s">
        <v>51</v>
      </c>
      <c r="I267" s="1">
        <v>1.85</v>
      </c>
      <c r="J267" s="1" t="s">
        <v>51</v>
      </c>
      <c r="K267" s="1">
        <v>73.900000000000006</v>
      </c>
      <c r="L267" s="1">
        <v>21.592403214024799</v>
      </c>
      <c r="M267" s="1" t="s">
        <v>45</v>
      </c>
      <c r="N267" s="1" t="s">
        <v>45</v>
      </c>
      <c r="O267" s="1" t="s">
        <v>45</v>
      </c>
      <c r="P267" s="1" t="s">
        <v>45</v>
      </c>
      <c r="Q267" s="1" t="s">
        <v>45</v>
      </c>
      <c r="R267" s="1" t="s">
        <v>45</v>
      </c>
      <c r="S267" s="1" t="s">
        <v>45</v>
      </c>
      <c r="T267" s="1" t="s">
        <v>45</v>
      </c>
      <c r="U267" s="1" t="s">
        <v>45</v>
      </c>
      <c r="V267" s="1" t="s">
        <v>45</v>
      </c>
      <c r="W267" s="1" t="s">
        <v>45</v>
      </c>
      <c r="X267" s="1" t="s">
        <v>45</v>
      </c>
      <c r="Y267" s="1" t="s">
        <v>45</v>
      </c>
      <c r="Z267" s="1" t="s">
        <v>45</v>
      </c>
      <c r="AA267" s="1" t="s">
        <v>45</v>
      </c>
      <c r="AB267" s="1" t="s">
        <v>45</v>
      </c>
      <c r="AC267" s="1" t="s">
        <v>45</v>
      </c>
      <c r="AD267" s="1" t="s">
        <v>45</v>
      </c>
      <c r="AE267" s="1" t="s">
        <v>45</v>
      </c>
      <c r="AF267" s="32">
        <v>45687</v>
      </c>
      <c r="AG267" s="1">
        <v>41.687372088407002</v>
      </c>
      <c r="AH267" s="1" t="s">
        <v>1526</v>
      </c>
      <c r="AI267" s="1" t="s">
        <v>1527</v>
      </c>
      <c r="AJ267" s="1" t="s">
        <v>45</v>
      </c>
      <c r="AK267" s="1" t="s">
        <v>51</v>
      </c>
      <c r="AL267" s="1" t="s">
        <v>45</v>
      </c>
      <c r="AM267" s="1" t="s">
        <v>45</v>
      </c>
      <c r="AN267" s="1" t="s">
        <v>45</v>
      </c>
      <c r="AO267" s="1" t="s">
        <v>45</v>
      </c>
      <c r="AP267" s="1" t="s">
        <v>45</v>
      </c>
      <c r="AQ267" s="1" t="s">
        <v>45</v>
      </c>
      <c r="AR267" s="1" t="s">
        <v>45</v>
      </c>
      <c r="AT267" s="1" t="s">
        <v>1528</v>
      </c>
      <c r="AW267" s="33" t="s">
        <v>1463</v>
      </c>
      <c r="AX267" s="3" t="s">
        <v>1528</v>
      </c>
      <c r="AY267" s="3"/>
      <c r="AZ267" s="1">
        <v>4</v>
      </c>
      <c r="BA267" s="1" t="s">
        <v>1529</v>
      </c>
      <c r="BB267" s="1" t="s">
        <v>1530</v>
      </c>
      <c r="BC267" s="1" t="s">
        <v>1531</v>
      </c>
      <c r="BD267" s="1" t="s">
        <v>1532</v>
      </c>
      <c r="BE267" s="1" t="s">
        <v>1533</v>
      </c>
      <c r="BF267" s="1" t="s">
        <v>1534</v>
      </c>
      <c r="BG267" s="1" t="s">
        <v>1525</v>
      </c>
      <c r="BH267" s="1" t="s">
        <v>46</v>
      </c>
      <c r="BI267" s="1" t="s">
        <v>1535</v>
      </c>
      <c r="BJ267" s="1" t="s">
        <v>45</v>
      </c>
      <c r="BK267" s="1" t="s">
        <v>1536</v>
      </c>
      <c r="BL267" s="32">
        <v>45687</v>
      </c>
      <c r="BM267" s="1" t="s">
        <v>1342</v>
      </c>
      <c r="BO267" s="1" t="s">
        <v>1537</v>
      </c>
      <c r="BP267" s="1" t="s">
        <v>1538</v>
      </c>
      <c r="BQ267" s="1" t="s">
        <v>1539</v>
      </c>
      <c r="BR267" s="1" t="s">
        <v>1552</v>
      </c>
      <c r="BS267" s="1" t="s">
        <v>106</v>
      </c>
      <c r="BU267" s="1" t="s">
        <v>45</v>
      </c>
      <c r="CA267" s="1" t="s">
        <v>1525</v>
      </c>
      <c r="CI267" s="1" t="s">
        <v>2219</v>
      </c>
      <c r="CJ267" s="1" t="s">
        <v>45</v>
      </c>
      <c r="DH267" s="1" t="s">
        <v>45</v>
      </c>
      <c r="DM267" s="1" t="s">
        <v>45</v>
      </c>
      <c r="DO267" s="1" t="s">
        <v>45</v>
      </c>
      <c r="DQ267" s="1" t="s">
        <v>45</v>
      </c>
      <c r="DT267" s="32">
        <v>45758</v>
      </c>
      <c r="DU267" s="1" t="s">
        <v>1598</v>
      </c>
      <c r="DV267" s="1">
        <v>2.3324572930354699</v>
      </c>
      <c r="DW267" s="1" t="s">
        <v>45</v>
      </c>
      <c r="DY267" s="32">
        <v>45812</v>
      </c>
      <c r="DZ267" s="1" t="s">
        <v>1544</v>
      </c>
    </row>
    <row r="268" spans="1:130" ht="15.75" customHeight="1" x14ac:dyDescent="0.2">
      <c r="A268" s="8" t="s">
        <v>1350</v>
      </c>
      <c r="B268" s="32">
        <v>36818</v>
      </c>
      <c r="C268" s="32">
        <v>45682</v>
      </c>
      <c r="D268" s="1">
        <v>24.268807709946099</v>
      </c>
      <c r="E268" s="1" t="s">
        <v>1523</v>
      </c>
      <c r="F268" s="1" t="s">
        <v>1578</v>
      </c>
      <c r="G268" s="1" t="s">
        <v>1574</v>
      </c>
      <c r="H268" s="1" t="s">
        <v>51</v>
      </c>
      <c r="I268" s="1">
        <v>1.7529999999999999</v>
      </c>
      <c r="J268" s="1" t="s">
        <v>51</v>
      </c>
      <c r="K268" s="1">
        <v>52</v>
      </c>
      <c r="L268" s="1">
        <v>16.921525449486101</v>
      </c>
      <c r="M268" s="1" t="s">
        <v>45</v>
      </c>
      <c r="N268" s="1" t="s">
        <v>45</v>
      </c>
      <c r="O268" s="1" t="s">
        <v>45</v>
      </c>
      <c r="P268" s="1" t="s">
        <v>45</v>
      </c>
      <c r="Q268" s="1" t="s">
        <v>45</v>
      </c>
      <c r="R268" s="1" t="s">
        <v>45</v>
      </c>
      <c r="S268" s="1" t="s">
        <v>45</v>
      </c>
      <c r="T268" s="1" t="s">
        <v>45</v>
      </c>
      <c r="U268" s="1" t="s">
        <v>45</v>
      </c>
      <c r="V268" s="1" t="s">
        <v>45</v>
      </c>
      <c r="W268" s="1" t="s">
        <v>45</v>
      </c>
      <c r="X268" s="1" t="s">
        <v>45</v>
      </c>
      <c r="Y268" s="1" t="s">
        <v>45</v>
      </c>
      <c r="Z268" s="1" t="s">
        <v>45</v>
      </c>
      <c r="AA268" s="1" t="s">
        <v>45</v>
      </c>
      <c r="AB268" s="1" t="s">
        <v>45</v>
      </c>
      <c r="AC268" s="1" t="s">
        <v>45</v>
      </c>
      <c r="AD268" s="1" t="s">
        <v>45</v>
      </c>
      <c r="AE268" s="1" t="s">
        <v>45</v>
      </c>
      <c r="AF268" s="32">
        <v>45692</v>
      </c>
      <c r="AG268" s="1">
        <v>24.296186780016001</v>
      </c>
      <c r="AH268" s="1" t="s">
        <v>1526</v>
      </c>
      <c r="AI268" s="1" t="s">
        <v>1527</v>
      </c>
      <c r="AJ268" s="1" t="s">
        <v>45</v>
      </c>
      <c r="AK268" s="1" t="s">
        <v>51</v>
      </c>
      <c r="AL268" s="1" t="s">
        <v>45</v>
      </c>
      <c r="AM268" s="1" t="s">
        <v>45</v>
      </c>
      <c r="AN268" s="1" t="s">
        <v>45</v>
      </c>
      <c r="AO268" s="1" t="s">
        <v>45</v>
      </c>
      <c r="AP268" s="1" t="s">
        <v>45</v>
      </c>
      <c r="AQ268" s="1" t="s">
        <v>45</v>
      </c>
      <c r="AR268" s="1" t="s">
        <v>51</v>
      </c>
      <c r="AS268" s="1" t="s">
        <v>2220</v>
      </c>
      <c r="AT268" s="1" t="s">
        <v>1560</v>
      </c>
      <c r="AW268" s="33" t="s">
        <v>1463</v>
      </c>
      <c r="AX268" s="3" t="s">
        <v>1560</v>
      </c>
      <c r="AY268" s="3"/>
      <c r="AZ268" s="1">
        <v>4</v>
      </c>
      <c r="BA268" s="1" t="s">
        <v>1529</v>
      </c>
      <c r="BB268" s="1" t="s">
        <v>1567</v>
      </c>
      <c r="BC268" s="1" t="s">
        <v>1531</v>
      </c>
      <c r="BD268" s="1" t="s">
        <v>1822</v>
      </c>
      <c r="BE268" s="1" t="s">
        <v>1603</v>
      </c>
      <c r="BF268" s="1" t="s">
        <v>1534</v>
      </c>
      <c r="BG268" s="1" t="s">
        <v>45</v>
      </c>
      <c r="BH268" s="1" t="s">
        <v>46</v>
      </c>
      <c r="BI268" s="1" t="s">
        <v>1599</v>
      </c>
      <c r="BJ268" s="1" t="s">
        <v>45</v>
      </c>
      <c r="BK268" s="1" t="s">
        <v>1536</v>
      </c>
      <c r="BL268" s="32">
        <v>45692</v>
      </c>
      <c r="BM268" s="1" t="s">
        <v>1351</v>
      </c>
      <c r="BO268" s="1" t="s">
        <v>1537</v>
      </c>
      <c r="BP268" s="1" t="s">
        <v>1538</v>
      </c>
      <c r="BQ268" s="1" t="s">
        <v>1539</v>
      </c>
      <c r="BR268" s="1" t="s">
        <v>1552</v>
      </c>
      <c r="BS268" s="1" t="s">
        <v>106</v>
      </c>
      <c r="BU268" s="1" t="s">
        <v>45</v>
      </c>
      <c r="CA268" s="1" t="s">
        <v>51</v>
      </c>
      <c r="CB268" s="1" t="s">
        <v>51</v>
      </c>
      <c r="CF268" s="1" t="s">
        <v>2221</v>
      </c>
      <c r="CJ268" s="1" t="s">
        <v>45</v>
      </c>
      <c r="DH268" s="1" t="s">
        <v>45</v>
      </c>
      <c r="DM268" s="1" t="s">
        <v>45</v>
      </c>
      <c r="DO268" s="1" t="s">
        <v>45</v>
      </c>
      <c r="DQ268" s="1" t="s">
        <v>45</v>
      </c>
      <c r="DT268" s="32">
        <v>45715</v>
      </c>
      <c r="DU268" s="1" t="s">
        <v>1598</v>
      </c>
      <c r="DV268" s="1">
        <v>0.75558475689881699</v>
      </c>
      <c r="DW268" s="1" t="s">
        <v>51</v>
      </c>
      <c r="DX268" s="1" t="s">
        <v>2222</v>
      </c>
      <c r="DY268" s="32">
        <v>45813</v>
      </c>
      <c r="DZ268" s="1" t="s">
        <v>1544</v>
      </c>
    </row>
    <row r="269" spans="1:130" ht="15.75" customHeight="1" x14ac:dyDescent="0.2">
      <c r="A269" s="8" t="s">
        <v>1357</v>
      </c>
      <c r="B269" s="32">
        <v>36719</v>
      </c>
      <c r="C269" s="32">
        <v>45663</v>
      </c>
      <c r="D269" s="1">
        <v>24.487840270505199</v>
      </c>
      <c r="E269" s="1" t="s">
        <v>1523</v>
      </c>
      <c r="F269" s="1" t="s">
        <v>1524</v>
      </c>
      <c r="G269" s="1" t="s">
        <v>1545</v>
      </c>
      <c r="H269" s="1" t="s">
        <v>51</v>
      </c>
      <c r="I269" s="1">
        <v>1.8</v>
      </c>
      <c r="J269" s="1" t="s">
        <v>51</v>
      </c>
      <c r="K269" s="1">
        <v>84.9</v>
      </c>
      <c r="L269" s="1">
        <v>26.203703703703699</v>
      </c>
      <c r="M269" s="1" t="s">
        <v>45</v>
      </c>
      <c r="N269" s="1" t="s">
        <v>45</v>
      </c>
      <c r="O269" s="1" t="s">
        <v>45</v>
      </c>
      <c r="P269" s="1" t="s">
        <v>45</v>
      </c>
      <c r="Q269" s="1" t="s">
        <v>45</v>
      </c>
      <c r="R269" s="1" t="s">
        <v>45</v>
      </c>
      <c r="S269" s="1" t="s">
        <v>45</v>
      </c>
      <c r="T269" s="1" t="s">
        <v>45</v>
      </c>
      <c r="U269" s="1" t="s">
        <v>45</v>
      </c>
      <c r="V269" s="1" t="s">
        <v>45</v>
      </c>
      <c r="W269" s="1" t="s">
        <v>45</v>
      </c>
      <c r="X269" s="1" t="s">
        <v>45</v>
      </c>
      <c r="Y269" s="1" t="s">
        <v>45</v>
      </c>
      <c r="Z269" s="1" t="s">
        <v>45</v>
      </c>
      <c r="AA269" s="1" t="s">
        <v>45</v>
      </c>
      <c r="AB269" s="1" t="s">
        <v>45</v>
      </c>
      <c r="AC269" s="1" t="s">
        <v>45</v>
      </c>
      <c r="AD269" s="1" t="s">
        <v>45</v>
      </c>
      <c r="AE269" s="1" t="s">
        <v>45</v>
      </c>
      <c r="AF269" s="32">
        <v>45701</v>
      </c>
      <c r="AG269" s="1">
        <v>24.591880736770701</v>
      </c>
      <c r="AH269" s="1" t="s">
        <v>1526</v>
      </c>
      <c r="AI269" s="1" t="s">
        <v>1527</v>
      </c>
      <c r="AJ269" s="1" t="s">
        <v>45</v>
      </c>
      <c r="AK269" s="1" t="s">
        <v>51</v>
      </c>
      <c r="AL269" s="1" t="s">
        <v>45</v>
      </c>
      <c r="AM269" s="1" t="s">
        <v>45</v>
      </c>
      <c r="AN269" s="1" t="s">
        <v>45</v>
      </c>
      <c r="AO269" s="1" t="s">
        <v>45</v>
      </c>
      <c r="AP269" s="1" t="s">
        <v>45</v>
      </c>
      <c r="AQ269" s="1" t="s">
        <v>45</v>
      </c>
      <c r="AR269" s="1" t="s">
        <v>45</v>
      </c>
      <c r="AT269" s="1" t="s">
        <v>1560</v>
      </c>
      <c r="AW269" s="33" t="s">
        <v>1464</v>
      </c>
      <c r="AX269" s="3"/>
      <c r="AY269" s="3" t="s">
        <v>1560</v>
      </c>
      <c r="AZ269" s="1">
        <v>2</v>
      </c>
      <c r="BA269" s="1" t="s">
        <v>1821</v>
      </c>
      <c r="BB269" s="1" t="s">
        <v>1567</v>
      </c>
      <c r="BC269" s="1" t="s">
        <v>1531</v>
      </c>
      <c r="BD269" s="1" t="s">
        <v>1822</v>
      </c>
      <c r="BE269" s="1" t="s">
        <v>1525</v>
      </c>
      <c r="BG269" s="1" t="s">
        <v>45</v>
      </c>
      <c r="BH269" s="1" t="s">
        <v>46</v>
      </c>
      <c r="BI269" s="1" t="s">
        <v>1599</v>
      </c>
      <c r="BJ269" s="1" t="s">
        <v>45</v>
      </c>
      <c r="BK269" s="1" t="s">
        <v>1536</v>
      </c>
      <c r="BL269" s="32">
        <v>45701</v>
      </c>
      <c r="BM269" s="1" t="s">
        <v>1358</v>
      </c>
      <c r="BO269" s="1" t="s">
        <v>1537</v>
      </c>
      <c r="BP269" s="1" t="s">
        <v>1538</v>
      </c>
      <c r="BQ269" s="1" t="s">
        <v>1647</v>
      </c>
      <c r="BR269" s="1" t="s">
        <v>1540</v>
      </c>
      <c r="BS269" s="1" t="s">
        <v>50</v>
      </c>
      <c r="BU269" s="1" t="s">
        <v>51</v>
      </c>
      <c r="BV269" s="1" t="s">
        <v>1541</v>
      </c>
      <c r="BW269" s="1" t="s">
        <v>1542</v>
      </c>
      <c r="CA269" s="1" t="s">
        <v>45</v>
      </c>
      <c r="CB269" s="1" t="s">
        <v>45</v>
      </c>
      <c r="CG269" s="1" t="s">
        <v>2223</v>
      </c>
      <c r="CJ269" s="1" t="s">
        <v>45</v>
      </c>
      <c r="DH269" s="1" t="s">
        <v>45</v>
      </c>
      <c r="DM269" s="1" t="s">
        <v>45</v>
      </c>
      <c r="DO269" s="1" t="s">
        <v>45</v>
      </c>
      <c r="DQ269" s="1" t="s">
        <v>45</v>
      </c>
      <c r="DT269" s="32">
        <v>45811</v>
      </c>
      <c r="DU269" s="1" t="s">
        <v>1598</v>
      </c>
      <c r="DV269" s="1">
        <v>3.61366622864651</v>
      </c>
      <c r="DW269" s="1" t="s">
        <v>45</v>
      </c>
      <c r="DY269" s="32">
        <v>45813</v>
      </c>
      <c r="DZ269" s="1" t="s">
        <v>1544</v>
      </c>
    </row>
    <row r="270" spans="1:130" ht="15.75" customHeight="1" x14ac:dyDescent="0.2">
      <c r="A270" s="8" t="s">
        <v>1359</v>
      </c>
      <c r="B270" s="32">
        <v>24159</v>
      </c>
      <c r="C270" s="32">
        <v>42949</v>
      </c>
      <c r="D270" s="1">
        <v>51.445272661314</v>
      </c>
      <c r="E270" s="1" t="s">
        <v>1523</v>
      </c>
      <c r="F270" s="1" t="s">
        <v>1524</v>
      </c>
      <c r="G270" s="1" t="s">
        <v>1574</v>
      </c>
      <c r="H270" s="1" t="s">
        <v>51</v>
      </c>
      <c r="I270" s="1">
        <v>1.75</v>
      </c>
      <c r="J270" s="1" t="s">
        <v>51</v>
      </c>
      <c r="K270" s="1">
        <v>89</v>
      </c>
      <c r="L270" s="1">
        <v>29.061224489795901</v>
      </c>
      <c r="M270" s="1" t="s">
        <v>45</v>
      </c>
      <c r="N270" s="1" t="s">
        <v>45</v>
      </c>
      <c r="O270" s="1" t="s">
        <v>45</v>
      </c>
      <c r="P270" s="1" t="s">
        <v>51</v>
      </c>
      <c r="Q270" s="1" t="s">
        <v>45</v>
      </c>
      <c r="R270" s="1" t="s">
        <v>45</v>
      </c>
      <c r="S270" s="1" t="s">
        <v>45</v>
      </c>
      <c r="T270" s="1" t="s">
        <v>45</v>
      </c>
      <c r="U270" s="1" t="s">
        <v>45</v>
      </c>
      <c r="V270" s="1" t="s">
        <v>45</v>
      </c>
      <c r="W270" s="1" t="s">
        <v>45</v>
      </c>
      <c r="X270" s="1" t="s">
        <v>45</v>
      </c>
      <c r="Y270" s="1" t="s">
        <v>45</v>
      </c>
      <c r="Z270" s="1" t="s">
        <v>45</v>
      </c>
      <c r="AA270" s="1" t="s">
        <v>45</v>
      </c>
      <c r="AB270" s="1" t="s">
        <v>45</v>
      </c>
      <c r="AC270" s="1" t="s">
        <v>45</v>
      </c>
      <c r="AD270" s="1" t="s">
        <v>45</v>
      </c>
      <c r="AE270" s="1" t="s">
        <v>45</v>
      </c>
      <c r="AF270" s="32">
        <v>39675</v>
      </c>
      <c r="AG270" s="1">
        <v>42.481365120433601</v>
      </c>
      <c r="AH270" s="1" t="s">
        <v>1558</v>
      </c>
      <c r="AI270" s="1" t="s">
        <v>1527</v>
      </c>
      <c r="AJ270" s="1" t="s">
        <v>45</v>
      </c>
      <c r="AK270" s="1" t="s">
        <v>45</v>
      </c>
      <c r="AL270" s="1" t="s">
        <v>45</v>
      </c>
      <c r="AM270" s="1" t="s">
        <v>45</v>
      </c>
      <c r="AN270" s="1" t="s">
        <v>45</v>
      </c>
      <c r="AO270" s="1" t="s">
        <v>45</v>
      </c>
      <c r="AP270" s="1" t="s">
        <v>45</v>
      </c>
      <c r="AQ270" s="1" t="s">
        <v>45</v>
      </c>
      <c r="AR270" s="1" t="s">
        <v>45</v>
      </c>
      <c r="AT270" s="1" t="s">
        <v>1560</v>
      </c>
      <c r="AV270" s="1" t="s">
        <v>2099</v>
      </c>
      <c r="AW270" s="33" t="s">
        <v>1463</v>
      </c>
      <c r="AX270" s="3" t="s">
        <v>1560</v>
      </c>
      <c r="AY270" s="3"/>
      <c r="AZ270" s="1">
        <v>4</v>
      </c>
      <c r="BA270" s="1" t="s">
        <v>1529</v>
      </c>
      <c r="BB270" s="1" t="s">
        <v>1567</v>
      </c>
      <c r="BC270" s="1" t="s">
        <v>1531</v>
      </c>
      <c r="BD270" s="1" t="s">
        <v>1822</v>
      </c>
      <c r="BE270" s="1" t="s">
        <v>1603</v>
      </c>
      <c r="BF270" s="1" t="s">
        <v>1534</v>
      </c>
      <c r="BG270" s="1" t="s">
        <v>45</v>
      </c>
      <c r="BH270" s="1" t="s">
        <v>46</v>
      </c>
      <c r="BI270" s="1" t="s">
        <v>1599</v>
      </c>
      <c r="BJ270" s="1" t="s">
        <v>1525</v>
      </c>
      <c r="BK270" s="1" t="s">
        <v>1536</v>
      </c>
      <c r="BL270" s="32">
        <v>39675</v>
      </c>
      <c r="BO270" s="1" t="s">
        <v>1537</v>
      </c>
      <c r="BP270" s="1" t="s">
        <v>1538</v>
      </c>
      <c r="BQ270" s="1" t="s">
        <v>1539</v>
      </c>
      <c r="BR270" s="1" t="s">
        <v>1552</v>
      </c>
      <c r="BS270" s="1" t="s">
        <v>50</v>
      </c>
      <c r="BU270" s="1" t="s">
        <v>1525</v>
      </c>
      <c r="BW270" s="1" t="s">
        <v>1563</v>
      </c>
      <c r="BX270" s="32">
        <v>39797</v>
      </c>
      <c r="BY270" s="1">
        <v>12</v>
      </c>
      <c r="BZ270" s="1" t="s">
        <v>2224</v>
      </c>
      <c r="CA270" s="1" t="s">
        <v>51</v>
      </c>
      <c r="CB270" s="1" t="s">
        <v>51</v>
      </c>
      <c r="CC270" s="32">
        <v>39699</v>
      </c>
      <c r="CD270" s="1">
        <v>60</v>
      </c>
      <c r="CE270" s="1">
        <v>30</v>
      </c>
      <c r="CJ270" s="1" t="s">
        <v>51</v>
      </c>
      <c r="CK270" s="32">
        <v>44242</v>
      </c>
      <c r="CL270" s="1" t="s">
        <v>51</v>
      </c>
      <c r="CM270" s="32">
        <v>45707</v>
      </c>
      <c r="CN270" s="1">
        <v>16.515055066154599</v>
      </c>
      <c r="CO270" s="1" t="s">
        <v>1537</v>
      </c>
      <c r="CP270" s="1" t="s">
        <v>1566</v>
      </c>
      <c r="CQ270" s="1" t="s">
        <v>1539</v>
      </c>
      <c r="CR270" s="1" t="s">
        <v>1552</v>
      </c>
      <c r="CS270" s="1" t="s">
        <v>50</v>
      </c>
      <c r="CT270" s="1" t="s">
        <v>1560</v>
      </c>
      <c r="CW270" s="1">
        <v>4</v>
      </c>
      <c r="CX270" s="1" t="s">
        <v>1529</v>
      </c>
      <c r="CY270" s="1" t="s">
        <v>1567</v>
      </c>
      <c r="CZ270" s="1" t="s">
        <v>1531</v>
      </c>
      <c r="DA270" s="1" t="s">
        <v>1822</v>
      </c>
      <c r="DB270" s="1" t="s">
        <v>1603</v>
      </c>
      <c r="DC270" s="1" t="s">
        <v>1534</v>
      </c>
      <c r="DD270" s="1" t="s">
        <v>45</v>
      </c>
      <c r="DE270" s="1" t="s">
        <v>46</v>
      </c>
      <c r="DF270" s="1" t="s">
        <v>46</v>
      </c>
      <c r="DG270" s="1" t="s">
        <v>1525</v>
      </c>
      <c r="DH270" s="1" t="s">
        <v>51</v>
      </c>
      <c r="DI270" s="1" t="s">
        <v>2225</v>
      </c>
      <c r="DJ270" s="32">
        <v>44270</v>
      </c>
      <c r="DM270" s="1" t="s">
        <v>45</v>
      </c>
      <c r="DO270" s="1" t="s">
        <v>51</v>
      </c>
      <c r="DP270" s="1" t="s">
        <v>2226</v>
      </c>
      <c r="DQ270" s="1" t="s">
        <v>45</v>
      </c>
      <c r="DT270" s="32">
        <v>45807</v>
      </c>
      <c r="DU270" s="1" t="s">
        <v>1598</v>
      </c>
      <c r="DV270" s="1">
        <v>201.44546649145801</v>
      </c>
      <c r="DW270" s="1" t="s">
        <v>45</v>
      </c>
      <c r="DY270" s="32">
        <v>45813</v>
      </c>
      <c r="DZ270" s="1" t="s">
        <v>1544</v>
      </c>
    </row>
    <row r="271" spans="1:130" ht="15.75" customHeight="1" x14ac:dyDescent="0.2">
      <c r="A271" s="8" t="s">
        <v>1361</v>
      </c>
      <c r="B271" s="32">
        <v>25233</v>
      </c>
      <c r="C271" s="32">
        <v>43614</v>
      </c>
      <c r="D271" s="1">
        <v>50.325468695455697</v>
      </c>
      <c r="E271" s="1" t="s">
        <v>1587</v>
      </c>
      <c r="F271" s="1" t="s">
        <v>1524</v>
      </c>
      <c r="G271" s="1" t="s">
        <v>1686</v>
      </c>
      <c r="H271" s="1" t="s">
        <v>51</v>
      </c>
      <c r="I271" s="1">
        <v>1.58</v>
      </c>
      <c r="J271" s="1" t="s">
        <v>51</v>
      </c>
      <c r="K271" s="1">
        <v>58.9</v>
      </c>
      <c r="L271" s="1">
        <v>23.593975324467198</v>
      </c>
      <c r="M271" s="1" t="s">
        <v>45</v>
      </c>
      <c r="N271" s="1" t="s">
        <v>45</v>
      </c>
      <c r="O271" s="1" t="s">
        <v>45</v>
      </c>
      <c r="P271" s="1" t="s">
        <v>45</v>
      </c>
      <c r="Q271" s="1" t="s">
        <v>45</v>
      </c>
      <c r="R271" s="1" t="s">
        <v>45</v>
      </c>
      <c r="S271" s="1" t="s">
        <v>45</v>
      </c>
      <c r="T271" s="1" t="s">
        <v>45</v>
      </c>
      <c r="U271" s="1" t="s">
        <v>45</v>
      </c>
      <c r="V271" s="1" t="s">
        <v>45</v>
      </c>
      <c r="W271" s="1" t="s">
        <v>45</v>
      </c>
      <c r="X271" s="1" t="s">
        <v>45</v>
      </c>
      <c r="Y271" s="1" t="s">
        <v>45</v>
      </c>
      <c r="Z271" s="1" t="s">
        <v>45</v>
      </c>
      <c r="AA271" s="1" t="s">
        <v>45</v>
      </c>
      <c r="AB271" s="1" t="s">
        <v>45</v>
      </c>
      <c r="AC271" s="1" t="s">
        <v>45</v>
      </c>
      <c r="AD271" s="1" t="s">
        <v>45</v>
      </c>
      <c r="AE271" s="1" t="s">
        <v>45</v>
      </c>
      <c r="AF271" s="32">
        <v>45721</v>
      </c>
      <c r="AG271" s="1">
        <v>56.094238759180499</v>
      </c>
      <c r="AH271" s="1" t="s">
        <v>1526</v>
      </c>
      <c r="AI271" s="1" t="s">
        <v>1527</v>
      </c>
      <c r="AJ271" s="1" t="s">
        <v>45</v>
      </c>
      <c r="AK271" s="1" t="s">
        <v>45</v>
      </c>
      <c r="AL271" s="1" t="s">
        <v>45</v>
      </c>
      <c r="AM271" s="1" t="s">
        <v>45</v>
      </c>
      <c r="AN271" s="1" t="s">
        <v>45</v>
      </c>
      <c r="AO271" s="1" t="s">
        <v>45</v>
      </c>
      <c r="AP271" s="1" t="s">
        <v>51</v>
      </c>
      <c r="AQ271" s="1" t="s">
        <v>45</v>
      </c>
      <c r="AR271" s="1" t="s">
        <v>51</v>
      </c>
      <c r="AS271" s="1" t="s">
        <v>2227</v>
      </c>
      <c r="AT271" s="1" t="s">
        <v>1560</v>
      </c>
      <c r="AV271" s="1" t="s">
        <v>2228</v>
      </c>
      <c r="AW271" s="33" t="s">
        <v>1463</v>
      </c>
      <c r="AX271" s="3" t="s">
        <v>1560</v>
      </c>
      <c r="AY271" s="3"/>
      <c r="AZ271" s="1">
        <v>3</v>
      </c>
      <c r="BA271" s="1" t="s">
        <v>1978</v>
      </c>
      <c r="BB271" s="1" t="s">
        <v>1530</v>
      </c>
      <c r="BC271" s="1" t="s">
        <v>1531</v>
      </c>
      <c r="BD271" s="1" t="s">
        <v>1532</v>
      </c>
      <c r="BE271" s="1" t="s">
        <v>1525</v>
      </c>
      <c r="BG271" s="1" t="s">
        <v>45</v>
      </c>
      <c r="BH271" s="1" t="s">
        <v>46</v>
      </c>
      <c r="BI271" s="1" t="s">
        <v>1599</v>
      </c>
      <c r="BJ271" s="1" t="s">
        <v>45</v>
      </c>
      <c r="BK271" s="1" t="s">
        <v>1536</v>
      </c>
      <c r="BL271" s="32">
        <v>45721</v>
      </c>
      <c r="BM271" s="1" t="s">
        <v>1362</v>
      </c>
      <c r="BO271" s="1" t="s">
        <v>1537</v>
      </c>
      <c r="BP271" s="1" t="s">
        <v>1538</v>
      </c>
      <c r="BQ271" s="1" t="s">
        <v>1539</v>
      </c>
      <c r="BR271" s="1" t="s">
        <v>1552</v>
      </c>
      <c r="BS271" s="1" t="s">
        <v>99</v>
      </c>
      <c r="BU271" s="1" t="s">
        <v>45</v>
      </c>
      <c r="CA271" s="1" t="s">
        <v>51</v>
      </c>
      <c r="CB271" s="1" t="s">
        <v>51</v>
      </c>
      <c r="CC271" s="32">
        <v>45743</v>
      </c>
      <c r="CD271" s="1">
        <v>59.4</v>
      </c>
      <c r="CE271" s="1">
        <v>33</v>
      </c>
      <c r="CF271" s="1" t="s">
        <v>2229</v>
      </c>
      <c r="CI271" s="1" t="s">
        <v>2230</v>
      </c>
      <c r="CJ271" s="1" t="s">
        <v>45</v>
      </c>
      <c r="DH271" s="1" t="s">
        <v>45</v>
      </c>
      <c r="DM271" s="1" t="s">
        <v>45</v>
      </c>
      <c r="DO271" s="1" t="s">
        <v>45</v>
      </c>
      <c r="DQ271" s="1" t="s">
        <v>45</v>
      </c>
      <c r="DT271" s="32">
        <v>45805</v>
      </c>
      <c r="DU271" s="1" t="s">
        <v>1598</v>
      </c>
      <c r="DV271" s="1">
        <v>2.7595269382391501</v>
      </c>
      <c r="DW271" s="1" t="s">
        <v>45</v>
      </c>
      <c r="DY271" s="32">
        <v>45813</v>
      </c>
      <c r="DZ271" s="1" t="s">
        <v>1544</v>
      </c>
    </row>
    <row r="272" spans="1:130" ht="15.75" customHeight="1" x14ac:dyDescent="0.2">
      <c r="A272" s="8" t="s">
        <v>1368</v>
      </c>
      <c r="B272" s="32">
        <v>25223</v>
      </c>
      <c r="C272" s="32">
        <v>45670</v>
      </c>
      <c r="D272" s="1">
        <v>55.981984571894003</v>
      </c>
      <c r="E272" s="1" t="s">
        <v>1523</v>
      </c>
      <c r="F272" s="1" t="s">
        <v>1524</v>
      </c>
      <c r="G272" s="1" t="s">
        <v>1574</v>
      </c>
      <c r="H272" s="1" t="s">
        <v>51</v>
      </c>
      <c r="I272" s="1">
        <v>1.75</v>
      </c>
      <c r="J272" s="1" t="s">
        <v>51</v>
      </c>
      <c r="K272" s="1">
        <v>168.1</v>
      </c>
      <c r="L272" s="1">
        <v>54.889795918367298</v>
      </c>
      <c r="M272" s="1" t="s">
        <v>45</v>
      </c>
      <c r="N272" s="1" t="s">
        <v>45</v>
      </c>
      <c r="O272" s="1" t="s">
        <v>45</v>
      </c>
      <c r="P272" s="1" t="s">
        <v>45</v>
      </c>
      <c r="Q272" s="1" t="s">
        <v>45</v>
      </c>
      <c r="R272" s="1" t="s">
        <v>45</v>
      </c>
      <c r="S272" s="1" t="s">
        <v>45</v>
      </c>
      <c r="T272" s="1" t="s">
        <v>45</v>
      </c>
      <c r="U272" s="1" t="s">
        <v>45</v>
      </c>
      <c r="V272" s="1" t="s">
        <v>45</v>
      </c>
      <c r="W272" s="1" t="s">
        <v>45</v>
      </c>
      <c r="X272" s="1" t="s">
        <v>45</v>
      </c>
      <c r="Y272" s="1" t="s">
        <v>45</v>
      </c>
      <c r="Z272" s="1" t="s">
        <v>45</v>
      </c>
      <c r="AA272" s="1" t="s">
        <v>45</v>
      </c>
      <c r="AB272" s="1" t="s">
        <v>45</v>
      </c>
      <c r="AC272" s="1" t="s">
        <v>45</v>
      </c>
      <c r="AD272" s="1" t="s">
        <v>45</v>
      </c>
      <c r="AE272" s="1" t="s">
        <v>45</v>
      </c>
      <c r="AF272" s="32">
        <v>45722</v>
      </c>
      <c r="AG272" s="1">
        <v>56.124355736257399</v>
      </c>
      <c r="AH272" s="1" t="s">
        <v>1558</v>
      </c>
      <c r="AI272" s="1" t="s">
        <v>1527</v>
      </c>
      <c r="AJ272" s="1" t="s">
        <v>45</v>
      </c>
      <c r="AK272" s="1" t="s">
        <v>45</v>
      </c>
      <c r="AL272" s="1" t="s">
        <v>45</v>
      </c>
      <c r="AM272" s="1" t="s">
        <v>45</v>
      </c>
      <c r="AN272" s="1" t="s">
        <v>45</v>
      </c>
      <c r="AO272" s="1" t="s">
        <v>45</v>
      </c>
      <c r="AP272" s="1" t="s">
        <v>45</v>
      </c>
      <c r="AQ272" s="1" t="s">
        <v>45</v>
      </c>
      <c r="AR272" s="1" t="s">
        <v>45</v>
      </c>
      <c r="AT272" s="1" t="s">
        <v>1601</v>
      </c>
      <c r="AW272" s="33" t="s">
        <v>1463</v>
      </c>
      <c r="AX272" s="3" t="s">
        <v>1601</v>
      </c>
      <c r="AY272" s="3"/>
      <c r="AZ272" s="1">
        <v>3</v>
      </c>
      <c r="BA272" s="1" t="s">
        <v>1978</v>
      </c>
      <c r="BB272" s="1" t="s">
        <v>1567</v>
      </c>
      <c r="BC272" s="1" t="s">
        <v>1602</v>
      </c>
      <c r="BD272" s="1" t="s">
        <v>1990</v>
      </c>
      <c r="BE272" s="1" t="s">
        <v>1603</v>
      </c>
      <c r="BF272" s="1" t="s">
        <v>1534</v>
      </c>
      <c r="BG272" s="1" t="s">
        <v>1525</v>
      </c>
      <c r="BH272" s="1" t="s">
        <v>46</v>
      </c>
      <c r="BI272" s="1" t="s">
        <v>1535</v>
      </c>
      <c r="BJ272" s="1" t="s">
        <v>45</v>
      </c>
      <c r="BK272" s="1" t="s">
        <v>1536</v>
      </c>
      <c r="BL272" s="32">
        <v>45722</v>
      </c>
      <c r="BM272" s="1" t="s">
        <v>1369</v>
      </c>
      <c r="BO272" s="1" t="s">
        <v>1537</v>
      </c>
      <c r="BP272" s="1" t="s">
        <v>1538</v>
      </c>
      <c r="BQ272" s="1" t="s">
        <v>1647</v>
      </c>
      <c r="BR272" s="1" t="s">
        <v>1552</v>
      </c>
      <c r="BS272" s="1" t="s">
        <v>50</v>
      </c>
      <c r="BU272" s="1" t="s">
        <v>45</v>
      </c>
      <c r="BW272" s="1" t="s">
        <v>1542</v>
      </c>
      <c r="CA272" s="1" t="s">
        <v>45</v>
      </c>
      <c r="CB272" s="1" t="s">
        <v>45</v>
      </c>
      <c r="CG272" s="1" t="s">
        <v>2231</v>
      </c>
      <c r="CJ272" s="1" t="s">
        <v>45</v>
      </c>
      <c r="DH272" s="1" t="s">
        <v>45</v>
      </c>
      <c r="DM272" s="1" t="s">
        <v>45</v>
      </c>
      <c r="DO272" s="1" t="s">
        <v>45</v>
      </c>
      <c r="DQ272" s="1" t="s">
        <v>45</v>
      </c>
      <c r="DT272" s="32">
        <v>45804</v>
      </c>
      <c r="DU272" s="1" t="s">
        <v>1598</v>
      </c>
      <c r="DV272" s="1">
        <v>2.69382391590013</v>
      </c>
      <c r="DW272" s="1" t="s">
        <v>45</v>
      </c>
      <c r="DY272" s="32">
        <v>45813</v>
      </c>
      <c r="DZ272" s="1" t="s">
        <v>1544</v>
      </c>
    </row>
    <row r="273" spans="1:130" ht="15.75" customHeight="1" x14ac:dyDescent="0.2">
      <c r="A273" s="8" t="s">
        <v>1371</v>
      </c>
      <c r="B273" s="32">
        <v>31587</v>
      </c>
      <c r="C273" s="32">
        <v>45710</v>
      </c>
      <c r="D273" s="1">
        <v>38.667460659698598</v>
      </c>
      <c r="E273" s="1" t="s">
        <v>1587</v>
      </c>
      <c r="F273" s="1" t="s">
        <v>1524</v>
      </c>
      <c r="G273" s="1" t="s">
        <v>1574</v>
      </c>
      <c r="H273" s="1" t="s">
        <v>51</v>
      </c>
      <c r="I273" s="1">
        <v>1.61</v>
      </c>
      <c r="J273" s="1" t="s">
        <v>51</v>
      </c>
      <c r="K273" s="1">
        <v>52.4</v>
      </c>
      <c r="L273" s="1">
        <v>20.2152694726283</v>
      </c>
      <c r="M273" s="1" t="s">
        <v>45</v>
      </c>
      <c r="N273" s="1" t="s">
        <v>45</v>
      </c>
      <c r="O273" s="1" t="s">
        <v>45</v>
      </c>
      <c r="P273" s="1" t="s">
        <v>45</v>
      </c>
      <c r="Q273" s="1" t="s">
        <v>45</v>
      </c>
      <c r="R273" s="1" t="s">
        <v>45</v>
      </c>
      <c r="S273" s="1" t="s">
        <v>45</v>
      </c>
      <c r="T273" s="1" t="s">
        <v>45</v>
      </c>
      <c r="U273" s="1" t="s">
        <v>45</v>
      </c>
      <c r="V273" s="1" t="s">
        <v>45</v>
      </c>
      <c r="W273" s="1" t="s">
        <v>45</v>
      </c>
      <c r="X273" s="1" t="s">
        <v>45</v>
      </c>
      <c r="Y273" s="1" t="s">
        <v>45</v>
      </c>
      <c r="Z273" s="1" t="s">
        <v>45</v>
      </c>
      <c r="AA273" s="1" t="s">
        <v>45</v>
      </c>
      <c r="AB273" s="1" t="s">
        <v>45</v>
      </c>
      <c r="AC273" s="1" t="s">
        <v>45</v>
      </c>
      <c r="AD273" s="1" t="s">
        <v>45</v>
      </c>
      <c r="AE273" s="1" t="s">
        <v>45</v>
      </c>
      <c r="AF273" s="32">
        <v>45723</v>
      </c>
      <c r="AG273" s="1">
        <v>38.703053450789497</v>
      </c>
      <c r="AH273" s="1" t="s">
        <v>1526</v>
      </c>
      <c r="AI273" s="1" t="s">
        <v>1527</v>
      </c>
      <c r="AJ273" s="1" t="s">
        <v>45</v>
      </c>
      <c r="AK273" s="1" t="s">
        <v>45</v>
      </c>
      <c r="AL273" s="1" t="s">
        <v>45</v>
      </c>
      <c r="AM273" s="1" t="s">
        <v>45</v>
      </c>
      <c r="AN273" s="1" t="s">
        <v>45</v>
      </c>
      <c r="AO273" s="1" t="s">
        <v>45</v>
      </c>
      <c r="AP273" s="1" t="s">
        <v>45</v>
      </c>
      <c r="AQ273" s="1" t="s">
        <v>45</v>
      </c>
      <c r="AR273" s="1" t="s">
        <v>51</v>
      </c>
      <c r="AS273" s="1" t="s">
        <v>2232</v>
      </c>
      <c r="AT273" s="1" t="s">
        <v>1601</v>
      </c>
      <c r="AW273" s="33" t="s">
        <v>1463</v>
      </c>
      <c r="AX273" s="3" t="s">
        <v>1601</v>
      </c>
      <c r="AY273" s="3"/>
      <c r="AZ273" s="1">
        <v>3</v>
      </c>
      <c r="BA273" s="1" t="s">
        <v>1978</v>
      </c>
      <c r="BB273" s="1" t="s">
        <v>1567</v>
      </c>
      <c r="BC273" s="1" t="s">
        <v>1602</v>
      </c>
      <c r="BD273" s="1" t="s">
        <v>1990</v>
      </c>
      <c r="BE273" s="1" t="s">
        <v>1603</v>
      </c>
      <c r="BF273" s="1" t="s">
        <v>1534</v>
      </c>
      <c r="BG273" s="1" t="s">
        <v>1525</v>
      </c>
      <c r="BH273" s="1" t="s">
        <v>46</v>
      </c>
      <c r="BI273" s="1" t="s">
        <v>1535</v>
      </c>
      <c r="BJ273" s="1" t="s">
        <v>45</v>
      </c>
      <c r="BK273" s="1" t="s">
        <v>1536</v>
      </c>
      <c r="BL273" s="32">
        <v>45723</v>
      </c>
      <c r="BM273" s="1" t="s">
        <v>1372</v>
      </c>
      <c r="BO273" s="1" t="s">
        <v>1537</v>
      </c>
      <c r="BP273" s="1" t="s">
        <v>1538</v>
      </c>
      <c r="BQ273" s="1" t="s">
        <v>1539</v>
      </c>
      <c r="BR273" s="1" t="s">
        <v>1540</v>
      </c>
      <c r="BS273" s="1" t="s">
        <v>50</v>
      </c>
      <c r="BU273" s="1" t="s">
        <v>51</v>
      </c>
      <c r="BV273" s="1" t="s">
        <v>1541</v>
      </c>
      <c r="CA273" s="1" t="s">
        <v>51</v>
      </c>
      <c r="CB273" s="1" t="s">
        <v>51</v>
      </c>
      <c r="CC273" s="32">
        <v>45748</v>
      </c>
      <c r="CD273" s="1">
        <v>59.4</v>
      </c>
      <c r="CE273" s="1">
        <v>33</v>
      </c>
      <c r="CJ273" s="1" t="s">
        <v>45</v>
      </c>
      <c r="DH273" s="1" t="s">
        <v>45</v>
      </c>
      <c r="DM273" s="1" t="s">
        <v>45</v>
      </c>
      <c r="DO273" s="1" t="s">
        <v>45</v>
      </c>
      <c r="DQ273" s="1" t="s">
        <v>45</v>
      </c>
      <c r="DT273" s="32">
        <v>45812</v>
      </c>
      <c r="DU273" s="1" t="s">
        <v>1598</v>
      </c>
      <c r="DV273" s="1">
        <v>2.9237844940867199</v>
      </c>
      <c r="DW273" s="1" t="s">
        <v>45</v>
      </c>
      <c r="DY273" s="32">
        <v>45813</v>
      </c>
      <c r="DZ273" s="1" t="s">
        <v>1544</v>
      </c>
    </row>
    <row r="274" spans="1:130" ht="15.75" customHeight="1" x14ac:dyDescent="0.2">
      <c r="A274" s="8" t="s">
        <v>1376</v>
      </c>
      <c r="B274" s="32">
        <v>20065</v>
      </c>
      <c r="C274" s="32">
        <v>45728</v>
      </c>
      <c r="D274" s="1">
        <v>70.262907520346005</v>
      </c>
      <c r="E274" s="1" t="s">
        <v>1587</v>
      </c>
      <c r="F274" s="1" t="s">
        <v>1524</v>
      </c>
      <c r="G274" s="1" t="s">
        <v>1545</v>
      </c>
      <c r="H274" s="1" t="s">
        <v>51</v>
      </c>
      <c r="I274" s="1">
        <v>1.5</v>
      </c>
      <c r="J274" s="1" t="s">
        <v>51</v>
      </c>
      <c r="K274" s="1">
        <v>68.5</v>
      </c>
      <c r="L274" s="1">
        <v>30.4444444444444</v>
      </c>
      <c r="M274" s="1" t="s">
        <v>45</v>
      </c>
      <c r="N274" s="1" t="s">
        <v>45</v>
      </c>
      <c r="O274" s="1" t="s">
        <v>45</v>
      </c>
      <c r="P274" s="1" t="s">
        <v>45</v>
      </c>
      <c r="Q274" s="1" t="s">
        <v>45</v>
      </c>
      <c r="R274" s="1" t="s">
        <v>45</v>
      </c>
      <c r="S274" s="1" t="s">
        <v>45</v>
      </c>
      <c r="T274" s="1" t="s">
        <v>45</v>
      </c>
      <c r="U274" s="1" t="s">
        <v>51</v>
      </c>
      <c r="V274" s="1" t="s">
        <v>45</v>
      </c>
      <c r="W274" s="1" t="s">
        <v>45</v>
      </c>
      <c r="X274" s="1" t="s">
        <v>45</v>
      </c>
      <c r="Y274" s="1" t="s">
        <v>45</v>
      </c>
      <c r="Z274" s="1" t="s">
        <v>45</v>
      </c>
      <c r="AA274" s="1" t="s">
        <v>45</v>
      </c>
      <c r="AB274" s="1" t="s">
        <v>45</v>
      </c>
      <c r="AC274" s="1" t="s">
        <v>45</v>
      </c>
      <c r="AD274" s="1" t="s">
        <v>45</v>
      </c>
      <c r="AE274" s="1" t="s">
        <v>45</v>
      </c>
      <c r="AF274" s="32">
        <v>45733</v>
      </c>
      <c r="AG274" s="1">
        <v>70.276597055381004</v>
      </c>
      <c r="AH274" s="1" t="s">
        <v>1526</v>
      </c>
      <c r="AI274" s="1" t="s">
        <v>1527</v>
      </c>
      <c r="AJ274" s="1" t="s">
        <v>45</v>
      </c>
      <c r="AK274" s="1" t="s">
        <v>45</v>
      </c>
      <c r="AL274" s="1" t="s">
        <v>51</v>
      </c>
      <c r="AM274" s="1" t="s">
        <v>45</v>
      </c>
      <c r="AN274" s="1" t="s">
        <v>45</v>
      </c>
      <c r="AO274" s="1" t="s">
        <v>45</v>
      </c>
      <c r="AP274" s="1" t="s">
        <v>51</v>
      </c>
      <c r="AQ274" s="1" t="s">
        <v>51</v>
      </c>
      <c r="AR274" s="1" t="s">
        <v>45</v>
      </c>
      <c r="AT274" s="1" t="s">
        <v>1528</v>
      </c>
      <c r="AW274" s="33" t="s">
        <v>1463</v>
      </c>
      <c r="AX274" s="3" t="s">
        <v>1528</v>
      </c>
      <c r="AY274" s="3"/>
      <c r="AZ274" s="1">
        <v>4</v>
      </c>
      <c r="BA274" s="1" t="s">
        <v>1529</v>
      </c>
      <c r="BB274" s="1" t="s">
        <v>1530</v>
      </c>
      <c r="BC274" s="1" t="s">
        <v>1531</v>
      </c>
      <c r="BD274" s="1" t="s">
        <v>1532</v>
      </c>
      <c r="BE274" s="1" t="s">
        <v>1603</v>
      </c>
      <c r="BF274" s="1" t="s">
        <v>1534</v>
      </c>
      <c r="BG274" s="1" t="s">
        <v>45</v>
      </c>
      <c r="BH274" s="1" t="s">
        <v>68</v>
      </c>
      <c r="BI274" s="1" t="s">
        <v>1599</v>
      </c>
      <c r="BJ274" s="1" t="s">
        <v>51</v>
      </c>
      <c r="BK274" s="1" t="s">
        <v>1536</v>
      </c>
      <c r="BL274" s="32">
        <v>45733</v>
      </c>
      <c r="BM274" s="1" t="s">
        <v>1377</v>
      </c>
      <c r="BO274" s="1" t="s">
        <v>1537</v>
      </c>
      <c r="BP274" s="1" t="s">
        <v>1538</v>
      </c>
      <c r="BQ274" s="1" t="s">
        <v>1539</v>
      </c>
      <c r="BR274" s="1" t="s">
        <v>1540</v>
      </c>
      <c r="BS274" s="1" t="s">
        <v>50</v>
      </c>
      <c r="BU274" s="1" t="s">
        <v>51</v>
      </c>
      <c r="BV274" s="1" t="s">
        <v>1541</v>
      </c>
      <c r="CA274" s="1" t="s">
        <v>51</v>
      </c>
      <c r="CB274" s="1" t="s">
        <v>51</v>
      </c>
      <c r="CC274" s="32">
        <v>45769</v>
      </c>
      <c r="CD274" s="1">
        <v>40.049999999999997</v>
      </c>
      <c r="CE274" s="1">
        <v>15</v>
      </c>
      <c r="CJ274" s="1" t="s">
        <v>45</v>
      </c>
      <c r="DH274" s="1" t="s">
        <v>45</v>
      </c>
      <c r="DM274" s="1" t="s">
        <v>45</v>
      </c>
      <c r="DO274" s="1" t="s">
        <v>45</v>
      </c>
      <c r="DQ274" s="1" t="s">
        <v>45</v>
      </c>
      <c r="DT274" s="32">
        <v>45792</v>
      </c>
      <c r="DU274" s="1" t="s">
        <v>1598</v>
      </c>
      <c r="DV274" s="1">
        <v>1.9382391590013099</v>
      </c>
      <c r="DW274" s="1" t="s">
        <v>45</v>
      </c>
      <c r="DY274" s="32">
        <v>45813</v>
      </c>
      <c r="DZ274" s="1" t="s">
        <v>1544</v>
      </c>
    </row>
    <row r="275" spans="1:130" ht="15.75" customHeight="1" x14ac:dyDescent="0.2">
      <c r="A275" s="8" t="s">
        <v>1383</v>
      </c>
      <c r="B275" s="32">
        <v>33178</v>
      </c>
      <c r="C275" s="32">
        <v>45684</v>
      </c>
      <c r="D275" s="1">
        <v>34.240265029398202</v>
      </c>
      <c r="E275" s="1" t="s">
        <v>1587</v>
      </c>
      <c r="F275" s="1" t="s">
        <v>1524</v>
      </c>
      <c r="G275" s="1" t="s">
        <v>1574</v>
      </c>
      <c r="H275" s="1" t="s">
        <v>51</v>
      </c>
      <c r="I275" s="1">
        <v>1.63</v>
      </c>
      <c r="J275" s="1" t="s">
        <v>51</v>
      </c>
      <c r="K275" s="1">
        <v>52.3</v>
      </c>
      <c r="L275" s="1">
        <v>19.6845948285596</v>
      </c>
      <c r="M275" s="1" t="s">
        <v>45</v>
      </c>
      <c r="N275" s="1" t="s">
        <v>45</v>
      </c>
      <c r="O275" s="1" t="s">
        <v>45</v>
      </c>
      <c r="P275" s="1" t="s">
        <v>45</v>
      </c>
      <c r="Q275" s="1" t="s">
        <v>45</v>
      </c>
      <c r="R275" s="1" t="s">
        <v>45</v>
      </c>
      <c r="S275" s="1" t="s">
        <v>45</v>
      </c>
      <c r="T275" s="1" t="s">
        <v>45</v>
      </c>
      <c r="U275" s="1" t="s">
        <v>45</v>
      </c>
      <c r="V275" s="1" t="s">
        <v>45</v>
      </c>
      <c r="W275" s="1" t="s">
        <v>45</v>
      </c>
      <c r="X275" s="1" t="s">
        <v>45</v>
      </c>
      <c r="Y275" s="1" t="s">
        <v>45</v>
      </c>
      <c r="Z275" s="1" t="s">
        <v>45</v>
      </c>
      <c r="AA275" s="1" t="s">
        <v>45</v>
      </c>
      <c r="AB275" s="1" t="s">
        <v>45</v>
      </c>
      <c r="AC275" s="1" t="s">
        <v>45</v>
      </c>
      <c r="AD275" s="1" t="s">
        <v>45</v>
      </c>
      <c r="AE275" s="1" t="s">
        <v>45</v>
      </c>
      <c r="AF275" s="32">
        <v>45734</v>
      </c>
      <c r="AG275" s="1">
        <v>34.3771603797477</v>
      </c>
      <c r="AH275" s="1" t="s">
        <v>1558</v>
      </c>
      <c r="AI275" s="1" t="s">
        <v>1527</v>
      </c>
      <c r="AJ275" s="1" t="s">
        <v>45</v>
      </c>
      <c r="AK275" s="1" t="s">
        <v>45</v>
      </c>
      <c r="AL275" s="1" t="s">
        <v>45</v>
      </c>
      <c r="AM275" s="1" t="s">
        <v>45</v>
      </c>
      <c r="AN275" s="1" t="s">
        <v>45</v>
      </c>
      <c r="AO275" s="1" t="s">
        <v>45</v>
      </c>
      <c r="AP275" s="1" t="s">
        <v>45</v>
      </c>
      <c r="AQ275" s="1" t="s">
        <v>45</v>
      </c>
      <c r="AR275" s="1" t="s">
        <v>45</v>
      </c>
      <c r="AT275" s="1" t="s">
        <v>1560</v>
      </c>
      <c r="AW275" s="33" t="s">
        <v>1463</v>
      </c>
      <c r="AX275" s="3" t="s">
        <v>1560</v>
      </c>
      <c r="AY275" s="3"/>
      <c r="AZ275" s="1">
        <v>4</v>
      </c>
      <c r="BA275" s="1" t="s">
        <v>1529</v>
      </c>
      <c r="BB275" s="1" t="s">
        <v>1567</v>
      </c>
      <c r="BC275" s="1" t="s">
        <v>1531</v>
      </c>
      <c r="BD275" s="1" t="s">
        <v>1822</v>
      </c>
      <c r="BE275" s="1" t="s">
        <v>1603</v>
      </c>
      <c r="BF275" s="1" t="s">
        <v>1534</v>
      </c>
      <c r="BG275" s="1" t="s">
        <v>45</v>
      </c>
      <c r="BH275" s="1" t="s">
        <v>46</v>
      </c>
      <c r="BI275" s="1" t="s">
        <v>1599</v>
      </c>
      <c r="BJ275" s="1" t="s">
        <v>45</v>
      </c>
      <c r="BK275" s="1" t="s">
        <v>1536</v>
      </c>
      <c r="BL275" s="32">
        <v>45734</v>
      </c>
      <c r="BM275" s="1" t="s">
        <v>1384</v>
      </c>
      <c r="BO275" s="1" t="s">
        <v>1537</v>
      </c>
      <c r="BP275" s="1" t="s">
        <v>1538</v>
      </c>
      <c r="BQ275" s="1" t="s">
        <v>1647</v>
      </c>
      <c r="BR275" s="1" t="s">
        <v>1552</v>
      </c>
      <c r="BS275" s="1" t="s">
        <v>50</v>
      </c>
      <c r="BU275" s="1" t="s">
        <v>51</v>
      </c>
      <c r="BV275" s="1" t="s">
        <v>1541</v>
      </c>
      <c r="CA275" s="1" t="s">
        <v>51</v>
      </c>
      <c r="CB275" s="1" t="s">
        <v>51</v>
      </c>
      <c r="CC275" s="32">
        <v>45757</v>
      </c>
      <c r="CD275" s="1">
        <v>59.4</v>
      </c>
      <c r="CE275" s="1">
        <v>33</v>
      </c>
      <c r="CJ275" s="1" t="s">
        <v>45</v>
      </c>
      <c r="DH275" s="1" t="s">
        <v>45</v>
      </c>
      <c r="DM275" s="1" t="s">
        <v>45</v>
      </c>
      <c r="DO275" s="1" t="s">
        <v>45</v>
      </c>
      <c r="DQ275" s="1" t="s">
        <v>45</v>
      </c>
      <c r="DT275" s="32">
        <v>45807</v>
      </c>
      <c r="DU275" s="1" t="s">
        <v>1598</v>
      </c>
      <c r="DV275" s="1">
        <v>2.3981603153745001</v>
      </c>
      <c r="DW275" s="1" t="s">
        <v>45</v>
      </c>
      <c r="DY275" s="32">
        <v>45813</v>
      </c>
      <c r="DZ275" s="1" t="s">
        <v>1544</v>
      </c>
    </row>
    <row r="276" spans="1:130" ht="15.75" customHeight="1" x14ac:dyDescent="0.2">
      <c r="A276" s="8" t="s">
        <v>1389</v>
      </c>
      <c r="B276" s="32">
        <v>27352</v>
      </c>
      <c r="C276" s="32">
        <v>45725</v>
      </c>
      <c r="D276" s="1">
        <v>50.303565439399797</v>
      </c>
      <c r="E276" s="1" t="s">
        <v>1587</v>
      </c>
      <c r="F276" s="1" t="s">
        <v>1524</v>
      </c>
      <c r="G276" s="1" t="s">
        <v>1574</v>
      </c>
      <c r="H276" s="1" t="s">
        <v>51</v>
      </c>
      <c r="I276" s="1">
        <v>1.67</v>
      </c>
      <c r="J276" s="1" t="s">
        <v>51</v>
      </c>
      <c r="K276" s="1">
        <v>68.599999999999994</v>
      </c>
      <c r="L276" s="1">
        <v>24.597511563698902</v>
      </c>
      <c r="M276" s="1" t="s">
        <v>45</v>
      </c>
      <c r="N276" s="1" t="s">
        <v>45</v>
      </c>
      <c r="O276" s="1" t="s">
        <v>45</v>
      </c>
      <c r="P276" s="1" t="s">
        <v>45</v>
      </c>
      <c r="Q276" s="1" t="s">
        <v>45</v>
      </c>
      <c r="R276" s="1" t="s">
        <v>45</v>
      </c>
      <c r="S276" s="1" t="s">
        <v>45</v>
      </c>
      <c r="T276" s="1" t="s">
        <v>45</v>
      </c>
      <c r="U276" s="1" t="s">
        <v>45</v>
      </c>
      <c r="V276" s="1" t="s">
        <v>45</v>
      </c>
      <c r="W276" s="1" t="s">
        <v>45</v>
      </c>
      <c r="X276" s="1" t="s">
        <v>45</v>
      </c>
      <c r="Y276" s="1" t="s">
        <v>45</v>
      </c>
      <c r="Z276" s="1" t="s">
        <v>45</v>
      </c>
      <c r="AA276" s="1" t="s">
        <v>45</v>
      </c>
      <c r="AB276" s="1" t="s">
        <v>45</v>
      </c>
      <c r="AC276" s="1" t="s">
        <v>45</v>
      </c>
      <c r="AD276" s="1" t="s">
        <v>45</v>
      </c>
      <c r="AE276" s="1" t="s">
        <v>45</v>
      </c>
      <c r="AF276" s="32">
        <v>45743</v>
      </c>
      <c r="AG276" s="1">
        <v>50.352847765525603</v>
      </c>
      <c r="AH276" s="1" t="s">
        <v>1526</v>
      </c>
      <c r="AI276" s="1" t="s">
        <v>1527</v>
      </c>
      <c r="AJ276" s="1" t="s">
        <v>45</v>
      </c>
      <c r="AK276" s="1" t="s">
        <v>45</v>
      </c>
      <c r="AL276" s="1" t="s">
        <v>45</v>
      </c>
      <c r="AM276" s="1" t="s">
        <v>45</v>
      </c>
      <c r="AN276" s="1" t="s">
        <v>45</v>
      </c>
      <c r="AO276" s="1" t="s">
        <v>45</v>
      </c>
      <c r="AP276" s="1" t="s">
        <v>45</v>
      </c>
      <c r="AQ276" s="1" t="s">
        <v>45</v>
      </c>
      <c r="AR276" s="1" t="s">
        <v>51</v>
      </c>
      <c r="AS276" s="1" t="s">
        <v>2233</v>
      </c>
      <c r="AT276" s="1" t="s">
        <v>1528</v>
      </c>
      <c r="AW276" s="33" t="s">
        <v>1463</v>
      </c>
      <c r="AX276" s="3" t="s">
        <v>1528</v>
      </c>
      <c r="AY276" s="3"/>
      <c r="AZ276" s="1">
        <v>4</v>
      </c>
      <c r="BA276" s="1" t="s">
        <v>1529</v>
      </c>
      <c r="BB276" s="1" t="s">
        <v>1530</v>
      </c>
      <c r="BC276" s="1" t="s">
        <v>1531</v>
      </c>
      <c r="BD276" s="1" t="s">
        <v>1532</v>
      </c>
      <c r="BE276" s="1" t="s">
        <v>1533</v>
      </c>
      <c r="BF276" s="1" t="s">
        <v>1534</v>
      </c>
      <c r="BG276" s="1" t="s">
        <v>1525</v>
      </c>
      <c r="BH276" s="1" t="s">
        <v>46</v>
      </c>
      <c r="BI276" s="1" t="s">
        <v>1535</v>
      </c>
      <c r="BJ276" s="1" t="s">
        <v>1525</v>
      </c>
      <c r="BK276" s="1" t="s">
        <v>1536</v>
      </c>
      <c r="BL276" s="32">
        <v>45743</v>
      </c>
      <c r="BM276" s="1" t="s">
        <v>1390</v>
      </c>
      <c r="BO276" s="1" t="s">
        <v>1537</v>
      </c>
      <c r="BP276" s="1" t="s">
        <v>1538</v>
      </c>
      <c r="BQ276" s="1" t="s">
        <v>1605</v>
      </c>
      <c r="BR276" s="1" t="s">
        <v>1540</v>
      </c>
      <c r="BS276" s="1" t="s">
        <v>50</v>
      </c>
      <c r="BU276" s="1" t="s">
        <v>45</v>
      </c>
      <c r="BW276" s="1" t="s">
        <v>1563</v>
      </c>
      <c r="CA276" s="1" t="s">
        <v>51</v>
      </c>
      <c r="CB276" s="1" t="s">
        <v>51</v>
      </c>
      <c r="CI276" s="1" t="s">
        <v>2234</v>
      </c>
      <c r="CJ276" s="1" t="s">
        <v>45</v>
      </c>
      <c r="DH276" s="1" t="s">
        <v>45</v>
      </c>
      <c r="DM276" s="1" t="s">
        <v>45</v>
      </c>
      <c r="DO276" s="1" t="s">
        <v>45</v>
      </c>
      <c r="DQ276" s="1" t="s">
        <v>45</v>
      </c>
      <c r="DT276" s="32">
        <v>45790</v>
      </c>
      <c r="DU276" s="1" t="s">
        <v>1598</v>
      </c>
      <c r="DV276" s="1">
        <v>1.54402102496714</v>
      </c>
      <c r="DW276" s="1" t="s">
        <v>51</v>
      </c>
      <c r="DX276" s="1" t="s">
        <v>2235</v>
      </c>
      <c r="DY276" s="32">
        <v>45813</v>
      </c>
      <c r="DZ276" s="1" t="s">
        <v>1544</v>
      </c>
    </row>
    <row r="277" spans="1:130" ht="15.75" customHeight="1" x14ac:dyDescent="0.2">
      <c r="A277" s="8" t="s">
        <v>1398</v>
      </c>
      <c r="B277" s="32">
        <v>22754</v>
      </c>
      <c r="C277" s="32">
        <v>45741</v>
      </c>
      <c r="D277" s="1">
        <v>62.9362683696448</v>
      </c>
      <c r="E277" s="1" t="s">
        <v>1587</v>
      </c>
      <c r="F277" s="1" t="s">
        <v>1578</v>
      </c>
      <c r="G277" s="1" t="s">
        <v>1574</v>
      </c>
      <c r="H277" s="1" t="s">
        <v>51</v>
      </c>
      <c r="I277" s="1">
        <v>1.5249999999999999</v>
      </c>
      <c r="J277" s="1" t="s">
        <v>51</v>
      </c>
      <c r="K277" s="1">
        <v>51.8</v>
      </c>
      <c r="L277" s="1">
        <v>22.273582370330502</v>
      </c>
      <c r="M277" s="1" t="s">
        <v>45</v>
      </c>
      <c r="N277" s="1" t="s">
        <v>45</v>
      </c>
      <c r="O277" s="1" t="s">
        <v>45</v>
      </c>
      <c r="P277" s="1" t="s">
        <v>45</v>
      </c>
      <c r="Q277" s="1" t="s">
        <v>45</v>
      </c>
      <c r="R277" s="1" t="s">
        <v>45</v>
      </c>
      <c r="S277" s="1" t="s">
        <v>45</v>
      </c>
      <c r="T277" s="1" t="s">
        <v>45</v>
      </c>
      <c r="U277" s="1" t="s">
        <v>45</v>
      </c>
      <c r="V277" s="1" t="s">
        <v>45</v>
      </c>
      <c r="W277" s="1" t="s">
        <v>45</v>
      </c>
      <c r="X277" s="1" t="s">
        <v>45</v>
      </c>
      <c r="Y277" s="1" t="s">
        <v>45</v>
      </c>
      <c r="Z277" s="1" t="s">
        <v>45</v>
      </c>
      <c r="AA277" s="1" t="s">
        <v>45</v>
      </c>
      <c r="AB277" s="1" t="s">
        <v>45</v>
      </c>
      <c r="AC277" s="1" t="s">
        <v>45</v>
      </c>
      <c r="AD277" s="1" t="s">
        <v>45</v>
      </c>
      <c r="AE277" s="1" t="s">
        <v>45</v>
      </c>
      <c r="AF277" s="32">
        <v>45748</v>
      </c>
      <c r="AG277" s="1">
        <v>62.955433718693698</v>
      </c>
      <c r="AH277" s="1" t="s">
        <v>1526</v>
      </c>
      <c r="AI277" s="1" t="s">
        <v>1527</v>
      </c>
      <c r="AJ277" s="1" t="s">
        <v>45</v>
      </c>
      <c r="AK277" s="1" t="s">
        <v>45</v>
      </c>
      <c r="AL277" s="1" t="s">
        <v>51</v>
      </c>
      <c r="AM277" s="1" t="s">
        <v>51</v>
      </c>
      <c r="AN277" s="1" t="s">
        <v>45</v>
      </c>
      <c r="AO277" s="1" t="s">
        <v>51</v>
      </c>
      <c r="AP277" s="1" t="s">
        <v>45</v>
      </c>
      <c r="AQ277" s="1" t="s">
        <v>45</v>
      </c>
      <c r="AR277" s="1" t="s">
        <v>45</v>
      </c>
      <c r="AT277" s="1" t="s">
        <v>1528</v>
      </c>
      <c r="AV277" s="1" t="s">
        <v>2155</v>
      </c>
      <c r="AW277" s="33" t="s">
        <v>1463</v>
      </c>
      <c r="AX277" s="3" t="s">
        <v>1528</v>
      </c>
      <c r="AY277" s="3"/>
      <c r="AZ277" s="43">
        <v>4</v>
      </c>
      <c r="BB277" s="1" t="s">
        <v>1530</v>
      </c>
      <c r="BE277" s="1" t="s">
        <v>1603</v>
      </c>
      <c r="BF277" s="1" t="s">
        <v>1534</v>
      </c>
      <c r="BG277" s="1" t="s">
        <v>1525</v>
      </c>
      <c r="BH277" s="1" t="s">
        <v>68</v>
      </c>
      <c r="BI277" s="1" t="s">
        <v>1535</v>
      </c>
      <c r="BJ277" s="1" t="s">
        <v>1525</v>
      </c>
      <c r="BK277" s="1" t="s">
        <v>1536</v>
      </c>
      <c r="BL277" s="32">
        <v>45748</v>
      </c>
      <c r="BM277" s="1" t="s">
        <v>1399</v>
      </c>
      <c r="BO277" s="1" t="s">
        <v>1537</v>
      </c>
      <c r="BP277" s="1" t="s">
        <v>1538</v>
      </c>
      <c r="BQ277" s="1" t="s">
        <v>1539</v>
      </c>
      <c r="BR277" s="1" t="s">
        <v>1540</v>
      </c>
      <c r="BS277" s="1" t="s">
        <v>43</v>
      </c>
      <c r="BU277" s="1" t="s">
        <v>45</v>
      </c>
      <c r="CA277" s="1" t="s">
        <v>51</v>
      </c>
      <c r="CB277" s="1" t="s">
        <v>51</v>
      </c>
      <c r="CC277" s="32">
        <v>45778</v>
      </c>
      <c r="CD277" s="1">
        <v>60</v>
      </c>
      <c r="CE277" s="1">
        <v>30</v>
      </c>
      <c r="CJ277" s="1" t="s">
        <v>45</v>
      </c>
      <c r="DH277" s="1" t="s">
        <v>45</v>
      </c>
      <c r="DM277" s="1" t="s">
        <v>45</v>
      </c>
      <c r="DO277" s="1" t="s">
        <v>45</v>
      </c>
      <c r="DQ277" s="1" t="s">
        <v>45</v>
      </c>
      <c r="DT277" s="32">
        <v>45813</v>
      </c>
      <c r="DU277" s="1" t="s">
        <v>1598</v>
      </c>
      <c r="DV277" s="1">
        <v>2.1353482260183898</v>
      </c>
      <c r="DW277" s="1" t="s">
        <v>45</v>
      </c>
      <c r="DY277" s="32">
        <v>45813</v>
      </c>
      <c r="DZ277" s="1" t="s">
        <v>1544</v>
      </c>
    </row>
    <row r="278" spans="1:130" ht="15.75" customHeight="1" x14ac:dyDescent="0.2">
      <c r="A278" s="8" t="s">
        <v>1402</v>
      </c>
      <c r="B278" s="32">
        <v>34968</v>
      </c>
      <c r="C278" s="32">
        <v>45669</v>
      </c>
      <c r="D278" s="1">
        <v>29.298342881783999</v>
      </c>
      <c r="E278" s="1" t="s">
        <v>1523</v>
      </c>
      <c r="F278" s="1" t="s">
        <v>1524</v>
      </c>
      <c r="G278" s="1" t="s">
        <v>1574</v>
      </c>
      <c r="H278" s="1" t="s">
        <v>51</v>
      </c>
      <c r="I278" s="1">
        <v>1.7549999999999999</v>
      </c>
      <c r="J278" s="1" t="s">
        <v>51</v>
      </c>
      <c r="K278" s="1">
        <v>66.3</v>
      </c>
      <c r="L278" s="1">
        <v>21.525799303576999</v>
      </c>
      <c r="M278" s="1" t="s">
        <v>45</v>
      </c>
      <c r="N278" s="1" t="s">
        <v>45</v>
      </c>
      <c r="O278" s="1" t="s">
        <v>45</v>
      </c>
      <c r="P278" s="1" t="s">
        <v>45</v>
      </c>
      <c r="Q278" s="1" t="s">
        <v>45</v>
      </c>
      <c r="R278" s="1" t="s">
        <v>45</v>
      </c>
      <c r="S278" s="1" t="s">
        <v>45</v>
      </c>
      <c r="T278" s="1" t="s">
        <v>45</v>
      </c>
      <c r="U278" s="1" t="s">
        <v>45</v>
      </c>
      <c r="V278" s="1" t="s">
        <v>45</v>
      </c>
      <c r="W278" s="1" t="s">
        <v>45</v>
      </c>
      <c r="X278" s="1" t="s">
        <v>45</v>
      </c>
      <c r="Y278" s="1" t="s">
        <v>45</v>
      </c>
      <c r="Z278" s="1" t="s">
        <v>45</v>
      </c>
      <c r="AA278" s="1" t="s">
        <v>45</v>
      </c>
      <c r="AB278" s="1" t="s">
        <v>45</v>
      </c>
      <c r="AC278" s="1" t="s">
        <v>45</v>
      </c>
      <c r="AD278" s="1" t="s">
        <v>45</v>
      </c>
      <c r="AE278" s="1" t="s">
        <v>45</v>
      </c>
      <c r="AF278" s="32">
        <v>44301</v>
      </c>
      <c r="AG278" s="1">
        <v>25.552886096223698</v>
      </c>
      <c r="AH278" s="1" t="s">
        <v>1526</v>
      </c>
      <c r="AI278" s="1" t="s">
        <v>1527</v>
      </c>
      <c r="AJ278" s="1" t="s">
        <v>45</v>
      </c>
      <c r="AK278" s="1" t="s">
        <v>51</v>
      </c>
      <c r="AL278" s="1" t="s">
        <v>45</v>
      </c>
      <c r="AM278" s="1" t="s">
        <v>45</v>
      </c>
      <c r="AN278" s="1" t="s">
        <v>45</v>
      </c>
      <c r="AO278" s="1" t="s">
        <v>45</v>
      </c>
      <c r="AP278" s="1" t="s">
        <v>45</v>
      </c>
      <c r="AQ278" s="1" t="s">
        <v>45</v>
      </c>
      <c r="AR278" s="1" t="s">
        <v>51</v>
      </c>
      <c r="AS278" s="1" t="s">
        <v>2236</v>
      </c>
      <c r="AT278" s="1" t="s">
        <v>1560</v>
      </c>
      <c r="AW278" s="33" t="s">
        <v>1463</v>
      </c>
      <c r="AX278" s="3" t="s">
        <v>1560</v>
      </c>
      <c r="AY278" s="3"/>
      <c r="AZ278" s="1">
        <v>3</v>
      </c>
      <c r="BA278" s="1" t="s">
        <v>1978</v>
      </c>
      <c r="BB278" s="1" t="s">
        <v>1567</v>
      </c>
      <c r="BC278" s="1" t="s">
        <v>1531</v>
      </c>
      <c r="BD278" s="1" t="s">
        <v>1822</v>
      </c>
      <c r="BE278" s="1" t="s">
        <v>1603</v>
      </c>
      <c r="BF278" s="1" t="s">
        <v>1534</v>
      </c>
      <c r="BG278" s="1" t="s">
        <v>51</v>
      </c>
      <c r="BH278" s="1" t="s">
        <v>46</v>
      </c>
      <c r="BI278" s="1" t="s">
        <v>1599</v>
      </c>
      <c r="BJ278" s="1" t="s">
        <v>51</v>
      </c>
      <c r="BK278" s="1" t="s">
        <v>1536</v>
      </c>
      <c r="BL278" s="32">
        <v>44301</v>
      </c>
      <c r="BM278" s="1" t="s">
        <v>1403</v>
      </c>
      <c r="BO278" s="1" t="s">
        <v>1537</v>
      </c>
      <c r="BP278" s="1" t="s">
        <v>1538</v>
      </c>
      <c r="BQ278" s="1" t="s">
        <v>1539</v>
      </c>
      <c r="BR278" s="1" t="s">
        <v>1552</v>
      </c>
      <c r="BS278" s="1" t="s">
        <v>50</v>
      </c>
      <c r="BU278" s="1" t="s">
        <v>1525</v>
      </c>
      <c r="BW278" s="1" t="s">
        <v>1563</v>
      </c>
      <c r="BX278" s="32">
        <v>44727</v>
      </c>
      <c r="BY278" s="1">
        <v>12</v>
      </c>
      <c r="BZ278" s="1" t="s">
        <v>2237</v>
      </c>
      <c r="CA278" s="1" t="s">
        <v>51</v>
      </c>
      <c r="CB278" s="1" t="s">
        <v>51</v>
      </c>
      <c r="CC278" s="32">
        <v>44454</v>
      </c>
      <c r="CD278" s="1">
        <v>60</v>
      </c>
      <c r="CE278" s="1">
        <v>30</v>
      </c>
      <c r="CI278" s="1" t="s">
        <v>2238</v>
      </c>
      <c r="CJ278" s="1" t="s">
        <v>51</v>
      </c>
      <c r="CK278" s="32">
        <v>45719</v>
      </c>
      <c r="CL278" s="1" t="s">
        <v>51</v>
      </c>
      <c r="CM278" s="32">
        <v>45750</v>
      </c>
      <c r="CN278" s="1">
        <v>3.9672272531263402</v>
      </c>
      <c r="CO278" s="1" t="s">
        <v>1537</v>
      </c>
      <c r="CP278" s="1" t="s">
        <v>1796</v>
      </c>
      <c r="CQ278" s="1" t="s">
        <v>1539</v>
      </c>
      <c r="CR278" s="1" t="s">
        <v>1552</v>
      </c>
      <c r="CS278" s="1" t="s">
        <v>50</v>
      </c>
      <c r="CT278" s="1" t="s">
        <v>1560</v>
      </c>
      <c r="CW278" s="1">
        <v>3</v>
      </c>
      <c r="CX278" s="1" t="s">
        <v>1978</v>
      </c>
      <c r="CY278" s="1" t="s">
        <v>1567</v>
      </c>
      <c r="CZ278" s="1" t="s">
        <v>1531</v>
      </c>
      <c r="DA278" s="1" t="s">
        <v>1822</v>
      </c>
      <c r="DB278" s="1" t="s">
        <v>1603</v>
      </c>
      <c r="DC278" s="1" t="s">
        <v>1534</v>
      </c>
      <c r="DD278" s="1" t="s">
        <v>51</v>
      </c>
      <c r="DE278" s="1" t="s">
        <v>46</v>
      </c>
      <c r="DF278" s="1" t="s">
        <v>46</v>
      </c>
      <c r="DG278" s="1" t="s">
        <v>51</v>
      </c>
      <c r="DH278" s="1" t="s">
        <v>45</v>
      </c>
      <c r="DM278" s="1" t="s">
        <v>45</v>
      </c>
      <c r="DO278" s="1" t="s">
        <v>45</v>
      </c>
      <c r="DQ278" s="1" t="s">
        <v>45</v>
      </c>
      <c r="DT278" s="32">
        <v>45813</v>
      </c>
      <c r="DU278" s="1" t="s">
        <v>1598</v>
      </c>
      <c r="DV278" s="1">
        <v>49.671484888304803</v>
      </c>
      <c r="DW278" s="1" t="s">
        <v>45</v>
      </c>
      <c r="DY278" s="32">
        <v>45813</v>
      </c>
      <c r="DZ278" s="1" t="s">
        <v>1544</v>
      </c>
    </row>
    <row r="279" spans="1:130" ht="15.75" customHeight="1" x14ac:dyDescent="0.2">
      <c r="A279" s="8" t="s">
        <v>1406</v>
      </c>
      <c r="B279" s="32">
        <v>24325</v>
      </c>
      <c r="C279" s="32">
        <v>43374</v>
      </c>
      <c r="D279" s="1">
        <v>52.154390576124001</v>
      </c>
      <c r="E279" s="1" t="s">
        <v>1523</v>
      </c>
      <c r="F279" s="1" t="s">
        <v>1524</v>
      </c>
      <c r="G279" s="1" t="s">
        <v>1574</v>
      </c>
      <c r="H279" s="1" t="s">
        <v>51</v>
      </c>
      <c r="I279" s="1">
        <v>1.88</v>
      </c>
      <c r="J279" s="1" t="s">
        <v>51</v>
      </c>
      <c r="K279" s="1">
        <v>103.5</v>
      </c>
      <c r="L279" s="1">
        <v>29.283612494341298</v>
      </c>
      <c r="M279" s="1" t="s">
        <v>45</v>
      </c>
      <c r="N279" s="1" t="s">
        <v>45</v>
      </c>
      <c r="O279" s="1" t="s">
        <v>45</v>
      </c>
      <c r="P279" s="1" t="s">
        <v>45</v>
      </c>
      <c r="Q279" s="1" t="s">
        <v>45</v>
      </c>
      <c r="R279" s="1" t="s">
        <v>45</v>
      </c>
      <c r="S279" s="1" t="s">
        <v>45</v>
      </c>
      <c r="T279" s="1" t="s">
        <v>45</v>
      </c>
      <c r="U279" s="1" t="s">
        <v>45</v>
      </c>
      <c r="V279" s="1" t="s">
        <v>45</v>
      </c>
      <c r="W279" s="1" t="s">
        <v>45</v>
      </c>
      <c r="X279" s="1" t="s">
        <v>45</v>
      </c>
      <c r="Y279" s="1" t="s">
        <v>45</v>
      </c>
      <c r="Z279" s="1" t="s">
        <v>45</v>
      </c>
      <c r="AA279" s="1" t="s">
        <v>45</v>
      </c>
      <c r="AB279" s="1" t="s">
        <v>45</v>
      </c>
      <c r="AC279" s="1" t="s">
        <v>45</v>
      </c>
      <c r="AD279" s="1" t="s">
        <v>45</v>
      </c>
      <c r="AE279" s="1" t="s">
        <v>45</v>
      </c>
      <c r="AF279" s="32">
        <v>43380</v>
      </c>
      <c r="AG279" s="1">
        <v>52.170818018166003</v>
      </c>
      <c r="AH279" s="1" t="s">
        <v>1526</v>
      </c>
      <c r="AI279" s="1" t="s">
        <v>1527</v>
      </c>
      <c r="AJ279" s="1" t="s">
        <v>45</v>
      </c>
      <c r="AK279" s="1" t="s">
        <v>45</v>
      </c>
      <c r="AL279" s="1" t="s">
        <v>45</v>
      </c>
      <c r="AM279" s="1" t="s">
        <v>51</v>
      </c>
      <c r="AN279" s="1" t="s">
        <v>45</v>
      </c>
      <c r="AO279" s="1" t="s">
        <v>45</v>
      </c>
      <c r="AP279" s="1" t="s">
        <v>45</v>
      </c>
      <c r="AQ279" s="1" t="s">
        <v>51</v>
      </c>
      <c r="AR279" s="1" t="s">
        <v>45</v>
      </c>
      <c r="AT279" s="1" t="s">
        <v>1601</v>
      </c>
      <c r="AW279" s="33" t="s">
        <v>1464</v>
      </c>
      <c r="AX279" s="3"/>
      <c r="AY279" s="3" t="s">
        <v>1601</v>
      </c>
      <c r="AZ279" s="1">
        <v>2</v>
      </c>
      <c r="BA279" s="1" t="s">
        <v>1821</v>
      </c>
      <c r="BB279" s="1" t="s">
        <v>1567</v>
      </c>
      <c r="BC279" s="1" t="s">
        <v>1602</v>
      </c>
      <c r="BD279" s="1" t="s">
        <v>1990</v>
      </c>
      <c r="BE279" s="1" t="s">
        <v>1525</v>
      </c>
      <c r="BG279" s="1" t="s">
        <v>1525</v>
      </c>
      <c r="BH279" s="1" t="s">
        <v>1525</v>
      </c>
      <c r="BI279" s="1" t="s">
        <v>1535</v>
      </c>
      <c r="BJ279" s="1" t="s">
        <v>1525</v>
      </c>
      <c r="BK279" s="1" t="s">
        <v>1536</v>
      </c>
      <c r="BL279" s="32">
        <v>43380</v>
      </c>
      <c r="BO279" s="1" t="s">
        <v>1537</v>
      </c>
      <c r="BP279" s="1" t="s">
        <v>1538</v>
      </c>
      <c r="BQ279" s="1" t="s">
        <v>1539</v>
      </c>
      <c r="BR279" s="1" t="s">
        <v>1540</v>
      </c>
      <c r="BS279" s="1" t="s">
        <v>50</v>
      </c>
      <c r="BU279" s="1" t="s">
        <v>45</v>
      </c>
      <c r="BW279" s="1" t="s">
        <v>1563</v>
      </c>
      <c r="BX279" s="32">
        <v>43572</v>
      </c>
      <c r="BY279" s="1">
        <v>12</v>
      </c>
      <c r="BZ279" s="1" t="s">
        <v>2239</v>
      </c>
      <c r="CA279" s="1" t="s">
        <v>51</v>
      </c>
      <c r="CB279" s="1" t="s">
        <v>51</v>
      </c>
      <c r="CC279" s="32">
        <v>43503</v>
      </c>
      <c r="CD279" s="1">
        <v>54</v>
      </c>
      <c r="CE279" s="1">
        <v>30</v>
      </c>
      <c r="CJ279" s="1" t="s">
        <v>51</v>
      </c>
      <c r="CK279" s="32">
        <v>45748</v>
      </c>
      <c r="CL279" s="1" t="s">
        <v>51</v>
      </c>
      <c r="CM279" s="32">
        <v>45756</v>
      </c>
      <c r="CN279" s="1">
        <v>6.50526704860469</v>
      </c>
      <c r="CO279" s="1" t="s">
        <v>1537</v>
      </c>
      <c r="CP279" s="1" t="s">
        <v>1796</v>
      </c>
      <c r="CQ279" s="1" t="s">
        <v>1539</v>
      </c>
      <c r="CR279" s="1" t="s">
        <v>1540</v>
      </c>
      <c r="CS279" s="1" t="s">
        <v>50</v>
      </c>
      <c r="CT279" s="1" t="s">
        <v>1601</v>
      </c>
      <c r="CW279" s="1">
        <v>3</v>
      </c>
      <c r="CX279" s="1" t="s">
        <v>1978</v>
      </c>
      <c r="CY279" s="1" t="s">
        <v>1567</v>
      </c>
      <c r="CZ279" s="1" t="s">
        <v>1602</v>
      </c>
      <c r="DA279" s="1" t="s">
        <v>1990</v>
      </c>
      <c r="DB279" s="1" t="s">
        <v>1603</v>
      </c>
      <c r="DC279" s="1" t="s">
        <v>1534</v>
      </c>
      <c r="DD279" s="1" t="s">
        <v>45</v>
      </c>
      <c r="DE279" s="1" t="s">
        <v>1525</v>
      </c>
      <c r="DF279" s="1" t="s">
        <v>1525</v>
      </c>
      <c r="DG279" s="1" t="s">
        <v>1525</v>
      </c>
      <c r="DH279" s="1" t="s">
        <v>51</v>
      </c>
      <c r="DI279" s="1" t="s">
        <v>2240</v>
      </c>
      <c r="DJ279" s="32">
        <v>45777</v>
      </c>
      <c r="DM279" s="1" t="s">
        <v>45</v>
      </c>
      <c r="DO279" s="1" t="s">
        <v>45</v>
      </c>
      <c r="DQ279" s="1" t="s">
        <v>45</v>
      </c>
      <c r="DT279" s="32">
        <v>45805</v>
      </c>
      <c r="DU279" s="1" t="s">
        <v>1598</v>
      </c>
      <c r="DV279" s="1">
        <v>79.664914586070907</v>
      </c>
      <c r="DW279" s="1" t="s">
        <v>45</v>
      </c>
      <c r="DY279" s="32">
        <v>45813</v>
      </c>
      <c r="DZ279" s="1" t="s">
        <v>1544</v>
      </c>
    </row>
    <row r="280" spans="1:130" ht="15.75" customHeight="1" x14ac:dyDescent="0.2">
      <c r="A280" s="8" t="s">
        <v>1408</v>
      </c>
      <c r="B280" s="32">
        <v>24791</v>
      </c>
      <c r="C280" s="32">
        <v>45749</v>
      </c>
      <c r="D280" s="1">
        <v>57.381055052465101</v>
      </c>
      <c r="E280" s="1" t="s">
        <v>1587</v>
      </c>
      <c r="F280" s="1" t="s">
        <v>1524</v>
      </c>
      <c r="G280" s="1" t="s">
        <v>1545</v>
      </c>
      <c r="H280" s="1" t="s">
        <v>51</v>
      </c>
      <c r="I280" s="1">
        <v>1.65</v>
      </c>
      <c r="J280" s="1" t="s">
        <v>51</v>
      </c>
      <c r="K280" s="1">
        <v>98</v>
      </c>
      <c r="L280" s="1">
        <v>35.996326905417803</v>
      </c>
      <c r="M280" s="1" t="s">
        <v>45</v>
      </c>
      <c r="N280" s="1" t="s">
        <v>45</v>
      </c>
      <c r="O280" s="1" t="s">
        <v>45</v>
      </c>
      <c r="P280" s="1" t="s">
        <v>45</v>
      </c>
      <c r="Q280" s="1" t="s">
        <v>45</v>
      </c>
      <c r="R280" s="1" t="s">
        <v>45</v>
      </c>
      <c r="S280" s="1" t="s">
        <v>45</v>
      </c>
      <c r="T280" s="1" t="s">
        <v>45</v>
      </c>
      <c r="U280" s="1" t="s">
        <v>45</v>
      </c>
      <c r="V280" s="1" t="s">
        <v>45</v>
      </c>
      <c r="W280" s="1" t="s">
        <v>45</v>
      </c>
      <c r="X280" s="1" t="s">
        <v>45</v>
      </c>
      <c r="Y280" s="1" t="s">
        <v>45</v>
      </c>
      <c r="Z280" s="1" t="s">
        <v>45</v>
      </c>
      <c r="AA280" s="1" t="s">
        <v>51</v>
      </c>
      <c r="AB280" s="1" t="s">
        <v>45</v>
      </c>
      <c r="AC280" s="1" t="s">
        <v>45</v>
      </c>
      <c r="AD280" s="1" t="s">
        <v>45</v>
      </c>
      <c r="AE280" s="1" t="s">
        <v>45</v>
      </c>
      <c r="AF280" s="32">
        <v>45758</v>
      </c>
      <c r="AG280" s="1">
        <v>57.405696215528003</v>
      </c>
      <c r="AH280" s="1" t="s">
        <v>1526</v>
      </c>
      <c r="AI280" s="1" t="s">
        <v>1527</v>
      </c>
      <c r="AJ280" s="1" t="s">
        <v>45</v>
      </c>
      <c r="AK280" s="1" t="s">
        <v>45</v>
      </c>
      <c r="AL280" s="1" t="s">
        <v>45</v>
      </c>
      <c r="AM280" s="1" t="s">
        <v>51</v>
      </c>
      <c r="AN280" s="1" t="s">
        <v>45</v>
      </c>
      <c r="AO280" s="1" t="s">
        <v>45</v>
      </c>
      <c r="AP280" s="1" t="s">
        <v>45</v>
      </c>
      <c r="AQ280" s="1" t="s">
        <v>45</v>
      </c>
      <c r="AR280" s="1" t="s">
        <v>45</v>
      </c>
      <c r="AT280" s="1" t="s">
        <v>1528</v>
      </c>
      <c r="AW280" s="33" t="s">
        <v>1463</v>
      </c>
      <c r="AX280" s="3" t="s">
        <v>1528</v>
      </c>
      <c r="AY280" s="3"/>
      <c r="AZ280" s="1">
        <v>4</v>
      </c>
      <c r="BA280" s="1" t="s">
        <v>1529</v>
      </c>
      <c r="BB280" s="1" t="s">
        <v>1530</v>
      </c>
      <c r="BC280" s="1" t="s">
        <v>1531</v>
      </c>
      <c r="BD280" s="1" t="s">
        <v>1532</v>
      </c>
      <c r="BE280" s="1" t="s">
        <v>1525</v>
      </c>
      <c r="BG280" s="1" t="s">
        <v>1525</v>
      </c>
      <c r="BH280" s="1" t="s">
        <v>46</v>
      </c>
      <c r="BI280" s="1" t="s">
        <v>1535</v>
      </c>
      <c r="BJ280" s="1" t="s">
        <v>1525</v>
      </c>
      <c r="BK280" s="1" t="s">
        <v>1536</v>
      </c>
      <c r="BL280" s="32">
        <v>45758</v>
      </c>
      <c r="BM280" s="1" t="s">
        <v>1409</v>
      </c>
      <c r="BO280" s="1" t="s">
        <v>1537</v>
      </c>
      <c r="BP280" s="1" t="s">
        <v>1538</v>
      </c>
      <c r="BQ280" s="1" t="s">
        <v>1605</v>
      </c>
      <c r="BR280" s="1" t="s">
        <v>1552</v>
      </c>
      <c r="BS280" s="1" t="s">
        <v>50</v>
      </c>
      <c r="BU280" s="1" t="s">
        <v>45</v>
      </c>
      <c r="CA280" s="1" t="s">
        <v>51</v>
      </c>
      <c r="CB280" s="1" t="s">
        <v>51</v>
      </c>
      <c r="CC280" s="32">
        <v>45770</v>
      </c>
      <c r="CD280" s="1">
        <v>54</v>
      </c>
      <c r="CE280" s="1">
        <v>30</v>
      </c>
      <c r="CJ280" s="1" t="s">
        <v>45</v>
      </c>
      <c r="DH280" s="1" t="s">
        <v>45</v>
      </c>
      <c r="DM280" s="1" t="s">
        <v>45</v>
      </c>
      <c r="DO280" s="1" t="s">
        <v>45</v>
      </c>
      <c r="DQ280" s="1" t="s">
        <v>45</v>
      </c>
      <c r="DT280" s="32">
        <v>45798</v>
      </c>
      <c r="DU280" s="1" t="s">
        <v>1598</v>
      </c>
      <c r="DV280" s="1">
        <v>1.3140604467805499</v>
      </c>
      <c r="DW280" s="1" t="s">
        <v>45</v>
      </c>
      <c r="DY280" s="32">
        <v>45813</v>
      </c>
      <c r="DZ280" s="1" t="s">
        <v>1544</v>
      </c>
    </row>
    <row r="281" spans="1:130" ht="15.75" customHeight="1" x14ac:dyDescent="0.2">
      <c r="A281" s="8" t="s">
        <v>1414</v>
      </c>
      <c r="B281" s="32">
        <v>38040</v>
      </c>
      <c r="C281" s="32">
        <v>45698</v>
      </c>
      <c r="D281" s="1">
        <v>20.966891859517901</v>
      </c>
      <c r="E281" s="1" t="s">
        <v>1587</v>
      </c>
      <c r="F281" s="1" t="s">
        <v>1524</v>
      </c>
      <c r="G281" s="1" t="s">
        <v>1574</v>
      </c>
      <c r="H281" s="1" t="s">
        <v>51</v>
      </c>
      <c r="I281" s="1">
        <v>1.6</v>
      </c>
      <c r="J281" s="1" t="s">
        <v>51</v>
      </c>
      <c r="K281" s="1">
        <v>63</v>
      </c>
      <c r="L281" s="1">
        <v>24.609374999999901</v>
      </c>
      <c r="M281" s="1" t="s">
        <v>45</v>
      </c>
      <c r="N281" s="1" t="s">
        <v>45</v>
      </c>
      <c r="O281" s="1" t="s">
        <v>45</v>
      </c>
      <c r="P281" s="1" t="s">
        <v>45</v>
      </c>
      <c r="Q281" s="1" t="s">
        <v>45</v>
      </c>
      <c r="R281" s="1" t="s">
        <v>45</v>
      </c>
      <c r="S281" s="1" t="s">
        <v>45</v>
      </c>
      <c r="T281" s="1" t="s">
        <v>45</v>
      </c>
      <c r="U281" s="1" t="s">
        <v>45</v>
      </c>
      <c r="V281" s="1" t="s">
        <v>45</v>
      </c>
      <c r="W281" s="1" t="s">
        <v>45</v>
      </c>
      <c r="X281" s="1" t="s">
        <v>45</v>
      </c>
      <c r="Y281" s="1" t="s">
        <v>45</v>
      </c>
      <c r="Z281" s="1" t="s">
        <v>45</v>
      </c>
      <c r="AA281" s="1" t="s">
        <v>45</v>
      </c>
      <c r="AB281" s="1" t="s">
        <v>45</v>
      </c>
      <c r="AC281" s="1" t="s">
        <v>45</v>
      </c>
      <c r="AD281" s="1" t="s">
        <v>45</v>
      </c>
      <c r="AE281" s="1" t="s">
        <v>45</v>
      </c>
      <c r="AF281" s="32">
        <v>45791</v>
      </c>
      <c r="AG281" s="1">
        <v>21.2215172111679</v>
      </c>
      <c r="AH281" s="1" t="s">
        <v>1526</v>
      </c>
      <c r="AI281" s="1" t="s">
        <v>1527</v>
      </c>
      <c r="AJ281" s="1" t="s">
        <v>45</v>
      </c>
      <c r="AK281" s="1" t="s">
        <v>51</v>
      </c>
      <c r="AL281" s="1" t="s">
        <v>45</v>
      </c>
      <c r="AM281" s="1" t="s">
        <v>45</v>
      </c>
      <c r="AN281" s="1" t="s">
        <v>45</v>
      </c>
      <c r="AO281" s="1" t="s">
        <v>51</v>
      </c>
      <c r="AP281" s="1" t="s">
        <v>45</v>
      </c>
      <c r="AQ281" s="1" t="s">
        <v>45</v>
      </c>
      <c r="AR281" s="1" t="s">
        <v>45</v>
      </c>
      <c r="AT281" s="1" t="s">
        <v>1583</v>
      </c>
      <c r="AU281" s="1" t="s">
        <v>2241</v>
      </c>
      <c r="AW281" s="33" t="s">
        <v>2242</v>
      </c>
      <c r="AX281" s="3"/>
      <c r="AY281" s="3"/>
      <c r="AZ281" s="1">
        <v>1</v>
      </c>
      <c r="BA281" s="1" t="s">
        <v>1814</v>
      </c>
      <c r="BB281" s="1" t="s">
        <v>1561</v>
      </c>
      <c r="BC281" s="1" t="s">
        <v>1561</v>
      </c>
      <c r="BD281" s="1" t="s">
        <v>1561</v>
      </c>
      <c r="BE281" s="1" t="s">
        <v>1525</v>
      </c>
      <c r="BG281" s="1" t="s">
        <v>1525</v>
      </c>
      <c r="BH281" s="1" t="s">
        <v>1525</v>
      </c>
      <c r="BI281" s="1" t="s">
        <v>1525</v>
      </c>
      <c r="BJ281" s="1" t="s">
        <v>1525</v>
      </c>
      <c r="BK281" s="1" t="s">
        <v>1536</v>
      </c>
      <c r="BL281" s="32">
        <v>45791</v>
      </c>
      <c r="BM281" s="1" t="s">
        <v>1415</v>
      </c>
      <c r="BO281" s="1" t="s">
        <v>1537</v>
      </c>
      <c r="BP281" s="1" t="s">
        <v>1538</v>
      </c>
      <c r="BQ281" s="1" t="s">
        <v>1647</v>
      </c>
      <c r="BR281" s="1" t="s">
        <v>1540</v>
      </c>
      <c r="BS281" s="1" t="s">
        <v>177</v>
      </c>
      <c r="BU281" s="1" t="s">
        <v>45</v>
      </c>
      <c r="BW281" s="1" t="s">
        <v>1542</v>
      </c>
      <c r="CA281" s="1" t="s">
        <v>45</v>
      </c>
      <c r="CB281" s="1" t="s">
        <v>45</v>
      </c>
      <c r="CJ281" s="1" t="s">
        <v>45</v>
      </c>
      <c r="DH281" s="1" t="s">
        <v>45</v>
      </c>
      <c r="DM281" s="1" t="s">
        <v>45</v>
      </c>
      <c r="DO281" s="1" t="s">
        <v>45</v>
      </c>
      <c r="DQ281" s="1" t="s">
        <v>45</v>
      </c>
      <c r="DT281" s="32">
        <v>45811</v>
      </c>
      <c r="DU281" s="1" t="s">
        <v>1598</v>
      </c>
      <c r="DV281" s="1">
        <v>0.65703022339027595</v>
      </c>
      <c r="DW281" s="1" t="s">
        <v>45</v>
      </c>
      <c r="DY281" s="32">
        <v>45813</v>
      </c>
      <c r="DZ281" s="1" t="s">
        <v>1544</v>
      </c>
    </row>
    <row r="282" spans="1:130" ht="15.75" customHeight="1" x14ac:dyDescent="0.2">
      <c r="A282" s="8" t="s">
        <v>2243</v>
      </c>
      <c r="B282" s="32">
        <v>20433</v>
      </c>
      <c r="C282" s="32">
        <v>45807</v>
      </c>
      <c r="D282" s="1">
        <v>69.471652395326302</v>
      </c>
      <c r="E282" s="1" t="s">
        <v>1587</v>
      </c>
      <c r="F282" s="1" t="s">
        <v>1524</v>
      </c>
      <c r="G282" s="1" t="s">
        <v>1574</v>
      </c>
      <c r="H282" s="1" t="s">
        <v>51</v>
      </c>
      <c r="I282" s="1">
        <v>1.63</v>
      </c>
      <c r="J282" s="1" t="s">
        <v>51</v>
      </c>
      <c r="K282" s="1">
        <v>46.7</v>
      </c>
      <c r="L282" s="1">
        <v>17.576875305807501</v>
      </c>
      <c r="M282" s="1" t="s">
        <v>45</v>
      </c>
      <c r="N282" s="1" t="s">
        <v>45</v>
      </c>
      <c r="O282" s="1" t="s">
        <v>45</v>
      </c>
      <c r="P282" s="1" t="s">
        <v>45</v>
      </c>
      <c r="Q282" s="1" t="s">
        <v>45</v>
      </c>
      <c r="R282" s="1" t="s">
        <v>45</v>
      </c>
      <c r="S282" s="1" t="s">
        <v>45</v>
      </c>
      <c r="T282" s="1" t="s">
        <v>45</v>
      </c>
      <c r="U282" s="1" t="s">
        <v>45</v>
      </c>
      <c r="V282" s="1" t="s">
        <v>45</v>
      </c>
      <c r="W282" s="1" t="s">
        <v>45</v>
      </c>
      <c r="X282" s="1" t="s">
        <v>45</v>
      </c>
      <c r="Y282" s="1" t="s">
        <v>45</v>
      </c>
      <c r="Z282" s="1" t="s">
        <v>45</v>
      </c>
      <c r="AA282" s="1" t="s">
        <v>45</v>
      </c>
      <c r="AB282" s="1" t="s">
        <v>45</v>
      </c>
      <c r="AC282" s="1" t="s">
        <v>45</v>
      </c>
      <c r="AD282" s="1" t="s">
        <v>45</v>
      </c>
      <c r="AE282" s="1" t="s">
        <v>45</v>
      </c>
      <c r="AF282" s="32">
        <v>45812</v>
      </c>
      <c r="AG282" s="1">
        <v>69.485341930361301</v>
      </c>
      <c r="AH282" s="34" t="s">
        <v>1526</v>
      </c>
      <c r="AI282" s="1" t="s">
        <v>1527</v>
      </c>
      <c r="AJ282" s="1" t="s">
        <v>45</v>
      </c>
      <c r="AK282" s="1" t="s">
        <v>45</v>
      </c>
      <c r="AL282" s="1" t="s">
        <v>51</v>
      </c>
      <c r="AM282" s="1" t="s">
        <v>51</v>
      </c>
      <c r="AN282" s="1" t="s">
        <v>45</v>
      </c>
      <c r="AO282" s="1" t="s">
        <v>45</v>
      </c>
      <c r="AP282" s="1" t="s">
        <v>45</v>
      </c>
      <c r="AQ282" s="1" t="s">
        <v>51</v>
      </c>
      <c r="AR282" s="1" t="s">
        <v>45</v>
      </c>
      <c r="AT282" s="1" t="s">
        <v>1528</v>
      </c>
      <c r="AW282" s="33" t="s">
        <v>1463</v>
      </c>
      <c r="AX282" s="3" t="s">
        <v>1528</v>
      </c>
      <c r="AY282" s="3"/>
      <c r="AZ282" s="43">
        <v>4</v>
      </c>
      <c r="BA282" s="1" t="s">
        <v>2244</v>
      </c>
      <c r="BB282" s="1" t="s">
        <v>1530</v>
      </c>
      <c r="BC282" s="1" t="s">
        <v>1561</v>
      </c>
      <c r="BD282" s="1" t="s">
        <v>1977</v>
      </c>
      <c r="BE282" s="1" t="s">
        <v>1603</v>
      </c>
      <c r="BF282" s="1" t="s">
        <v>1534</v>
      </c>
      <c r="BG282" s="1" t="s">
        <v>45</v>
      </c>
      <c r="BH282" s="1" t="s">
        <v>46</v>
      </c>
      <c r="BI282" s="1" t="s">
        <v>1599</v>
      </c>
      <c r="BJ282" s="1" t="s">
        <v>1525</v>
      </c>
      <c r="BK282" s="1" t="s">
        <v>1536</v>
      </c>
      <c r="BL282" s="32">
        <v>45812</v>
      </c>
      <c r="BM282" s="1" t="s">
        <v>2245</v>
      </c>
      <c r="BN282" s="1" t="s">
        <v>45</v>
      </c>
      <c r="BO282" s="1" t="s">
        <v>1537</v>
      </c>
      <c r="BP282" s="1" t="s">
        <v>1538</v>
      </c>
      <c r="BQ282" s="1" t="s">
        <v>1539</v>
      </c>
      <c r="BR282" s="1" t="s">
        <v>1540</v>
      </c>
      <c r="BS282" s="1" t="s">
        <v>106</v>
      </c>
      <c r="BU282" s="1" t="s">
        <v>51</v>
      </c>
      <c r="BV282" s="1" t="s">
        <v>1541</v>
      </c>
      <c r="BW282" s="1" t="s">
        <v>1542</v>
      </c>
      <c r="CA282" s="1" t="s">
        <v>45</v>
      </c>
      <c r="CB282" s="1" t="s">
        <v>45</v>
      </c>
      <c r="CI282" s="1" t="s">
        <v>2246</v>
      </c>
      <c r="CJ282" s="1" t="s">
        <v>51</v>
      </c>
      <c r="CK282" s="32">
        <v>45835</v>
      </c>
      <c r="CL282" s="1" t="s">
        <v>45</v>
      </c>
      <c r="DH282" s="1" t="s">
        <v>45</v>
      </c>
      <c r="DM282" s="1" t="s">
        <v>45</v>
      </c>
      <c r="DO282" s="1" t="s">
        <v>45</v>
      </c>
      <c r="DQ282" s="1" t="s">
        <v>45</v>
      </c>
      <c r="DT282" s="32">
        <v>45835</v>
      </c>
      <c r="DU282" s="1" t="s">
        <v>1598</v>
      </c>
      <c r="DV282" s="1">
        <v>0.75558475689881699</v>
      </c>
      <c r="DW282" s="1" t="s">
        <v>45</v>
      </c>
      <c r="DY282" s="32">
        <v>45841</v>
      </c>
      <c r="DZ282" s="1" t="s">
        <v>1544</v>
      </c>
    </row>
    <row r="283" spans="1:130" ht="15.75" customHeight="1" x14ac:dyDescent="0.2">
      <c r="B283" s="32"/>
      <c r="C283" s="32"/>
      <c r="AF283" s="32"/>
      <c r="BL283" s="32"/>
      <c r="DT283" s="32"/>
      <c r="DY283" s="32"/>
    </row>
    <row r="284" spans="1:130" ht="15.75" customHeight="1" x14ac:dyDescent="0.2">
      <c r="B284" s="32"/>
      <c r="C284" s="32"/>
      <c r="D284" s="1">
        <f>AVERAGE(D2:D282)</f>
        <v>44.488336619110029</v>
      </c>
      <c r="E284" s="1">
        <f>COUNTIF(E2:E282, "Male")</f>
        <v>166</v>
      </c>
      <c r="F284" s="1">
        <f>COUNTIF(F2:F282, "Asian")</f>
        <v>33</v>
      </c>
      <c r="G284" s="1">
        <f>COUNTIF(G2:G282, "Past smoker")</f>
        <v>61</v>
      </c>
      <c r="M284" s="1">
        <f>COUNTIF(M2:M282, "Yes")</f>
        <v>4</v>
      </c>
      <c r="N284" s="1">
        <f t="shared" ref="N284:AE284" si="0">COUNTIF(N2:N283, "Yes")</f>
        <v>0</v>
      </c>
      <c r="O284" s="1">
        <f t="shared" si="0"/>
        <v>4</v>
      </c>
      <c r="P284" s="1">
        <f t="shared" si="0"/>
        <v>9</v>
      </c>
      <c r="Q284" s="1">
        <f t="shared" si="0"/>
        <v>2</v>
      </c>
      <c r="R284" s="1">
        <f t="shared" si="0"/>
        <v>3</v>
      </c>
      <c r="S284" s="1">
        <f t="shared" si="0"/>
        <v>0</v>
      </c>
      <c r="T284" s="1">
        <f t="shared" si="0"/>
        <v>3</v>
      </c>
      <c r="U284" s="1">
        <f t="shared" si="0"/>
        <v>17</v>
      </c>
      <c r="V284" s="1">
        <f t="shared" si="0"/>
        <v>0</v>
      </c>
      <c r="W284" s="1">
        <f t="shared" si="0"/>
        <v>2</v>
      </c>
      <c r="X284" s="1">
        <f t="shared" si="0"/>
        <v>4</v>
      </c>
      <c r="Y284" s="1">
        <f t="shared" si="0"/>
        <v>1</v>
      </c>
      <c r="Z284" s="1">
        <f t="shared" si="0"/>
        <v>1</v>
      </c>
      <c r="AA284" s="1">
        <f t="shared" si="0"/>
        <v>16</v>
      </c>
      <c r="AB284" s="1">
        <f t="shared" si="0"/>
        <v>1</v>
      </c>
      <c r="AC284" s="1">
        <f t="shared" si="0"/>
        <v>7</v>
      </c>
      <c r="AD284" s="1">
        <f t="shared" si="0"/>
        <v>0</v>
      </c>
      <c r="AE284" s="1">
        <f t="shared" si="0"/>
        <v>0</v>
      </c>
      <c r="AF284" s="32"/>
      <c r="AG284" s="1">
        <f>AVERAGE(AG2:AG283)</f>
        <v>44.145346778860088</v>
      </c>
      <c r="AH284" s="1">
        <f>COUNTIF(AH2:AH282, "0: Asymptomatic")</f>
        <v>68</v>
      </c>
      <c r="AJ284" s="1">
        <f t="shared" ref="AJ284:AR284" si="1">COUNTIF(AJ2:AJ283, "Yes")</f>
        <v>3</v>
      </c>
      <c r="AK284" s="1">
        <f t="shared" si="1"/>
        <v>119</v>
      </c>
      <c r="AL284" s="1">
        <f t="shared" si="1"/>
        <v>41</v>
      </c>
      <c r="AM284" s="1">
        <f t="shared" si="1"/>
        <v>83</v>
      </c>
      <c r="AN284" s="1">
        <f t="shared" si="1"/>
        <v>35</v>
      </c>
      <c r="AO284" s="1">
        <f t="shared" si="1"/>
        <v>25</v>
      </c>
      <c r="AP284" s="1">
        <f t="shared" si="1"/>
        <v>33</v>
      </c>
      <c r="AQ284" s="1">
        <f t="shared" si="1"/>
        <v>41</v>
      </c>
      <c r="AR284" s="1">
        <f t="shared" si="1"/>
        <v>64</v>
      </c>
      <c r="AW284" s="10">
        <f>COUNTIF(AW2:AW282, "HGG")</f>
        <v>190</v>
      </c>
      <c r="AX284" s="10">
        <f>COUNTIF(AX2:AX282, "Glioblastoma")</f>
        <v>108</v>
      </c>
      <c r="AY284" s="10">
        <f>COUNTIF(AY2:AY282, "Pilocytic astrocytoma")</f>
        <v>11</v>
      </c>
      <c r="BE284" s="10">
        <f>COUNTIF(BE2:BE282, "Methylated (M)")</f>
        <v>103</v>
      </c>
      <c r="BL284" s="32"/>
      <c r="BQ284" s="10">
        <f>COUNTIF(BQ2:BQ282, "Total")</f>
        <v>53</v>
      </c>
      <c r="BX284" s="32"/>
      <c r="CC284" s="32"/>
      <c r="CK284" s="32"/>
      <c r="CM284" s="32"/>
      <c r="DJ284" s="32"/>
      <c r="DT284" s="32"/>
      <c r="DY284" s="32"/>
    </row>
    <row r="285" spans="1:130" ht="15.75" customHeight="1" x14ac:dyDescent="0.2">
      <c r="B285" s="32"/>
      <c r="C285" s="32"/>
      <c r="E285" s="1">
        <f>COUNTIF(E2:E282, "Female")</f>
        <v>115</v>
      </c>
      <c r="F285" s="1">
        <f>COUNTIF(F2:F282, "Non-Asian")</f>
        <v>248</v>
      </c>
      <c r="G285" s="1">
        <f>COUNTIF(G2:G282, "Never smoker")</f>
        <v>180</v>
      </c>
      <c r="AF285" s="32"/>
      <c r="AH285" s="1">
        <f>COUNTIF(AH2:AH282, "1: Symptomatic, completely ambulatory")</f>
        <v>184</v>
      </c>
      <c r="AW285" s="10">
        <f>COUNTIF(AW2:AW282, "LGG")</f>
        <v>83</v>
      </c>
      <c r="AX285" s="10">
        <f>COUNTIF(AX2:AX282, "Diffuse midline glioma")</f>
        <v>5</v>
      </c>
      <c r="AY285" s="10">
        <f>COUNTIF(AY2:AY282, "Astrocytoma")</f>
        <v>25</v>
      </c>
      <c r="BE285" s="10">
        <f>COUNTIF(BE2:BE282, "Unmethylated (U)")</f>
        <v>77</v>
      </c>
      <c r="BL285" s="32"/>
      <c r="BQ285" s="10">
        <f>COUNTIF(BQ2:BQ282, "Subtotal")</f>
        <v>177</v>
      </c>
      <c r="BX285" s="32"/>
      <c r="CC285" s="32"/>
      <c r="CK285" s="32"/>
      <c r="CM285" s="32"/>
      <c r="DJ285" s="32"/>
      <c r="DT285" s="32"/>
      <c r="DY285" s="32"/>
    </row>
    <row r="286" spans="1:130" ht="15.75" customHeight="1" x14ac:dyDescent="0.2">
      <c r="B286" s="32"/>
      <c r="C286" s="32"/>
      <c r="G286" s="1">
        <f>COUNTIF(G2:G282, "Current smoker")</f>
        <v>18</v>
      </c>
      <c r="AF286" s="32"/>
      <c r="AH286" s="1">
        <f>COUNTIF(AH2:AH282, "2: Symptomatic, &lt; 50% in bed")</f>
        <v>16</v>
      </c>
      <c r="AW286" s="10">
        <f>COUNTIF(AW2:AW282, "Astroblastoma")</f>
        <v>1</v>
      </c>
      <c r="AX286" s="10">
        <f>COUNTIF(AX2:AX282, "Diffuse high-grade glioma")</f>
        <v>12</v>
      </c>
      <c r="AY286" s="10">
        <f>COUNTIF(AY2:AY282, "Oligodendroglioma")</f>
        <v>26</v>
      </c>
      <c r="BE286" s="10">
        <f>COUNTIF(BE2:BE282, "Unknown")</f>
        <v>101</v>
      </c>
      <c r="BL286" s="32"/>
      <c r="BQ286" s="10">
        <f>COUNTIF(BQ2:BQ282, "Biopsy")</f>
        <v>51</v>
      </c>
      <c r="BX286" s="32"/>
      <c r="CC286" s="32"/>
      <c r="CK286" s="32"/>
      <c r="CM286" s="32"/>
      <c r="DJ286" s="32"/>
      <c r="DT286" s="32"/>
      <c r="DY286" s="32"/>
    </row>
    <row r="287" spans="1:130" ht="15.75" customHeight="1" x14ac:dyDescent="0.2">
      <c r="B287" s="32"/>
      <c r="C287" s="32"/>
      <c r="G287" s="1">
        <f>COUNTIF(G2:G282, "Unknown")</f>
        <v>22</v>
      </c>
      <c r="AF287" s="32"/>
      <c r="AH287" s="1">
        <f>COUNTIF(AH2:AH282, "3: Symptomatic, &gt; 50% in bed")</f>
        <v>13</v>
      </c>
      <c r="AW287" s="10">
        <f>COUNTIF(AW2:AW282, "Meningioma")</f>
        <v>1</v>
      </c>
      <c r="AX287" s="10">
        <f>COUNTIF(AX2:AX282, "Diffuse hemispheric glioma, H3 G34-mutant")</f>
        <v>1</v>
      </c>
      <c r="AY287" s="10">
        <f>COUNTIF(AY2:AY282, "Diffuse low grade glioma")</f>
        <v>5</v>
      </c>
      <c r="BL287" s="32"/>
      <c r="BX287" s="32"/>
      <c r="CC287" s="32"/>
      <c r="CK287" s="32"/>
      <c r="CM287" s="32"/>
      <c r="DJ287" s="32"/>
      <c r="DT287" s="32"/>
      <c r="DY287" s="32"/>
    </row>
    <row r="288" spans="1:130" ht="15.75" customHeight="1" x14ac:dyDescent="0.2">
      <c r="B288" s="32"/>
      <c r="C288" s="32"/>
      <c r="AF288" s="32"/>
      <c r="AW288" s="10">
        <f>COUNTIF(AW2:AW282, "Ependymoma")</f>
        <v>5</v>
      </c>
      <c r="AX288" s="37">
        <f>COUNTIF(AX2:AX282, "Astrocytoma")</f>
        <v>39</v>
      </c>
      <c r="AY288" s="10">
        <f>COUNTIF(AY2:AY282, "Glioneuronal tumor")</f>
        <v>15</v>
      </c>
      <c r="BL288" s="32"/>
      <c r="BX288" s="32"/>
      <c r="CC288" s="32"/>
      <c r="CK288" s="32"/>
      <c r="CM288" s="32"/>
      <c r="DJ288" s="32"/>
      <c r="DT288" s="32"/>
      <c r="DY288" s="32"/>
    </row>
    <row r="289" spans="2:129" ht="15.75" customHeight="1" x14ac:dyDescent="0.2">
      <c r="B289" s="32"/>
      <c r="C289" s="32"/>
      <c r="AF289" s="32"/>
      <c r="AW289" s="10">
        <f>COUNTIF(AW2:AW282, "DLGT")</f>
        <v>1</v>
      </c>
      <c r="AX289" s="10">
        <f>COUNTIF(AX2:AX282, "Oligodendroglioma")</f>
        <v>24</v>
      </c>
      <c r="AY289" s="10">
        <f>COUNTIF(AY2:AY282, "Pleomorphic xanthoastrocytoma")</f>
        <v>2</v>
      </c>
      <c r="BL289" s="32"/>
      <c r="BX289" s="32"/>
      <c r="CC289" s="32"/>
      <c r="CK289" s="32"/>
      <c r="CM289" s="32"/>
      <c r="DJ289" s="32"/>
      <c r="DT289" s="32"/>
      <c r="DY289" s="32"/>
    </row>
    <row r="290" spans="2:129" ht="15.75" customHeight="1" x14ac:dyDescent="0.2">
      <c r="B290" s="32"/>
      <c r="C290" s="32"/>
      <c r="AF290" s="32"/>
      <c r="BL290" s="32"/>
      <c r="BX290" s="32"/>
      <c r="CC290" s="32"/>
      <c r="CK290" s="32"/>
      <c r="CM290" s="32"/>
      <c r="DJ290" s="32"/>
      <c r="DT290" s="32"/>
      <c r="DY290" s="32"/>
    </row>
    <row r="291" spans="2:129" ht="15.75" customHeight="1" x14ac:dyDescent="0.2">
      <c r="B291" s="32"/>
      <c r="C291" s="32"/>
      <c r="AF291" s="32"/>
      <c r="BL291" s="32"/>
      <c r="BX291" s="32"/>
      <c r="CC291" s="32"/>
      <c r="CK291" s="32"/>
      <c r="CM291" s="32"/>
      <c r="DJ291" s="32"/>
      <c r="DT291" s="32"/>
      <c r="DY291" s="32"/>
    </row>
    <row r="292" spans="2:129" ht="15.75" customHeight="1" x14ac:dyDescent="0.2">
      <c r="B292" s="32"/>
      <c r="C292" s="32"/>
      <c r="AF292" s="32"/>
      <c r="BL292" s="32"/>
      <c r="BX292" s="32"/>
      <c r="CC292" s="32"/>
      <c r="CK292" s="32"/>
      <c r="CM292" s="32"/>
      <c r="DJ292" s="32"/>
      <c r="DT292" s="32"/>
      <c r="DY292" s="32"/>
    </row>
    <row r="293" spans="2:129" ht="15.75" customHeight="1" x14ac:dyDescent="0.2">
      <c r="B293" s="32"/>
      <c r="C293" s="32"/>
      <c r="AF293" s="32"/>
      <c r="BL293" s="32"/>
      <c r="BX293" s="32"/>
      <c r="CC293" s="32"/>
      <c r="CK293" s="32"/>
      <c r="CM293" s="32"/>
      <c r="DJ293" s="32"/>
      <c r="DT293" s="32"/>
      <c r="DY293" s="32"/>
    </row>
    <row r="294" spans="2:129" ht="15.75" customHeight="1" x14ac:dyDescent="0.2">
      <c r="B294" s="32"/>
      <c r="C294" s="32"/>
      <c r="AF294" s="32"/>
      <c r="BL294" s="32"/>
      <c r="BX294" s="32"/>
      <c r="CC294" s="32"/>
      <c r="CK294" s="32"/>
      <c r="CM294" s="32"/>
      <c r="DJ294" s="32"/>
      <c r="DT294" s="32"/>
      <c r="DY294" s="32"/>
    </row>
    <row r="295" spans="2:129" ht="15.75" customHeight="1" x14ac:dyDescent="0.2">
      <c r="B295" s="32"/>
      <c r="C295" s="32"/>
      <c r="AF295" s="32"/>
      <c r="BL295" s="32"/>
      <c r="BX295" s="32"/>
      <c r="CC295" s="32"/>
      <c r="CK295" s="32"/>
      <c r="CM295" s="32"/>
      <c r="DJ295" s="32"/>
      <c r="DT295" s="32"/>
      <c r="DY295" s="32"/>
    </row>
    <row r="296" spans="2:129" ht="15.75" customHeight="1" x14ac:dyDescent="0.2">
      <c r="B296" s="32"/>
      <c r="C296" s="32"/>
      <c r="AF296" s="32"/>
      <c r="BL296" s="32"/>
      <c r="BX296" s="32"/>
      <c r="CC296" s="32"/>
      <c r="CK296" s="32"/>
      <c r="CM296" s="32"/>
      <c r="DJ296" s="32"/>
      <c r="DT296" s="32"/>
      <c r="DY296" s="32"/>
    </row>
    <row r="297" spans="2:129" ht="15.75" customHeight="1" x14ac:dyDescent="0.2">
      <c r="B297" s="32"/>
      <c r="C297" s="32"/>
      <c r="AF297" s="32"/>
      <c r="BL297" s="32"/>
      <c r="BX297" s="32"/>
      <c r="CC297" s="32"/>
      <c r="CK297" s="32"/>
      <c r="CM297" s="32"/>
      <c r="DJ297" s="32"/>
      <c r="DT297" s="32"/>
      <c r="DY297" s="32"/>
    </row>
    <row r="298" spans="2:129" ht="15.75" customHeight="1" x14ac:dyDescent="0.2">
      <c r="B298" s="32"/>
      <c r="C298" s="32"/>
      <c r="AF298" s="32"/>
      <c r="BL298" s="32"/>
      <c r="BX298" s="32"/>
      <c r="CC298" s="32"/>
      <c r="CK298" s="32"/>
      <c r="CM298" s="32"/>
      <c r="DJ298" s="32"/>
      <c r="DT298" s="32"/>
      <c r="DY298" s="32"/>
    </row>
    <row r="299" spans="2:129" ht="15.75" customHeight="1" x14ac:dyDescent="0.2">
      <c r="B299" s="32"/>
      <c r="C299" s="32"/>
      <c r="AF299" s="32"/>
      <c r="BL299" s="32"/>
      <c r="BX299" s="32"/>
      <c r="CC299" s="32"/>
      <c r="CK299" s="32"/>
      <c r="CM299" s="32"/>
      <c r="DJ299" s="32"/>
      <c r="DT299" s="32"/>
      <c r="DY299" s="32"/>
    </row>
    <row r="300" spans="2:129" ht="15.75" customHeight="1" x14ac:dyDescent="0.2">
      <c r="B300" s="32"/>
      <c r="C300" s="32"/>
      <c r="AF300" s="32"/>
      <c r="BL300" s="32"/>
      <c r="BX300" s="32"/>
      <c r="CC300" s="32"/>
      <c r="CK300" s="32"/>
      <c r="CM300" s="32"/>
      <c r="DJ300" s="32"/>
      <c r="DT300" s="32"/>
      <c r="DY300" s="32"/>
    </row>
    <row r="301" spans="2:129" ht="15.75" customHeight="1" x14ac:dyDescent="0.2">
      <c r="B301" s="32"/>
      <c r="C301" s="32"/>
      <c r="AF301" s="32"/>
      <c r="BL301" s="32"/>
      <c r="BX301" s="32"/>
      <c r="CC301" s="32"/>
      <c r="CK301" s="32"/>
      <c r="CM301" s="32"/>
      <c r="DJ301" s="32"/>
      <c r="DT301" s="32"/>
      <c r="DY301" s="32"/>
    </row>
    <row r="302" spans="2:129" ht="15.75" customHeight="1" x14ac:dyDescent="0.2">
      <c r="B302" s="32"/>
      <c r="C302" s="32"/>
      <c r="AF302" s="32"/>
      <c r="BL302" s="32"/>
      <c r="BX302" s="32"/>
      <c r="CC302" s="32"/>
      <c r="CK302" s="32"/>
      <c r="CM302" s="32"/>
      <c r="DJ302" s="32"/>
      <c r="DT302" s="32"/>
      <c r="DY302" s="32"/>
    </row>
    <row r="303" spans="2:129" ht="15.75" customHeight="1" x14ac:dyDescent="0.2">
      <c r="B303" s="32"/>
      <c r="C303" s="32"/>
      <c r="AF303" s="32"/>
      <c r="BL303" s="32"/>
      <c r="BX303" s="32"/>
      <c r="CC303" s="32"/>
      <c r="CK303" s="32"/>
      <c r="CM303" s="32"/>
      <c r="DJ303" s="32"/>
      <c r="DT303" s="32"/>
      <c r="DY303" s="32"/>
    </row>
    <row r="304" spans="2:129" ht="15.75" customHeight="1" x14ac:dyDescent="0.2">
      <c r="B304" s="32"/>
      <c r="C304" s="32"/>
      <c r="AF304" s="32"/>
      <c r="BL304" s="32"/>
      <c r="BX304" s="32"/>
      <c r="CC304" s="32"/>
      <c r="CK304" s="32"/>
      <c r="CM304" s="32"/>
      <c r="DJ304" s="32"/>
      <c r="DT304" s="32"/>
      <c r="DY304" s="32"/>
    </row>
    <row r="305" spans="2:129" ht="15.75" customHeight="1" x14ac:dyDescent="0.2">
      <c r="B305" s="32"/>
      <c r="C305" s="32"/>
      <c r="AF305" s="32"/>
      <c r="BL305" s="32"/>
      <c r="BX305" s="32"/>
      <c r="CC305" s="32"/>
      <c r="CK305" s="32"/>
      <c r="CM305" s="32"/>
      <c r="DJ305" s="32"/>
      <c r="DT305" s="32"/>
      <c r="DY305" s="32"/>
    </row>
    <row r="306" spans="2:129" ht="15.75" customHeight="1" x14ac:dyDescent="0.2">
      <c r="B306" s="32"/>
      <c r="C306" s="32"/>
      <c r="AF306" s="32"/>
      <c r="BL306" s="32"/>
      <c r="BX306" s="32"/>
      <c r="CC306" s="32"/>
      <c r="CK306" s="32"/>
      <c r="CM306" s="32"/>
      <c r="DJ306" s="32"/>
      <c r="DT306" s="32"/>
      <c r="DY306" s="32"/>
    </row>
    <row r="307" spans="2:129" ht="15.75" customHeight="1" x14ac:dyDescent="0.2">
      <c r="B307" s="32"/>
      <c r="C307" s="32"/>
      <c r="AF307" s="32"/>
      <c r="BL307" s="32"/>
      <c r="BX307" s="32"/>
      <c r="CC307" s="32"/>
      <c r="CK307" s="32"/>
      <c r="CM307" s="32"/>
      <c r="DJ307" s="32"/>
      <c r="DT307" s="32"/>
      <c r="DY307" s="32"/>
    </row>
    <row r="308" spans="2:129" ht="15.75" customHeight="1" x14ac:dyDescent="0.2">
      <c r="B308" s="32"/>
      <c r="C308" s="32"/>
      <c r="AF308" s="32"/>
      <c r="BL308" s="32"/>
      <c r="BX308" s="32"/>
      <c r="CC308" s="32"/>
      <c r="CK308" s="32"/>
      <c r="CM308" s="32"/>
      <c r="DJ308" s="32"/>
      <c r="DT308" s="32"/>
      <c r="DY308" s="32"/>
    </row>
    <row r="309" spans="2:129" ht="15.75" customHeight="1" x14ac:dyDescent="0.2">
      <c r="B309" s="32"/>
      <c r="C309" s="32"/>
      <c r="AF309" s="32"/>
      <c r="BL309" s="32"/>
      <c r="BX309" s="32"/>
      <c r="CC309" s="32"/>
      <c r="CK309" s="32"/>
      <c r="CM309" s="32"/>
      <c r="DJ309" s="32"/>
      <c r="DT309" s="32"/>
      <c r="DY309" s="32"/>
    </row>
    <row r="310" spans="2:129" ht="15.75" customHeight="1" x14ac:dyDescent="0.2">
      <c r="B310" s="32"/>
      <c r="C310" s="32"/>
      <c r="AF310" s="32"/>
      <c r="BL310" s="32"/>
      <c r="BX310" s="32"/>
      <c r="CC310" s="32"/>
      <c r="CK310" s="32"/>
      <c r="CM310" s="32"/>
      <c r="DJ310" s="32"/>
      <c r="DT310" s="32"/>
      <c r="DY310" s="32"/>
    </row>
    <row r="311" spans="2:129" ht="15.75" customHeight="1" x14ac:dyDescent="0.2">
      <c r="B311" s="32"/>
      <c r="C311" s="32"/>
      <c r="AF311" s="32"/>
      <c r="BL311" s="32"/>
      <c r="BX311" s="32"/>
      <c r="CC311" s="32"/>
      <c r="CK311" s="32"/>
      <c r="CM311" s="32"/>
      <c r="DJ311" s="32"/>
      <c r="DT311" s="32"/>
      <c r="DY311" s="32"/>
    </row>
    <row r="312" spans="2:129" ht="15.75" customHeight="1" x14ac:dyDescent="0.2">
      <c r="B312" s="32"/>
      <c r="C312" s="32"/>
      <c r="AF312" s="32"/>
      <c r="BL312" s="32"/>
      <c r="BX312" s="32"/>
      <c r="CC312" s="32"/>
      <c r="CK312" s="32"/>
      <c r="CM312" s="32"/>
      <c r="DJ312" s="32"/>
      <c r="DT312" s="32"/>
      <c r="DY312" s="32"/>
    </row>
    <row r="313" spans="2:129" ht="15.75" customHeight="1" x14ac:dyDescent="0.2">
      <c r="B313" s="32"/>
      <c r="C313" s="32"/>
      <c r="AF313" s="32"/>
      <c r="BL313" s="32"/>
      <c r="BX313" s="32"/>
      <c r="CC313" s="32"/>
      <c r="CK313" s="32"/>
      <c r="CM313" s="32"/>
      <c r="DJ313" s="32"/>
      <c r="DT313" s="32"/>
      <c r="DY313" s="32"/>
    </row>
    <row r="314" spans="2:129" ht="15.75" customHeight="1" x14ac:dyDescent="0.2">
      <c r="B314" s="32"/>
      <c r="C314" s="32"/>
      <c r="AF314" s="32"/>
      <c r="BL314" s="32"/>
      <c r="BX314" s="32"/>
      <c r="CC314" s="32"/>
      <c r="CK314" s="32"/>
      <c r="CM314" s="32"/>
      <c r="DJ314" s="32"/>
      <c r="DT314" s="32"/>
      <c r="DY314" s="32"/>
    </row>
    <row r="315" spans="2:129" ht="15.75" customHeight="1" x14ac:dyDescent="0.2">
      <c r="B315" s="32"/>
      <c r="C315" s="32"/>
      <c r="AF315" s="32"/>
      <c r="BL315" s="32"/>
      <c r="BX315" s="32"/>
      <c r="CC315" s="32"/>
      <c r="CK315" s="32"/>
      <c r="CM315" s="32"/>
      <c r="DJ315" s="32"/>
      <c r="DT315" s="32"/>
      <c r="DY315" s="32"/>
    </row>
    <row r="316" spans="2:129" ht="15.75" customHeight="1" x14ac:dyDescent="0.2">
      <c r="B316" s="32"/>
      <c r="C316" s="32"/>
      <c r="AF316" s="32"/>
      <c r="BL316" s="32"/>
      <c r="BX316" s="32"/>
      <c r="CC316" s="32"/>
      <c r="CK316" s="32"/>
      <c r="CM316" s="32"/>
      <c r="DJ316" s="32"/>
      <c r="DT316" s="32"/>
      <c r="DY316" s="32"/>
    </row>
    <row r="317" spans="2:129" ht="15.75" customHeight="1" x14ac:dyDescent="0.2">
      <c r="B317" s="32"/>
      <c r="C317" s="32"/>
      <c r="AF317" s="32"/>
      <c r="BL317" s="32"/>
      <c r="BX317" s="32"/>
      <c r="CC317" s="32"/>
      <c r="CK317" s="32"/>
      <c r="CM317" s="32"/>
      <c r="DJ317" s="32"/>
      <c r="DT317" s="32"/>
      <c r="DY317" s="32"/>
    </row>
    <row r="318" spans="2:129" ht="15.75" customHeight="1" x14ac:dyDescent="0.2">
      <c r="B318" s="32"/>
      <c r="C318" s="32"/>
      <c r="AF318" s="32"/>
      <c r="BL318" s="32"/>
      <c r="BX318" s="32"/>
      <c r="CC318" s="32"/>
      <c r="CK318" s="32"/>
      <c r="CM318" s="32"/>
      <c r="DJ318" s="32"/>
      <c r="DT318" s="32"/>
      <c r="DY318" s="32"/>
    </row>
    <row r="319" spans="2:129" ht="15.75" customHeight="1" x14ac:dyDescent="0.2">
      <c r="B319" s="32"/>
      <c r="C319" s="32"/>
      <c r="AF319" s="32"/>
      <c r="BL319" s="32"/>
      <c r="BX319" s="32"/>
      <c r="CC319" s="32"/>
      <c r="CK319" s="32"/>
      <c r="CM319" s="32"/>
      <c r="DJ319" s="32"/>
      <c r="DT319" s="32"/>
      <c r="DY319" s="32"/>
    </row>
    <row r="320" spans="2:129" ht="15.75" customHeight="1" x14ac:dyDescent="0.2">
      <c r="B320" s="32"/>
      <c r="C320" s="32"/>
      <c r="AF320" s="32"/>
      <c r="BL320" s="32"/>
      <c r="BX320" s="32"/>
      <c r="CC320" s="32"/>
      <c r="CK320" s="32"/>
      <c r="CM320" s="32"/>
      <c r="DJ320" s="32"/>
      <c r="DT320" s="32"/>
      <c r="DY320" s="32"/>
    </row>
    <row r="321" spans="2:129" ht="15.75" customHeight="1" x14ac:dyDescent="0.2">
      <c r="B321" s="32"/>
      <c r="C321" s="32"/>
      <c r="AF321" s="32"/>
      <c r="BL321" s="32"/>
      <c r="BX321" s="32"/>
      <c r="CC321" s="32"/>
      <c r="CK321" s="32"/>
      <c r="CM321" s="32"/>
      <c r="DJ321" s="32"/>
      <c r="DT321" s="32"/>
      <c r="DY321" s="32"/>
    </row>
    <row r="322" spans="2:129" ht="15.75" customHeight="1" x14ac:dyDescent="0.2">
      <c r="B322" s="32"/>
      <c r="C322" s="32"/>
      <c r="AF322" s="32"/>
      <c r="BL322" s="32"/>
      <c r="BX322" s="32"/>
      <c r="CC322" s="32"/>
      <c r="CK322" s="32"/>
      <c r="CM322" s="32"/>
      <c r="DJ322" s="32"/>
      <c r="DT322" s="32"/>
      <c r="DY322" s="32"/>
    </row>
    <row r="323" spans="2:129" ht="15.75" customHeight="1" x14ac:dyDescent="0.2">
      <c r="B323" s="32"/>
      <c r="C323" s="32"/>
      <c r="AF323" s="32"/>
      <c r="BL323" s="32"/>
      <c r="BX323" s="32"/>
      <c r="CC323" s="32"/>
      <c r="CK323" s="32"/>
      <c r="CM323" s="32"/>
      <c r="DJ323" s="32"/>
      <c r="DT323" s="32"/>
      <c r="DY323" s="32"/>
    </row>
    <row r="324" spans="2:129" ht="15.75" customHeight="1" x14ac:dyDescent="0.2">
      <c r="B324" s="32"/>
      <c r="C324" s="32"/>
      <c r="AF324" s="32"/>
      <c r="BL324" s="32"/>
      <c r="BX324" s="32"/>
      <c r="CC324" s="32"/>
      <c r="CK324" s="32"/>
      <c r="CM324" s="32"/>
      <c r="DJ324" s="32"/>
      <c r="DT324" s="32"/>
      <c r="DY324" s="32"/>
    </row>
    <row r="325" spans="2:129" ht="15.75" customHeight="1" x14ac:dyDescent="0.2">
      <c r="B325" s="32"/>
      <c r="C325" s="32"/>
      <c r="AF325" s="32"/>
      <c r="BL325" s="32"/>
      <c r="BX325" s="32"/>
      <c r="CC325" s="32"/>
      <c r="CK325" s="32"/>
      <c r="CM325" s="32"/>
      <c r="DJ325" s="32"/>
      <c r="DT325" s="32"/>
      <c r="DY325" s="32"/>
    </row>
    <row r="326" spans="2:129" ht="15.75" customHeight="1" x14ac:dyDescent="0.2">
      <c r="B326" s="32"/>
      <c r="C326" s="32"/>
      <c r="AF326" s="32"/>
      <c r="BL326" s="32"/>
      <c r="BX326" s="32"/>
      <c r="CC326" s="32"/>
      <c r="CK326" s="32"/>
      <c r="CM326" s="32"/>
      <c r="DJ326" s="32"/>
      <c r="DT326" s="32"/>
      <c r="DY326" s="32"/>
    </row>
    <row r="327" spans="2:129" ht="15.75" customHeight="1" x14ac:dyDescent="0.2">
      <c r="B327" s="32"/>
      <c r="C327" s="32"/>
      <c r="AF327" s="32"/>
      <c r="BL327" s="32"/>
      <c r="BX327" s="32"/>
      <c r="CC327" s="32"/>
      <c r="CK327" s="32"/>
      <c r="CM327" s="32"/>
      <c r="DJ327" s="32"/>
      <c r="DT327" s="32"/>
      <c r="DY327" s="32"/>
    </row>
    <row r="328" spans="2:129" ht="15.75" customHeight="1" x14ac:dyDescent="0.2">
      <c r="B328" s="32"/>
      <c r="C328" s="32"/>
      <c r="AF328" s="32"/>
      <c r="BL328" s="32"/>
      <c r="BX328" s="32"/>
      <c r="CC328" s="32"/>
      <c r="CK328" s="32"/>
      <c r="CM328" s="32"/>
      <c r="DJ328" s="32"/>
      <c r="DT328" s="32"/>
      <c r="DY328" s="32"/>
    </row>
    <row r="329" spans="2:129" ht="15.75" customHeight="1" x14ac:dyDescent="0.2">
      <c r="B329" s="32"/>
      <c r="C329" s="32"/>
      <c r="AF329" s="32"/>
      <c r="BL329" s="32"/>
      <c r="BX329" s="32"/>
      <c r="CC329" s="32"/>
      <c r="CK329" s="32"/>
      <c r="CM329" s="32"/>
      <c r="DJ329" s="32"/>
      <c r="DT329" s="32"/>
      <c r="DY329" s="32"/>
    </row>
    <row r="330" spans="2:129" ht="15.75" customHeight="1" x14ac:dyDescent="0.2">
      <c r="B330" s="32"/>
      <c r="C330" s="32"/>
      <c r="AF330" s="32"/>
      <c r="BL330" s="32"/>
      <c r="BX330" s="32"/>
      <c r="CC330" s="32"/>
      <c r="CK330" s="32"/>
      <c r="CM330" s="32"/>
      <c r="DJ330" s="32"/>
      <c r="DT330" s="32"/>
      <c r="DY330" s="32"/>
    </row>
    <row r="331" spans="2:129" ht="15.75" customHeight="1" x14ac:dyDescent="0.2">
      <c r="B331" s="32"/>
      <c r="C331" s="32"/>
      <c r="AF331" s="32"/>
      <c r="BL331" s="32"/>
      <c r="BX331" s="32"/>
      <c r="CC331" s="32"/>
      <c r="CK331" s="32"/>
      <c r="CM331" s="32"/>
      <c r="DJ331" s="32"/>
      <c r="DT331" s="32"/>
      <c r="DY331" s="32"/>
    </row>
    <row r="332" spans="2:129" ht="15.75" customHeight="1" x14ac:dyDescent="0.2">
      <c r="B332" s="32"/>
      <c r="C332" s="32"/>
      <c r="AF332" s="32"/>
      <c r="BL332" s="32"/>
      <c r="BX332" s="32"/>
      <c r="CC332" s="32"/>
      <c r="CK332" s="32"/>
      <c r="CM332" s="32"/>
      <c r="DJ332" s="32"/>
      <c r="DT332" s="32"/>
      <c r="DY332" s="32"/>
    </row>
    <row r="333" spans="2:129" ht="15.75" customHeight="1" x14ac:dyDescent="0.2">
      <c r="B333" s="32"/>
      <c r="C333" s="32"/>
      <c r="AF333" s="32"/>
      <c r="BL333" s="32"/>
      <c r="BX333" s="32"/>
      <c r="CC333" s="32"/>
      <c r="CK333" s="32"/>
      <c r="CM333" s="32"/>
      <c r="DJ333" s="32"/>
      <c r="DT333" s="32"/>
      <c r="DY333" s="32"/>
    </row>
    <row r="334" spans="2:129" ht="15.75" customHeight="1" x14ac:dyDescent="0.2">
      <c r="B334" s="32"/>
      <c r="C334" s="32"/>
      <c r="AF334" s="32"/>
      <c r="BL334" s="32"/>
      <c r="BX334" s="32"/>
      <c r="CC334" s="32"/>
      <c r="CK334" s="32"/>
      <c r="CM334" s="32"/>
      <c r="DJ334" s="32"/>
      <c r="DT334" s="32"/>
      <c r="DY334" s="32"/>
    </row>
    <row r="335" spans="2:129" ht="15.75" customHeight="1" x14ac:dyDescent="0.2">
      <c r="B335" s="32"/>
      <c r="C335" s="32"/>
      <c r="AF335" s="32"/>
      <c r="BL335" s="32"/>
      <c r="BX335" s="32"/>
      <c r="CC335" s="32"/>
      <c r="CK335" s="32"/>
      <c r="CM335" s="32"/>
      <c r="DJ335" s="32"/>
      <c r="DT335" s="32"/>
      <c r="DY335" s="32"/>
    </row>
    <row r="336" spans="2:129" ht="15.75" customHeight="1" x14ac:dyDescent="0.2">
      <c r="B336" s="32"/>
      <c r="C336" s="32"/>
      <c r="AF336" s="32"/>
      <c r="BL336" s="32"/>
      <c r="BX336" s="32"/>
      <c r="CC336" s="32"/>
      <c r="CK336" s="32"/>
      <c r="CM336" s="32"/>
      <c r="DJ336" s="32"/>
      <c r="DT336" s="32"/>
      <c r="DY336" s="32"/>
    </row>
    <row r="337" spans="2:129" ht="15.75" customHeight="1" x14ac:dyDescent="0.2">
      <c r="B337" s="32"/>
      <c r="C337" s="32"/>
      <c r="AF337" s="32"/>
      <c r="BL337" s="32"/>
      <c r="BX337" s="32"/>
      <c r="CC337" s="32"/>
      <c r="CK337" s="32"/>
      <c r="CM337" s="32"/>
      <c r="DJ337" s="32"/>
      <c r="DT337" s="32"/>
      <c r="DY337" s="32"/>
    </row>
    <row r="338" spans="2:129" ht="15.75" customHeight="1" x14ac:dyDescent="0.2">
      <c r="B338" s="32"/>
      <c r="C338" s="32"/>
      <c r="AF338" s="32"/>
      <c r="BL338" s="32"/>
      <c r="BX338" s="32"/>
      <c r="CC338" s="32"/>
      <c r="CK338" s="32"/>
      <c r="CM338" s="32"/>
      <c r="DJ338" s="32"/>
      <c r="DT338" s="32"/>
      <c r="DY338" s="32"/>
    </row>
    <row r="339" spans="2:129" ht="15.75" customHeight="1" x14ac:dyDescent="0.2">
      <c r="B339" s="32"/>
      <c r="C339" s="32"/>
      <c r="AF339" s="32"/>
      <c r="BL339" s="32"/>
      <c r="BX339" s="32"/>
      <c r="CC339" s="32"/>
      <c r="CK339" s="32"/>
      <c r="CM339" s="32"/>
      <c r="DJ339" s="32"/>
      <c r="DT339" s="32"/>
      <c r="DY339" s="32"/>
    </row>
    <row r="340" spans="2:129" ht="15.75" customHeight="1" x14ac:dyDescent="0.2">
      <c r="B340" s="32"/>
      <c r="C340" s="32"/>
      <c r="AF340" s="32"/>
      <c r="BL340" s="32"/>
      <c r="BX340" s="32"/>
      <c r="CC340" s="32"/>
      <c r="CK340" s="32"/>
      <c r="CM340" s="32"/>
      <c r="DJ340" s="32"/>
      <c r="DT340" s="32"/>
      <c r="DY340" s="32"/>
    </row>
    <row r="341" spans="2:129" ht="15.75" customHeight="1" x14ac:dyDescent="0.2">
      <c r="B341" s="32"/>
      <c r="C341" s="32"/>
      <c r="AF341" s="32"/>
      <c r="BL341" s="32"/>
      <c r="BX341" s="32"/>
      <c r="CC341" s="32"/>
      <c r="CK341" s="32"/>
      <c r="CM341" s="32"/>
      <c r="DJ341" s="32"/>
      <c r="DT341" s="32"/>
      <c r="DY341" s="32"/>
    </row>
    <row r="342" spans="2:129" ht="15.75" customHeight="1" x14ac:dyDescent="0.2">
      <c r="B342" s="32"/>
      <c r="C342" s="32"/>
      <c r="AF342" s="32"/>
      <c r="BL342" s="32"/>
      <c r="BX342" s="32"/>
      <c r="CC342" s="32"/>
      <c r="CK342" s="32"/>
      <c r="CM342" s="32"/>
      <c r="DJ342" s="32"/>
      <c r="DT342" s="32"/>
      <c r="DY342" s="32"/>
    </row>
    <row r="343" spans="2:129" ht="15.75" customHeight="1" x14ac:dyDescent="0.2">
      <c r="B343" s="32"/>
      <c r="C343" s="32"/>
      <c r="AF343" s="32"/>
      <c r="BL343" s="32"/>
      <c r="BX343" s="32"/>
      <c r="CC343" s="32"/>
      <c r="CK343" s="32"/>
      <c r="CM343" s="32"/>
      <c r="DJ343" s="32"/>
      <c r="DT343" s="32"/>
      <c r="DY343" s="32"/>
    </row>
    <row r="344" spans="2:129" ht="15.75" customHeight="1" x14ac:dyDescent="0.2">
      <c r="B344" s="32"/>
      <c r="C344" s="32"/>
      <c r="AF344" s="32"/>
      <c r="BL344" s="32"/>
      <c r="BX344" s="32"/>
      <c r="CC344" s="32"/>
      <c r="CK344" s="32"/>
      <c r="CM344" s="32"/>
      <c r="DJ344" s="32"/>
      <c r="DT344" s="32"/>
      <c r="DY344" s="32"/>
    </row>
    <row r="345" spans="2:129" ht="15.75" customHeight="1" x14ac:dyDescent="0.2">
      <c r="B345" s="32"/>
      <c r="C345" s="32"/>
      <c r="AF345" s="32"/>
      <c r="BL345" s="32"/>
      <c r="BX345" s="32"/>
      <c r="CC345" s="32"/>
      <c r="CK345" s="32"/>
      <c r="CM345" s="32"/>
      <c r="DJ345" s="32"/>
      <c r="DT345" s="32"/>
      <c r="DY345" s="32"/>
    </row>
    <row r="346" spans="2:129" ht="15.75" customHeight="1" x14ac:dyDescent="0.2">
      <c r="B346" s="32"/>
      <c r="C346" s="32"/>
      <c r="AF346" s="32"/>
      <c r="BL346" s="32"/>
      <c r="BX346" s="32"/>
      <c r="CC346" s="32"/>
      <c r="CK346" s="32"/>
      <c r="CM346" s="32"/>
      <c r="DJ346" s="32"/>
      <c r="DT346" s="32"/>
      <c r="DY346" s="32"/>
    </row>
    <row r="347" spans="2:129" ht="15.75" customHeight="1" x14ac:dyDescent="0.2">
      <c r="B347" s="32"/>
      <c r="C347" s="32"/>
      <c r="AF347" s="32"/>
      <c r="BL347" s="32"/>
      <c r="BX347" s="32"/>
      <c r="CC347" s="32"/>
      <c r="CK347" s="32"/>
      <c r="CM347" s="32"/>
      <c r="DJ347" s="32"/>
      <c r="DT347" s="32"/>
      <c r="DY347" s="32"/>
    </row>
    <row r="348" spans="2:129" ht="15.75" customHeight="1" x14ac:dyDescent="0.2">
      <c r="B348" s="32"/>
      <c r="C348" s="32"/>
      <c r="AF348" s="32"/>
      <c r="BL348" s="32"/>
      <c r="BX348" s="32"/>
      <c r="CC348" s="32"/>
      <c r="CK348" s="32"/>
      <c r="CM348" s="32"/>
      <c r="DJ348" s="32"/>
      <c r="DT348" s="32"/>
      <c r="DY348" s="32"/>
    </row>
    <row r="349" spans="2:129" ht="15.75" customHeight="1" x14ac:dyDescent="0.2">
      <c r="B349" s="32"/>
      <c r="C349" s="32"/>
      <c r="AF349" s="32"/>
      <c r="BL349" s="32"/>
      <c r="BX349" s="32"/>
      <c r="CC349" s="32"/>
      <c r="CK349" s="32"/>
      <c r="CM349" s="32"/>
      <c r="DJ349" s="32"/>
      <c r="DT349" s="32"/>
      <c r="DY349" s="32"/>
    </row>
    <row r="350" spans="2:129" ht="15.75" customHeight="1" x14ac:dyDescent="0.2">
      <c r="B350" s="32"/>
      <c r="C350" s="32"/>
      <c r="AF350" s="32"/>
      <c r="BL350" s="32"/>
      <c r="BX350" s="32"/>
      <c r="CC350" s="32"/>
      <c r="CK350" s="32"/>
      <c r="CM350" s="32"/>
      <c r="DJ350" s="32"/>
      <c r="DT350" s="32"/>
      <c r="DY350" s="32"/>
    </row>
    <row r="351" spans="2:129" ht="15.75" customHeight="1" x14ac:dyDescent="0.2">
      <c r="B351" s="32"/>
      <c r="C351" s="32"/>
      <c r="AF351" s="32"/>
      <c r="BL351" s="32"/>
      <c r="BX351" s="32"/>
      <c r="CC351" s="32"/>
      <c r="CK351" s="32"/>
      <c r="CM351" s="32"/>
      <c r="DJ351" s="32"/>
      <c r="DT351" s="32"/>
      <c r="DY351" s="32"/>
    </row>
    <row r="352" spans="2:129" ht="15.75" customHeight="1" x14ac:dyDescent="0.2">
      <c r="B352" s="32"/>
      <c r="C352" s="32"/>
      <c r="AF352" s="32"/>
      <c r="BL352" s="32"/>
      <c r="BX352" s="32"/>
      <c r="CC352" s="32"/>
      <c r="CK352" s="32"/>
      <c r="CM352" s="32"/>
      <c r="DJ352" s="32"/>
      <c r="DT352" s="32"/>
      <c r="DY352" s="32"/>
    </row>
    <row r="353" spans="2:129" ht="15.75" customHeight="1" x14ac:dyDescent="0.2">
      <c r="B353" s="32"/>
      <c r="C353" s="32"/>
      <c r="AF353" s="32"/>
      <c r="BL353" s="32"/>
      <c r="BX353" s="32"/>
      <c r="CC353" s="32"/>
      <c r="CK353" s="32"/>
      <c r="CM353" s="32"/>
      <c r="DJ353" s="32"/>
      <c r="DT353" s="32"/>
      <c r="DY353" s="32"/>
    </row>
    <row r="354" spans="2:129" ht="15.75" customHeight="1" x14ac:dyDescent="0.2">
      <c r="B354" s="32"/>
      <c r="C354" s="32"/>
      <c r="AF354" s="32"/>
      <c r="BL354" s="32"/>
      <c r="BX354" s="32"/>
      <c r="CC354" s="32"/>
      <c r="CK354" s="32"/>
      <c r="CM354" s="32"/>
      <c r="DJ354" s="32"/>
      <c r="DT354" s="32"/>
      <c r="DY354" s="32"/>
    </row>
    <row r="355" spans="2:129" ht="15.75" customHeight="1" x14ac:dyDescent="0.2">
      <c r="B355" s="32"/>
      <c r="C355" s="32"/>
      <c r="AF355" s="32"/>
      <c r="BL355" s="32"/>
      <c r="BX355" s="32"/>
      <c r="CC355" s="32"/>
      <c r="CK355" s="32"/>
      <c r="CM355" s="32"/>
      <c r="DJ355" s="32"/>
      <c r="DT355" s="32"/>
      <c r="DY355" s="32"/>
    </row>
    <row r="356" spans="2:129" ht="15.75" customHeight="1" x14ac:dyDescent="0.2">
      <c r="B356" s="32"/>
      <c r="C356" s="32"/>
      <c r="AF356" s="32"/>
      <c r="BL356" s="32"/>
      <c r="BX356" s="32"/>
      <c r="CC356" s="32"/>
      <c r="CK356" s="32"/>
      <c r="CM356" s="32"/>
      <c r="DJ356" s="32"/>
      <c r="DT356" s="32"/>
      <c r="DY356" s="32"/>
    </row>
    <row r="357" spans="2:129" ht="15.75" customHeight="1" x14ac:dyDescent="0.2">
      <c r="B357" s="32"/>
      <c r="C357" s="32"/>
      <c r="AF357" s="32"/>
      <c r="BL357" s="32"/>
      <c r="BX357" s="32"/>
      <c r="CC357" s="32"/>
      <c r="CK357" s="32"/>
      <c r="CM357" s="32"/>
      <c r="DJ357" s="32"/>
      <c r="DT357" s="32"/>
      <c r="DY357" s="32"/>
    </row>
    <row r="358" spans="2:129" ht="15.75" customHeight="1" x14ac:dyDescent="0.2">
      <c r="B358" s="32"/>
      <c r="C358" s="32"/>
      <c r="AF358" s="32"/>
      <c r="BL358" s="32"/>
      <c r="BX358" s="32"/>
      <c r="CC358" s="32"/>
      <c r="CK358" s="32"/>
      <c r="CM358" s="32"/>
      <c r="DJ358" s="32"/>
      <c r="DT358" s="32"/>
      <c r="DY358" s="32"/>
    </row>
    <row r="359" spans="2:129" ht="15.75" customHeight="1" x14ac:dyDescent="0.2">
      <c r="B359" s="32"/>
      <c r="C359" s="32"/>
      <c r="AF359" s="32"/>
      <c r="BL359" s="32"/>
      <c r="BX359" s="32"/>
      <c r="CC359" s="32"/>
      <c r="CK359" s="32"/>
      <c r="CM359" s="32"/>
      <c r="DJ359" s="32"/>
      <c r="DT359" s="32"/>
      <c r="DY359" s="32"/>
    </row>
    <row r="360" spans="2:129" ht="15.75" customHeight="1" x14ac:dyDescent="0.2">
      <c r="B360" s="32"/>
      <c r="C360" s="32"/>
      <c r="AF360" s="32"/>
      <c r="BL360" s="32"/>
      <c r="BX360" s="32"/>
      <c r="CC360" s="32"/>
      <c r="CK360" s="32"/>
      <c r="CM360" s="32"/>
      <c r="DJ360" s="32"/>
      <c r="DT360" s="32"/>
      <c r="DY360" s="32"/>
    </row>
    <row r="361" spans="2:129" ht="15.75" customHeight="1" x14ac:dyDescent="0.2">
      <c r="B361" s="32"/>
      <c r="C361" s="32"/>
      <c r="AF361" s="32"/>
      <c r="BL361" s="32"/>
      <c r="BX361" s="32"/>
      <c r="CC361" s="32"/>
      <c r="CK361" s="32"/>
      <c r="CM361" s="32"/>
      <c r="DJ361" s="32"/>
      <c r="DT361" s="32"/>
      <c r="DY361" s="32"/>
    </row>
    <row r="362" spans="2:129" ht="15.75" customHeight="1" x14ac:dyDescent="0.2">
      <c r="B362" s="32"/>
      <c r="C362" s="32"/>
      <c r="AF362" s="32"/>
      <c r="BL362" s="32"/>
      <c r="BX362" s="32"/>
      <c r="CC362" s="32"/>
      <c r="CK362" s="32"/>
      <c r="CM362" s="32"/>
      <c r="DJ362" s="32"/>
      <c r="DT362" s="32"/>
      <c r="DY362" s="32"/>
    </row>
    <row r="363" spans="2:129" ht="15.75" customHeight="1" x14ac:dyDescent="0.2">
      <c r="B363" s="32"/>
      <c r="C363" s="32"/>
      <c r="AF363" s="32"/>
      <c r="BL363" s="32"/>
      <c r="BX363" s="32"/>
      <c r="CC363" s="32"/>
      <c r="CK363" s="32"/>
      <c r="CM363" s="32"/>
      <c r="DJ363" s="32"/>
      <c r="DT363" s="32"/>
      <c r="DY363" s="32"/>
    </row>
    <row r="364" spans="2:129" ht="15.75" customHeight="1" x14ac:dyDescent="0.2">
      <c r="B364" s="32"/>
      <c r="C364" s="32"/>
      <c r="AF364" s="32"/>
      <c r="BL364" s="32"/>
      <c r="BX364" s="32"/>
      <c r="CC364" s="32"/>
      <c r="CK364" s="32"/>
      <c r="CM364" s="32"/>
      <c r="DJ364" s="32"/>
      <c r="DT364" s="32"/>
      <c r="DY364" s="32"/>
    </row>
    <row r="365" spans="2:129" ht="15.75" customHeight="1" x14ac:dyDescent="0.2">
      <c r="B365" s="32"/>
      <c r="C365" s="32"/>
      <c r="AF365" s="32"/>
      <c r="BL365" s="32"/>
      <c r="BX365" s="32"/>
      <c r="CC365" s="32"/>
      <c r="CK365" s="32"/>
      <c r="CM365" s="32"/>
      <c r="DJ365" s="32"/>
      <c r="DT365" s="32"/>
      <c r="DY365" s="32"/>
    </row>
    <row r="366" spans="2:129" ht="15.75" customHeight="1" x14ac:dyDescent="0.2">
      <c r="B366" s="32"/>
      <c r="C366" s="32"/>
      <c r="AF366" s="32"/>
      <c r="BL366" s="32"/>
      <c r="BX366" s="32"/>
      <c r="CC366" s="32"/>
      <c r="CK366" s="32"/>
      <c r="CM366" s="32"/>
      <c r="DJ366" s="32"/>
      <c r="DT366" s="32"/>
      <c r="DY366" s="32"/>
    </row>
    <row r="367" spans="2:129" ht="15.75" customHeight="1" x14ac:dyDescent="0.2">
      <c r="B367" s="32"/>
      <c r="C367" s="32"/>
      <c r="AF367" s="32"/>
      <c r="BL367" s="32"/>
      <c r="BX367" s="32"/>
      <c r="CC367" s="32"/>
      <c r="CK367" s="32"/>
      <c r="CM367" s="32"/>
      <c r="DJ367" s="32"/>
      <c r="DT367" s="32"/>
      <c r="DY367" s="32"/>
    </row>
    <row r="368" spans="2:129" ht="15.75" customHeight="1" x14ac:dyDescent="0.2">
      <c r="B368" s="32"/>
      <c r="C368" s="32"/>
      <c r="AF368" s="32"/>
      <c r="BL368" s="32"/>
      <c r="BX368" s="32"/>
      <c r="CC368" s="32"/>
      <c r="CK368" s="32"/>
      <c r="CM368" s="32"/>
      <c r="DJ368" s="32"/>
      <c r="DT368" s="32"/>
      <c r="DY368" s="32"/>
    </row>
    <row r="369" spans="2:129" ht="15.75" customHeight="1" x14ac:dyDescent="0.2">
      <c r="B369" s="32"/>
      <c r="C369" s="32"/>
      <c r="AF369" s="32"/>
      <c r="BL369" s="32"/>
      <c r="BX369" s="32"/>
      <c r="CC369" s="32"/>
      <c r="CK369" s="32"/>
      <c r="CM369" s="32"/>
      <c r="DJ369" s="32"/>
      <c r="DT369" s="32"/>
      <c r="DY369" s="32"/>
    </row>
    <row r="370" spans="2:129" ht="15.75" customHeight="1" x14ac:dyDescent="0.2">
      <c r="B370" s="32"/>
      <c r="C370" s="32"/>
      <c r="AF370" s="32"/>
      <c r="BL370" s="32"/>
      <c r="BX370" s="32"/>
      <c r="CC370" s="32"/>
      <c r="CK370" s="32"/>
      <c r="CM370" s="32"/>
      <c r="DJ370" s="32"/>
      <c r="DT370" s="32"/>
      <c r="DY370" s="32"/>
    </row>
    <row r="371" spans="2:129" ht="15.75" customHeight="1" x14ac:dyDescent="0.2">
      <c r="B371" s="32"/>
      <c r="C371" s="32"/>
      <c r="AF371" s="32"/>
      <c r="BL371" s="32"/>
      <c r="BX371" s="32"/>
      <c r="CC371" s="32"/>
      <c r="CK371" s="32"/>
      <c r="CM371" s="32"/>
      <c r="DJ371" s="32"/>
      <c r="DT371" s="32"/>
      <c r="DY371" s="32"/>
    </row>
    <row r="372" spans="2:129" ht="15.75" customHeight="1" x14ac:dyDescent="0.2">
      <c r="B372" s="32"/>
      <c r="C372" s="32"/>
      <c r="AF372" s="32"/>
      <c r="BL372" s="32"/>
      <c r="BX372" s="32"/>
      <c r="CC372" s="32"/>
      <c r="CK372" s="32"/>
      <c r="CM372" s="32"/>
      <c r="DJ372" s="32"/>
      <c r="DT372" s="32"/>
      <c r="DY372" s="32"/>
    </row>
    <row r="373" spans="2:129" ht="15.75" customHeight="1" x14ac:dyDescent="0.2">
      <c r="B373" s="32"/>
      <c r="C373" s="32"/>
      <c r="AF373" s="32"/>
      <c r="BL373" s="32"/>
      <c r="BX373" s="32"/>
      <c r="CC373" s="32"/>
      <c r="CK373" s="32"/>
      <c r="CM373" s="32"/>
      <c r="DJ373" s="32"/>
      <c r="DT373" s="32"/>
      <c r="DY373" s="32"/>
    </row>
    <row r="374" spans="2:129" ht="15.75" customHeight="1" x14ac:dyDescent="0.2">
      <c r="B374" s="32"/>
      <c r="C374" s="32"/>
      <c r="AF374" s="32"/>
      <c r="BL374" s="32"/>
      <c r="BX374" s="32"/>
      <c r="CC374" s="32"/>
      <c r="CK374" s="32"/>
      <c r="CM374" s="32"/>
      <c r="DJ374" s="32"/>
      <c r="DT374" s="32"/>
      <c r="DY374" s="32"/>
    </row>
    <row r="375" spans="2:129" ht="15.75" customHeight="1" x14ac:dyDescent="0.2">
      <c r="B375" s="32"/>
      <c r="C375" s="32"/>
      <c r="AF375" s="32"/>
      <c r="BL375" s="32"/>
      <c r="BX375" s="32"/>
      <c r="CC375" s="32"/>
      <c r="CK375" s="32"/>
      <c r="CM375" s="32"/>
      <c r="DJ375" s="32"/>
      <c r="DT375" s="32"/>
      <c r="DY375" s="32"/>
    </row>
    <row r="376" spans="2:129" ht="15.75" customHeight="1" x14ac:dyDescent="0.2">
      <c r="B376" s="32"/>
      <c r="C376" s="32"/>
      <c r="AF376" s="32"/>
      <c r="BL376" s="32"/>
      <c r="BX376" s="32"/>
      <c r="CC376" s="32"/>
      <c r="CK376" s="32"/>
      <c r="CM376" s="32"/>
      <c r="DJ376" s="32"/>
      <c r="DT376" s="32"/>
      <c r="DY376" s="32"/>
    </row>
    <row r="377" spans="2:129" ht="15.75" customHeight="1" x14ac:dyDescent="0.2">
      <c r="B377" s="32"/>
      <c r="C377" s="32"/>
      <c r="AF377" s="32"/>
      <c r="BL377" s="32"/>
      <c r="BX377" s="32"/>
      <c r="CC377" s="32"/>
      <c r="CK377" s="32"/>
      <c r="CM377" s="32"/>
      <c r="DJ377" s="32"/>
      <c r="DT377" s="32"/>
      <c r="DY377" s="32"/>
    </row>
    <row r="378" spans="2:129" ht="15.75" customHeight="1" x14ac:dyDescent="0.2">
      <c r="B378" s="32"/>
      <c r="C378" s="32"/>
      <c r="AF378" s="32"/>
      <c r="BL378" s="32"/>
      <c r="BX378" s="32"/>
      <c r="CC378" s="32"/>
      <c r="CK378" s="32"/>
      <c r="CM378" s="32"/>
      <c r="DJ378" s="32"/>
      <c r="DT378" s="32"/>
      <c r="DY378" s="32"/>
    </row>
    <row r="379" spans="2:129" ht="15.75" customHeight="1" x14ac:dyDescent="0.2">
      <c r="B379" s="32"/>
      <c r="C379" s="32"/>
      <c r="AF379" s="32"/>
      <c r="BL379" s="32"/>
      <c r="BX379" s="32"/>
      <c r="CC379" s="32"/>
      <c r="CK379" s="32"/>
      <c r="CM379" s="32"/>
      <c r="DJ379" s="32"/>
      <c r="DT379" s="32"/>
      <c r="DY379" s="32"/>
    </row>
    <row r="380" spans="2:129" ht="15.75" customHeight="1" x14ac:dyDescent="0.2">
      <c r="B380" s="32"/>
      <c r="C380" s="32"/>
      <c r="AF380" s="32"/>
      <c r="BL380" s="32"/>
      <c r="BX380" s="32"/>
      <c r="CC380" s="32"/>
      <c r="CK380" s="32"/>
      <c r="CM380" s="32"/>
      <c r="DJ380" s="32"/>
      <c r="DT380" s="32"/>
      <c r="DY380" s="32"/>
    </row>
    <row r="381" spans="2:129" ht="15.75" customHeight="1" x14ac:dyDescent="0.2">
      <c r="B381" s="32"/>
      <c r="C381" s="32"/>
      <c r="AF381" s="32"/>
      <c r="BL381" s="32"/>
      <c r="BX381" s="32"/>
      <c r="CC381" s="32"/>
      <c r="CK381" s="32"/>
      <c r="CM381" s="32"/>
      <c r="DJ381" s="32"/>
      <c r="DT381" s="32"/>
      <c r="DY381" s="32"/>
    </row>
    <row r="382" spans="2:129" ht="15.75" customHeight="1" x14ac:dyDescent="0.2">
      <c r="B382" s="32"/>
      <c r="C382" s="32"/>
      <c r="AF382" s="32"/>
      <c r="BL382" s="32"/>
      <c r="BX382" s="32"/>
      <c r="CC382" s="32"/>
      <c r="CK382" s="32"/>
      <c r="CM382" s="32"/>
      <c r="DJ382" s="32"/>
      <c r="DT382" s="32"/>
      <c r="DY382" s="32"/>
    </row>
    <row r="383" spans="2:129" ht="15.75" customHeight="1" x14ac:dyDescent="0.2">
      <c r="B383" s="32"/>
      <c r="C383" s="32"/>
      <c r="AF383" s="32"/>
      <c r="BL383" s="32"/>
      <c r="BX383" s="32"/>
      <c r="CC383" s="32"/>
      <c r="CK383" s="32"/>
      <c r="CM383" s="32"/>
      <c r="DJ383" s="32"/>
      <c r="DT383" s="32"/>
      <c r="DY383" s="32"/>
    </row>
    <row r="384" spans="2:129" ht="15.75" customHeight="1" x14ac:dyDescent="0.2">
      <c r="B384" s="32"/>
      <c r="C384" s="32"/>
      <c r="AF384" s="32"/>
      <c r="BL384" s="32"/>
      <c r="BX384" s="32"/>
      <c r="CC384" s="32"/>
      <c r="CK384" s="32"/>
      <c r="CM384" s="32"/>
      <c r="DJ384" s="32"/>
      <c r="DT384" s="32"/>
      <c r="DY384" s="32"/>
    </row>
    <row r="385" spans="2:129" ht="15.75" customHeight="1" x14ac:dyDescent="0.2">
      <c r="B385" s="32"/>
      <c r="C385" s="32"/>
      <c r="AF385" s="32"/>
      <c r="BL385" s="32"/>
      <c r="BX385" s="32"/>
      <c r="CC385" s="32"/>
      <c r="CK385" s="32"/>
      <c r="CM385" s="32"/>
      <c r="DJ385" s="32"/>
      <c r="DT385" s="32"/>
      <c r="DY385" s="32"/>
    </row>
    <row r="386" spans="2:129" ht="15.75" customHeight="1" x14ac:dyDescent="0.2">
      <c r="B386" s="32"/>
      <c r="C386" s="32"/>
      <c r="AF386" s="32"/>
      <c r="BL386" s="32"/>
      <c r="BX386" s="32"/>
      <c r="CC386" s="32"/>
      <c r="CK386" s="32"/>
      <c r="CM386" s="32"/>
      <c r="DJ386" s="32"/>
      <c r="DT386" s="32"/>
      <c r="DY386" s="32"/>
    </row>
    <row r="387" spans="2:129" ht="15.75" customHeight="1" x14ac:dyDescent="0.2">
      <c r="B387" s="32"/>
      <c r="C387" s="32"/>
      <c r="AF387" s="32"/>
      <c r="BL387" s="32"/>
      <c r="BX387" s="32"/>
      <c r="CC387" s="32"/>
      <c r="CK387" s="32"/>
      <c r="CM387" s="32"/>
      <c r="DJ387" s="32"/>
      <c r="DT387" s="32"/>
      <c r="DY387" s="32"/>
    </row>
    <row r="388" spans="2:129" ht="15.75" customHeight="1" x14ac:dyDescent="0.2">
      <c r="B388" s="32"/>
      <c r="C388" s="32"/>
      <c r="AF388" s="32"/>
      <c r="BL388" s="32"/>
      <c r="BX388" s="32"/>
      <c r="CC388" s="32"/>
      <c r="CK388" s="32"/>
      <c r="CM388" s="32"/>
      <c r="DJ388" s="32"/>
      <c r="DT388" s="32"/>
      <c r="DY388" s="32"/>
    </row>
    <row r="389" spans="2:129" ht="15.75" customHeight="1" x14ac:dyDescent="0.2">
      <c r="B389" s="32"/>
      <c r="C389" s="32"/>
      <c r="AF389" s="32"/>
      <c r="BL389" s="32"/>
      <c r="BX389" s="32"/>
      <c r="CC389" s="32"/>
      <c r="CK389" s="32"/>
      <c r="CM389" s="32"/>
      <c r="DJ389" s="32"/>
      <c r="DT389" s="32"/>
      <c r="DY389" s="32"/>
    </row>
    <row r="390" spans="2:129" ht="15.75" customHeight="1" x14ac:dyDescent="0.2">
      <c r="B390" s="32"/>
      <c r="C390" s="32"/>
      <c r="AF390" s="32"/>
      <c r="BL390" s="32"/>
      <c r="BX390" s="32"/>
      <c r="CC390" s="32"/>
      <c r="CK390" s="32"/>
      <c r="CM390" s="32"/>
      <c r="DJ390" s="32"/>
      <c r="DT390" s="32"/>
      <c r="DY390" s="32"/>
    </row>
    <row r="391" spans="2:129" ht="15.75" customHeight="1" x14ac:dyDescent="0.2">
      <c r="B391" s="32"/>
      <c r="C391" s="32"/>
      <c r="AF391" s="32"/>
      <c r="BL391" s="32"/>
      <c r="BX391" s="32"/>
      <c r="CC391" s="32"/>
      <c r="CK391" s="32"/>
      <c r="CM391" s="32"/>
      <c r="DJ391" s="32"/>
      <c r="DT391" s="32"/>
      <c r="DY391" s="32"/>
    </row>
    <row r="392" spans="2:129" ht="15.75" customHeight="1" x14ac:dyDescent="0.2">
      <c r="B392" s="32"/>
      <c r="C392" s="32"/>
      <c r="AF392" s="32"/>
      <c r="BL392" s="32"/>
      <c r="BX392" s="32"/>
      <c r="CC392" s="32"/>
      <c r="CK392" s="32"/>
      <c r="CM392" s="32"/>
      <c r="DJ392" s="32"/>
      <c r="DT392" s="32"/>
      <c r="DY392" s="32"/>
    </row>
    <row r="393" spans="2:129" ht="15.75" customHeight="1" x14ac:dyDescent="0.2">
      <c r="B393" s="32"/>
      <c r="C393" s="32"/>
      <c r="AF393" s="32"/>
      <c r="BL393" s="32"/>
      <c r="BX393" s="32"/>
      <c r="CC393" s="32"/>
      <c r="CK393" s="32"/>
      <c r="CM393" s="32"/>
      <c r="DJ393" s="32"/>
      <c r="DT393" s="32"/>
      <c r="DY393" s="32"/>
    </row>
    <row r="394" spans="2:129" ht="15.75" customHeight="1" x14ac:dyDescent="0.2">
      <c r="B394" s="32"/>
      <c r="C394" s="32"/>
      <c r="AF394" s="32"/>
      <c r="BL394" s="32"/>
      <c r="BX394" s="32"/>
      <c r="CC394" s="32"/>
      <c r="CK394" s="32"/>
      <c r="CM394" s="32"/>
      <c r="DJ394" s="32"/>
      <c r="DT394" s="32"/>
      <c r="DY394" s="32"/>
    </row>
    <row r="395" spans="2:129" ht="15.75" customHeight="1" x14ac:dyDescent="0.2">
      <c r="B395" s="32"/>
      <c r="C395" s="32"/>
      <c r="AF395" s="32"/>
      <c r="BL395" s="32"/>
      <c r="BX395" s="32"/>
      <c r="CC395" s="32"/>
      <c r="CK395" s="32"/>
      <c r="CM395" s="32"/>
      <c r="DJ395" s="32"/>
      <c r="DT395" s="32"/>
      <c r="DY395" s="32"/>
    </row>
    <row r="396" spans="2:129" ht="15.75" customHeight="1" x14ac:dyDescent="0.2">
      <c r="B396" s="32"/>
      <c r="C396" s="32"/>
      <c r="AF396" s="32"/>
      <c r="BL396" s="32"/>
      <c r="BX396" s="32"/>
      <c r="CC396" s="32"/>
      <c r="CK396" s="32"/>
      <c r="CM396" s="32"/>
      <c r="DJ396" s="32"/>
      <c r="DT396" s="32"/>
      <c r="DY396" s="32"/>
    </row>
    <row r="397" spans="2:129" ht="15.75" customHeight="1" x14ac:dyDescent="0.2">
      <c r="B397" s="32"/>
      <c r="C397" s="32"/>
      <c r="AF397" s="32"/>
      <c r="BL397" s="32"/>
      <c r="BX397" s="32"/>
      <c r="CC397" s="32"/>
      <c r="CK397" s="32"/>
      <c r="CM397" s="32"/>
      <c r="DJ397" s="32"/>
      <c r="DT397" s="32"/>
      <c r="DY397" s="32"/>
    </row>
    <row r="398" spans="2:129" ht="15.75" customHeight="1" x14ac:dyDescent="0.2">
      <c r="B398" s="32"/>
      <c r="C398" s="32"/>
      <c r="AF398" s="32"/>
      <c r="BL398" s="32"/>
      <c r="BX398" s="32"/>
      <c r="CC398" s="32"/>
      <c r="CK398" s="32"/>
      <c r="CM398" s="32"/>
      <c r="DJ398" s="32"/>
      <c r="DT398" s="32"/>
      <c r="DY398" s="32"/>
    </row>
    <row r="399" spans="2:129" ht="15.75" customHeight="1" x14ac:dyDescent="0.2">
      <c r="B399" s="32"/>
      <c r="C399" s="32"/>
      <c r="AF399" s="32"/>
      <c r="BL399" s="32"/>
      <c r="BX399" s="32"/>
      <c r="CC399" s="32"/>
      <c r="CK399" s="32"/>
      <c r="CM399" s="32"/>
      <c r="DJ399" s="32"/>
      <c r="DT399" s="32"/>
      <c r="DY399" s="32"/>
    </row>
    <row r="400" spans="2:129" ht="15.75" customHeight="1" x14ac:dyDescent="0.2">
      <c r="B400" s="32"/>
      <c r="C400" s="32"/>
      <c r="AF400" s="32"/>
      <c r="BL400" s="32"/>
      <c r="BX400" s="32"/>
      <c r="CC400" s="32"/>
      <c r="CK400" s="32"/>
      <c r="CM400" s="32"/>
      <c r="DJ400" s="32"/>
      <c r="DT400" s="32"/>
      <c r="DY400" s="32"/>
    </row>
    <row r="401" spans="2:129" ht="15.75" customHeight="1" x14ac:dyDescent="0.2">
      <c r="B401" s="32"/>
      <c r="C401" s="32"/>
      <c r="AF401" s="32"/>
      <c r="BL401" s="32"/>
      <c r="BX401" s="32"/>
      <c r="CC401" s="32"/>
      <c r="CK401" s="32"/>
      <c r="CM401" s="32"/>
      <c r="DJ401" s="32"/>
      <c r="DT401" s="32"/>
      <c r="DY401" s="32"/>
    </row>
    <row r="402" spans="2:129" ht="15.75" customHeight="1" x14ac:dyDescent="0.2">
      <c r="B402" s="32"/>
      <c r="C402" s="32"/>
      <c r="AF402" s="32"/>
      <c r="BL402" s="32"/>
      <c r="BX402" s="32"/>
      <c r="CC402" s="32"/>
      <c r="CK402" s="32"/>
      <c r="CM402" s="32"/>
      <c r="DJ402" s="32"/>
      <c r="DT402" s="32"/>
      <c r="DY402" s="32"/>
    </row>
    <row r="403" spans="2:129" ht="15.75" customHeight="1" x14ac:dyDescent="0.2">
      <c r="B403" s="32"/>
      <c r="C403" s="32"/>
      <c r="AF403" s="32"/>
      <c r="BL403" s="32"/>
      <c r="BX403" s="32"/>
      <c r="CC403" s="32"/>
      <c r="CK403" s="32"/>
      <c r="CM403" s="32"/>
      <c r="DJ403" s="32"/>
      <c r="DT403" s="32"/>
      <c r="DY403" s="32"/>
    </row>
    <row r="404" spans="2:129" ht="15.75" customHeight="1" x14ac:dyDescent="0.2">
      <c r="B404" s="32"/>
      <c r="C404" s="32"/>
      <c r="AF404" s="32"/>
      <c r="BL404" s="32"/>
      <c r="BX404" s="32"/>
      <c r="CC404" s="32"/>
      <c r="CK404" s="32"/>
      <c r="CM404" s="32"/>
      <c r="DJ404" s="32"/>
      <c r="DT404" s="32"/>
      <c r="DY404" s="32"/>
    </row>
    <row r="405" spans="2:129" ht="15.75" customHeight="1" x14ac:dyDescent="0.2">
      <c r="B405" s="32"/>
      <c r="C405" s="32"/>
      <c r="AF405" s="32"/>
      <c r="BL405" s="32"/>
      <c r="BX405" s="32"/>
      <c r="CC405" s="32"/>
      <c r="CK405" s="32"/>
      <c r="CM405" s="32"/>
      <c r="DJ405" s="32"/>
      <c r="DT405" s="32"/>
      <c r="DY405" s="32"/>
    </row>
    <row r="406" spans="2:129" ht="15.75" customHeight="1" x14ac:dyDescent="0.2">
      <c r="B406" s="32"/>
      <c r="C406" s="32"/>
      <c r="AF406" s="32"/>
      <c r="BL406" s="32"/>
      <c r="BX406" s="32"/>
      <c r="CC406" s="32"/>
      <c r="CK406" s="32"/>
      <c r="CM406" s="32"/>
      <c r="DJ406" s="32"/>
      <c r="DT406" s="32"/>
      <c r="DY406" s="32"/>
    </row>
    <row r="407" spans="2:129" ht="15.75" customHeight="1" x14ac:dyDescent="0.2">
      <c r="B407" s="32"/>
      <c r="C407" s="32"/>
      <c r="AF407" s="32"/>
      <c r="BL407" s="32"/>
      <c r="BX407" s="32"/>
      <c r="CC407" s="32"/>
      <c r="CK407" s="32"/>
      <c r="CM407" s="32"/>
      <c r="DJ407" s="32"/>
      <c r="DT407" s="32"/>
      <c r="DY407" s="32"/>
    </row>
    <row r="408" spans="2:129" ht="15.75" customHeight="1" x14ac:dyDescent="0.2">
      <c r="B408" s="32"/>
      <c r="C408" s="32"/>
      <c r="AF408" s="32"/>
      <c r="BL408" s="32"/>
      <c r="BX408" s="32"/>
      <c r="CC408" s="32"/>
      <c r="CK408" s="32"/>
      <c r="CM408" s="32"/>
      <c r="DJ408" s="32"/>
      <c r="DT408" s="32"/>
      <c r="DY408" s="32"/>
    </row>
    <row r="409" spans="2:129" ht="15.75" customHeight="1" x14ac:dyDescent="0.2">
      <c r="B409" s="32"/>
      <c r="C409" s="32"/>
      <c r="AF409" s="32"/>
      <c r="BL409" s="32"/>
      <c r="BX409" s="32"/>
      <c r="CC409" s="32"/>
      <c r="CK409" s="32"/>
      <c r="CM409" s="32"/>
      <c r="DJ409" s="32"/>
      <c r="DT409" s="32"/>
      <c r="DY409" s="32"/>
    </row>
    <row r="410" spans="2:129" ht="15.75" customHeight="1" x14ac:dyDescent="0.2">
      <c r="B410" s="32"/>
      <c r="C410" s="32"/>
      <c r="AF410" s="32"/>
      <c r="BL410" s="32"/>
      <c r="BX410" s="32"/>
      <c r="CC410" s="32"/>
      <c r="CK410" s="32"/>
      <c r="CM410" s="32"/>
      <c r="DJ410" s="32"/>
      <c r="DT410" s="32"/>
      <c r="DY410" s="32"/>
    </row>
    <row r="411" spans="2:129" ht="15.75" customHeight="1" x14ac:dyDescent="0.2">
      <c r="B411" s="32"/>
      <c r="C411" s="32"/>
      <c r="AF411" s="32"/>
      <c r="BL411" s="32"/>
      <c r="BX411" s="32"/>
      <c r="CC411" s="32"/>
      <c r="CK411" s="32"/>
      <c r="CM411" s="32"/>
      <c r="DJ411" s="32"/>
      <c r="DT411" s="32"/>
      <c r="DY411" s="32"/>
    </row>
    <row r="412" spans="2:129" ht="15.75" customHeight="1" x14ac:dyDescent="0.2">
      <c r="B412" s="32"/>
      <c r="C412" s="32"/>
      <c r="AF412" s="32"/>
      <c r="BL412" s="32"/>
      <c r="BX412" s="32"/>
      <c r="CC412" s="32"/>
      <c r="CK412" s="32"/>
      <c r="CM412" s="32"/>
      <c r="DJ412" s="32"/>
      <c r="DT412" s="32"/>
      <c r="DY412" s="32"/>
    </row>
    <row r="413" spans="2:129" ht="15.75" customHeight="1" x14ac:dyDescent="0.2">
      <c r="B413" s="32"/>
      <c r="C413" s="32"/>
      <c r="AF413" s="32"/>
      <c r="BL413" s="32"/>
      <c r="BX413" s="32"/>
      <c r="CC413" s="32"/>
      <c r="CK413" s="32"/>
      <c r="CM413" s="32"/>
      <c r="DJ413" s="32"/>
      <c r="DT413" s="32"/>
      <c r="DY413" s="32"/>
    </row>
    <row r="414" spans="2:129" ht="15.75" customHeight="1" x14ac:dyDescent="0.2">
      <c r="B414" s="32"/>
      <c r="C414" s="32"/>
      <c r="AF414" s="32"/>
      <c r="BL414" s="32"/>
      <c r="BX414" s="32"/>
      <c r="CC414" s="32"/>
      <c r="CK414" s="32"/>
      <c r="CM414" s="32"/>
      <c r="DJ414" s="32"/>
      <c r="DT414" s="32"/>
      <c r="DY414" s="32"/>
    </row>
    <row r="415" spans="2:129" ht="15.75" customHeight="1" x14ac:dyDescent="0.2">
      <c r="B415" s="32"/>
      <c r="C415" s="32"/>
      <c r="AF415" s="32"/>
      <c r="BL415" s="32"/>
      <c r="BX415" s="32"/>
      <c r="CC415" s="32"/>
      <c r="CK415" s="32"/>
      <c r="CM415" s="32"/>
      <c r="DJ415" s="32"/>
      <c r="DT415" s="32"/>
      <c r="DY415" s="32"/>
    </row>
    <row r="416" spans="2:129" ht="15.75" customHeight="1" x14ac:dyDescent="0.2">
      <c r="B416" s="32"/>
      <c r="C416" s="32"/>
      <c r="AF416" s="32"/>
      <c r="BL416" s="32"/>
      <c r="BX416" s="32"/>
      <c r="CC416" s="32"/>
      <c r="CK416" s="32"/>
      <c r="CM416" s="32"/>
      <c r="DJ416" s="32"/>
      <c r="DT416" s="32"/>
      <c r="DY416" s="32"/>
    </row>
    <row r="417" spans="2:129" ht="15.75" customHeight="1" x14ac:dyDescent="0.2">
      <c r="B417" s="32"/>
      <c r="C417" s="32"/>
      <c r="AF417" s="32"/>
      <c r="BL417" s="32"/>
      <c r="BX417" s="32"/>
      <c r="CC417" s="32"/>
      <c r="CK417" s="32"/>
      <c r="CM417" s="32"/>
      <c r="DJ417" s="32"/>
      <c r="DT417" s="32"/>
      <c r="DY417" s="32"/>
    </row>
    <row r="418" spans="2:129" ht="15.75" customHeight="1" x14ac:dyDescent="0.2">
      <c r="B418" s="32"/>
      <c r="C418" s="32"/>
      <c r="AF418" s="32"/>
      <c r="BL418" s="32"/>
      <c r="BX418" s="32"/>
      <c r="CC418" s="32"/>
      <c r="CK418" s="32"/>
      <c r="CM418" s="32"/>
      <c r="DJ418" s="32"/>
      <c r="DT418" s="32"/>
      <c r="DY418" s="32"/>
    </row>
    <row r="419" spans="2:129" ht="15.75" customHeight="1" x14ac:dyDescent="0.2">
      <c r="B419" s="32"/>
      <c r="C419" s="32"/>
      <c r="AF419" s="32"/>
      <c r="BL419" s="32"/>
      <c r="BX419" s="32"/>
      <c r="CC419" s="32"/>
      <c r="CK419" s="32"/>
      <c r="CM419" s="32"/>
      <c r="DJ419" s="32"/>
      <c r="DT419" s="32"/>
      <c r="DY419" s="32"/>
    </row>
    <row r="420" spans="2:129" ht="15.75" customHeight="1" x14ac:dyDescent="0.2">
      <c r="B420" s="32"/>
      <c r="C420" s="32"/>
      <c r="AF420" s="32"/>
      <c r="BL420" s="32"/>
      <c r="BX420" s="32"/>
      <c r="CC420" s="32"/>
      <c r="CK420" s="32"/>
      <c r="CM420" s="32"/>
      <c r="DJ420" s="32"/>
      <c r="DT420" s="32"/>
      <c r="DY420" s="32"/>
    </row>
    <row r="421" spans="2:129" ht="15.75" customHeight="1" x14ac:dyDescent="0.2">
      <c r="B421" s="32"/>
      <c r="C421" s="32"/>
      <c r="AF421" s="32"/>
      <c r="BL421" s="32"/>
      <c r="BX421" s="32"/>
      <c r="CC421" s="32"/>
      <c r="CK421" s="32"/>
      <c r="CM421" s="32"/>
      <c r="DJ421" s="32"/>
      <c r="DT421" s="32"/>
      <c r="DY421" s="32"/>
    </row>
    <row r="422" spans="2:129" ht="15.75" customHeight="1" x14ac:dyDescent="0.2">
      <c r="B422" s="32"/>
      <c r="C422" s="32"/>
      <c r="AF422" s="32"/>
      <c r="BL422" s="32"/>
      <c r="BX422" s="32"/>
      <c r="CC422" s="32"/>
      <c r="CK422" s="32"/>
      <c r="CM422" s="32"/>
      <c r="DJ422" s="32"/>
      <c r="DT422" s="32"/>
      <c r="DY422" s="32"/>
    </row>
    <row r="423" spans="2:129" ht="15.75" customHeight="1" x14ac:dyDescent="0.2">
      <c r="B423" s="32"/>
      <c r="C423" s="32"/>
      <c r="AF423" s="32"/>
      <c r="BL423" s="32"/>
      <c r="BX423" s="32"/>
      <c r="CC423" s="32"/>
      <c r="CK423" s="32"/>
      <c r="CM423" s="32"/>
      <c r="DJ423" s="32"/>
      <c r="DT423" s="32"/>
      <c r="DY423" s="32"/>
    </row>
    <row r="424" spans="2:129" ht="15.75" customHeight="1" x14ac:dyDescent="0.2">
      <c r="B424" s="32"/>
      <c r="C424" s="32"/>
      <c r="AF424" s="32"/>
      <c r="BL424" s="32"/>
      <c r="BX424" s="32"/>
      <c r="CC424" s="32"/>
      <c r="CK424" s="32"/>
      <c r="CM424" s="32"/>
      <c r="DJ424" s="32"/>
      <c r="DT424" s="32"/>
      <c r="DY424" s="32"/>
    </row>
    <row r="425" spans="2:129" ht="15.75" customHeight="1" x14ac:dyDescent="0.2">
      <c r="B425" s="32"/>
      <c r="C425" s="32"/>
      <c r="AF425" s="32"/>
      <c r="BL425" s="32"/>
      <c r="BX425" s="32"/>
      <c r="CC425" s="32"/>
      <c r="CK425" s="32"/>
      <c r="CM425" s="32"/>
      <c r="DJ425" s="32"/>
      <c r="DT425" s="32"/>
      <c r="DY425" s="32"/>
    </row>
    <row r="426" spans="2:129" ht="15.75" customHeight="1" x14ac:dyDescent="0.2">
      <c r="B426" s="32"/>
      <c r="C426" s="32"/>
      <c r="AF426" s="32"/>
      <c r="BL426" s="32"/>
      <c r="BX426" s="32"/>
      <c r="CC426" s="32"/>
      <c r="CK426" s="32"/>
      <c r="CM426" s="32"/>
      <c r="DJ426" s="32"/>
      <c r="DT426" s="32"/>
      <c r="DY426" s="32"/>
    </row>
    <row r="427" spans="2:129" ht="15.75" customHeight="1" x14ac:dyDescent="0.2">
      <c r="B427" s="32"/>
      <c r="C427" s="32"/>
      <c r="AF427" s="32"/>
      <c r="BL427" s="32"/>
      <c r="BX427" s="32"/>
      <c r="CC427" s="32"/>
      <c r="CK427" s="32"/>
      <c r="CM427" s="32"/>
      <c r="DJ427" s="32"/>
      <c r="DT427" s="32"/>
      <c r="DY427" s="32"/>
    </row>
    <row r="428" spans="2:129" ht="15.75" customHeight="1" x14ac:dyDescent="0.2">
      <c r="B428" s="32"/>
      <c r="C428" s="32"/>
      <c r="AF428" s="32"/>
      <c r="BL428" s="32"/>
      <c r="BX428" s="32"/>
      <c r="CC428" s="32"/>
      <c r="CK428" s="32"/>
      <c r="CM428" s="32"/>
      <c r="DJ428" s="32"/>
      <c r="DT428" s="32"/>
      <c r="DY428" s="32"/>
    </row>
    <row r="429" spans="2:129" ht="15.75" customHeight="1" x14ac:dyDescent="0.2">
      <c r="B429" s="32"/>
      <c r="C429" s="32"/>
      <c r="AF429" s="32"/>
      <c r="BL429" s="32"/>
      <c r="BX429" s="32"/>
      <c r="CC429" s="32"/>
      <c r="CK429" s="32"/>
      <c r="CM429" s="32"/>
      <c r="DJ429" s="32"/>
      <c r="DT429" s="32"/>
      <c r="DY429" s="32"/>
    </row>
    <row r="430" spans="2:129" ht="15.75" customHeight="1" x14ac:dyDescent="0.2">
      <c r="B430" s="32"/>
      <c r="C430" s="32"/>
      <c r="AF430" s="32"/>
      <c r="BL430" s="32"/>
      <c r="BX430" s="32"/>
      <c r="CC430" s="32"/>
      <c r="CK430" s="32"/>
      <c r="CM430" s="32"/>
      <c r="DJ430" s="32"/>
      <c r="DT430" s="32"/>
      <c r="DY430" s="32"/>
    </row>
    <row r="431" spans="2:129" ht="15.75" customHeight="1" x14ac:dyDescent="0.2">
      <c r="B431" s="32"/>
      <c r="C431" s="32"/>
      <c r="AF431" s="32"/>
      <c r="BL431" s="32"/>
      <c r="BX431" s="32"/>
      <c r="CC431" s="32"/>
      <c r="CK431" s="32"/>
      <c r="CM431" s="32"/>
      <c r="DJ431" s="32"/>
      <c r="DT431" s="32"/>
      <c r="DY431" s="32"/>
    </row>
    <row r="432" spans="2:129" ht="15.75" customHeight="1" x14ac:dyDescent="0.2">
      <c r="B432" s="32"/>
      <c r="C432" s="32"/>
      <c r="AF432" s="32"/>
      <c r="BL432" s="32"/>
      <c r="BX432" s="32"/>
      <c r="CC432" s="32"/>
      <c r="CK432" s="32"/>
      <c r="CM432" s="32"/>
      <c r="DJ432" s="32"/>
      <c r="DT432" s="32"/>
      <c r="DY432" s="32"/>
    </row>
    <row r="433" spans="2:129" ht="15.75" customHeight="1" x14ac:dyDescent="0.2">
      <c r="B433" s="32"/>
      <c r="C433" s="32"/>
      <c r="AF433" s="32"/>
      <c r="BL433" s="32"/>
      <c r="BX433" s="32"/>
      <c r="CC433" s="32"/>
      <c r="CK433" s="32"/>
      <c r="CM433" s="32"/>
      <c r="DJ433" s="32"/>
      <c r="DT433" s="32"/>
      <c r="DY433" s="32"/>
    </row>
    <row r="434" spans="2:129" ht="15.75" customHeight="1" x14ac:dyDescent="0.2">
      <c r="B434" s="32"/>
      <c r="C434" s="32"/>
      <c r="AF434" s="32"/>
      <c r="BL434" s="32"/>
      <c r="BX434" s="32"/>
      <c r="CC434" s="32"/>
      <c r="CK434" s="32"/>
      <c r="CM434" s="32"/>
      <c r="DJ434" s="32"/>
      <c r="DT434" s="32"/>
      <c r="DY434" s="32"/>
    </row>
    <row r="435" spans="2:129" ht="15.75" customHeight="1" x14ac:dyDescent="0.2">
      <c r="B435" s="32"/>
      <c r="C435" s="32"/>
      <c r="AF435" s="32"/>
      <c r="BL435" s="32"/>
      <c r="BX435" s="32"/>
      <c r="CC435" s="32"/>
      <c r="CK435" s="32"/>
      <c r="CM435" s="32"/>
      <c r="DJ435" s="32"/>
      <c r="DT435" s="32"/>
      <c r="DY435" s="32"/>
    </row>
    <row r="436" spans="2:129" ht="15.75" customHeight="1" x14ac:dyDescent="0.2">
      <c r="B436" s="32"/>
      <c r="C436" s="32"/>
      <c r="AF436" s="32"/>
      <c r="BL436" s="32"/>
      <c r="BX436" s="32"/>
      <c r="CC436" s="32"/>
      <c r="CK436" s="32"/>
      <c r="CM436" s="32"/>
      <c r="DJ436" s="32"/>
      <c r="DT436" s="32"/>
      <c r="DY436" s="32"/>
    </row>
    <row r="437" spans="2:129" ht="15.75" customHeight="1" x14ac:dyDescent="0.2">
      <c r="B437" s="32"/>
      <c r="C437" s="32"/>
      <c r="AF437" s="32"/>
      <c r="BL437" s="32"/>
      <c r="BX437" s="32"/>
      <c r="CC437" s="32"/>
      <c r="CK437" s="32"/>
      <c r="CM437" s="32"/>
      <c r="DJ437" s="32"/>
      <c r="DT437" s="32"/>
      <c r="DY437" s="32"/>
    </row>
    <row r="438" spans="2:129" ht="15.75" customHeight="1" x14ac:dyDescent="0.2">
      <c r="B438" s="32"/>
      <c r="C438" s="32"/>
      <c r="AF438" s="32"/>
      <c r="BL438" s="32"/>
      <c r="BX438" s="32"/>
      <c r="CC438" s="32"/>
      <c r="CK438" s="32"/>
      <c r="CM438" s="32"/>
      <c r="DJ438" s="32"/>
      <c r="DT438" s="32"/>
      <c r="DY438" s="32"/>
    </row>
    <row r="439" spans="2:129" ht="15.75" customHeight="1" x14ac:dyDescent="0.2">
      <c r="B439" s="32"/>
      <c r="C439" s="32"/>
      <c r="AF439" s="32"/>
      <c r="BL439" s="32"/>
      <c r="BX439" s="32"/>
      <c r="CC439" s="32"/>
      <c r="CK439" s="32"/>
      <c r="CM439" s="32"/>
      <c r="DJ439" s="32"/>
      <c r="DT439" s="32"/>
      <c r="DY439" s="32"/>
    </row>
    <row r="440" spans="2:129" ht="15.75" customHeight="1" x14ac:dyDescent="0.2">
      <c r="B440" s="32"/>
      <c r="C440" s="32"/>
      <c r="AF440" s="32"/>
      <c r="BL440" s="32"/>
      <c r="BX440" s="32"/>
      <c r="CC440" s="32"/>
      <c r="CK440" s="32"/>
      <c r="CM440" s="32"/>
      <c r="DJ440" s="32"/>
      <c r="DT440" s="32"/>
      <c r="DY440" s="32"/>
    </row>
    <row r="441" spans="2:129" ht="15.75" customHeight="1" x14ac:dyDescent="0.2">
      <c r="B441" s="32"/>
      <c r="C441" s="32"/>
      <c r="AF441" s="32"/>
      <c r="BL441" s="32"/>
      <c r="BX441" s="32"/>
      <c r="CC441" s="32"/>
      <c r="CK441" s="32"/>
      <c r="CM441" s="32"/>
      <c r="DJ441" s="32"/>
      <c r="DT441" s="32"/>
      <c r="DY441" s="32"/>
    </row>
    <row r="442" spans="2:129" ht="15.75" customHeight="1" x14ac:dyDescent="0.2">
      <c r="B442" s="32"/>
      <c r="C442" s="32"/>
      <c r="AF442" s="32"/>
      <c r="BL442" s="32"/>
      <c r="BX442" s="32"/>
      <c r="CC442" s="32"/>
      <c r="CK442" s="32"/>
      <c r="CM442" s="32"/>
      <c r="DJ442" s="32"/>
      <c r="DT442" s="32"/>
      <c r="DY442" s="32"/>
    </row>
    <row r="443" spans="2:129" ht="15.75" customHeight="1" x14ac:dyDescent="0.2">
      <c r="B443" s="32"/>
      <c r="C443" s="32"/>
      <c r="AF443" s="32"/>
      <c r="BL443" s="32"/>
      <c r="BX443" s="32"/>
      <c r="CC443" s="32"/>
      <c r="CK443" s="32"/>
      <c r="CM443" s="32"/>
      <c r="DJ443" s="32"/>
      <c r="DT443" s="32"/>
      <c r="DY443" s="32"/>
    </row>
    <row r="444" spans="2:129" ht="15.75" customHeight="1" x14ac:dyDescent="0.2">
      <c r="B444" s="32"/>
      <c r="C444" s="32"/>
      <c r="AF444" s="32"/>
      <c r="BL444" s="32"/>
      <c r="BX444" s="32"/>
      <c r="CC444" s="32"/>
      <c r="CK444" s="32"/>
      <c r="CM444" s="32"/>
      <c r="DJ444" s="32"/>
      <c r="DT444" s="32"/>
      <c r="DY444" s="32"/>
    </row>
    <row r="445" spans="2:129" ht="15.75" customHeight="1" x14ac:dyDescent="0.2">
      <c r="B445" s="32"/>
      <c r="C445" s="32"/>
      <c r="AF445" s="32"/>
      <c r="BL445" s="32"/>
      <c r="BX445" s="32"/>
      <c r="CC445" s="32"/>
      <c r="CK445" s="32"/>
      <c r="CM445" s="32"/>
      <c r="DJ445" s="32"/>
      <c r="DT445" s="32"/>
      <c r="DY445" s="32"/>
    </row>
    <row r="446" spans="2:129" ht="15.75" customHeight="1" x14ac:dyDescent="0.2">
      <c r="B446" s="32"/>
      <c r="C446" s="32"/>
      <c r="AF446" s="32"/>
      <c r="BL446" s="32"/>
      <c r="BX446" s="32"/>
      <c r="CC446" s="32"/>
      <c r="CK446" s="32"/>
      <c r="CM446" s="32"/>
      <c r="DJ446" s="32"/>
      <c r="DT446" s="32"/>
      <c r="DY446" s="32"/>
    </row>
    <row r="447" spans="2:129" ht="15.75" customHeight="1" x14ac:dyDescent="0.2">
      <c r="B447" s="32"/>
      <c r="C447" s="32"/>
      <c r="AF447" s="32"/>
      <c r="BL447" s="32"/>
      <c r="BX447" s="32"/>
      <c r="CC447" s="32"/>
      <c r="CK447" s="32"/>
      <c r="CM447" s="32"/>
      <c r="DJ447" s="32"/>
      <c r="DT447" s="32"/>
      <c r="DY447" s="32"/>
    </row>
    <row r="448" spans="2:129" ht="15.75" customHeight="1" x14ac:dyDescent="0.2">
      <c r="B448" s="32"/>
      <c r="C448" s="32"/>
      <c r="AF448" s="32"/>
      <c r="BL448" s="32"/>
      <c r="BX448" s="32"/>
      <c r="CC448" s="32"/>
      <c r="CK448" s="32"/>
      <c r="CM448" s="32"/>
      <c r="DJ448" s="32"/>
      <c r="DT448" s="32"/>
      <c r="DY448" s="32"/>
    </row>
    <row r="449" spans="2:129" ht="15.75" customHeight="1" x14ac:dyDescent="0.2">
      <c r="B449" s="32"/>
      <c r="C449" s="32"/>
      <c r="AF449" s="32"/>
      <c r="BL449" s="32"/>
      <c r="BX449" s="32"/>
      <c r="CC449" s="32"/>
      <c r="CK449" s="32"/>
      <c r="CM449" s="32"/>
      <c r="DJ449" s="32"/>
      <c r="DT449" s="32"/>
      <c r="DY449" s="32"/>
    </row>
    <row r="450" spans="2:129" ht="15.75" customHeight="1" x14ac:dyDescent="0.2">
      <c r="B450" s="32"/>
      <c r="C450" s="32"/>
      <c r="AF450" s="32"/>
      <c r="BL450" s="32"/>
      <c r="BX450" s="32"/>
      <c r="CC450" s="32"/>
      <c r="CK450" s="32"/>
      <c r="CM450" s="32"/>
      <c r="DJ450" s="32"/>
      <c r="DT450" s="32"/>
      <c r="DY450" s="32"/>
    </row>
    <row r="451" spans="2:129" ht="15.75" customHeight="1" x14ac:dyDescent="0.2">
      <c r="B451" s="32"/>
      <c r="C451" s="32"/>
      <c r="AF451" s="32"/>
      <c r="BL451" s="32"/>
      <c r="BX451" s="32"/>
      <c r="CC451" s="32"/>
      <c r="CK451" s="32"/>
      <c r="CM451" s="32"/>
      <c r="DJ451" s="32"/>
      <c r="DT451" s="32"/>
      <c r="DY451" s="32"/>
    </row>
    <row r="452" spans="2:129" ht="15.75" customHeight="1" x14ac:dyDescent="0.2">
      <c r="B452" s="32"/>
      <c r="C452" s="32"/>
      <c r="AF452" s="32"/>
      <c r="BL452" s="32"/>
      <c r="BX452" s="32"/>
      <c r="CC452" s="32"/>
      <c r="CK452" s="32"/>
      <c r="CM452" s="32"/>
      <c r="DJ452" s="32"/>
      <c r="DT452" s="32"/>
      <c r="DY452" s="32"/>
    </row>
    <row r="453" spans="2:129" ht="15.75" customHeight="1" x14ac:dyDescent="0.2">
      <c r="B453" s="32"/>
      <c r="C453" s="32"/>
      <c r="AF453" s="32"/>
      <c r="BL453" s="32"/>
      <c r="BX453" s="32"/>
      <c r="CC453" s="32"/>
      <c r="CK453" s="32"/>
      <c r="CM453" s="32"/>
      <c r="DJ453" s="32"/>
      <c r="DT453" s="32"/>
      <c r="DY453" s="32"/>
    </row>
    <row r="454" spans="2:129" ht="15.75" customHeight="1" x14ac:dyDescent="0.2">
      <c r="B454" s="32"/>
      <c r="C454" s="32"/>
      <c r="AF454" s="32"/>
      <c r="BL454" s="32"/>
      <c r="BX454" s="32"/>
      <c r="CC454" s="32"/>
      <c r="CK454" s="32"/>
      <c r="CM454" s="32"/>
      <c r="DJ454" s="32"/>
      <c r="DT454" s="32"/>
      <c r="DY454" s="32"/>
    </row>
    <row r="455" spans="2:129" ht="15.75" customHeight="1" x14ac:dyDescent="0.2">
      <c r="B455" s="32"/>
      <c r="C455" s="32"/>
      <c r="AF455" s="32"/>
      <c r="BL455" s="32"/>
      <c r="BX455" s="32"/>
      <c r="CC455" s="32"/>
      <c r="CK455" s="32"/>
      <c r="CM455" s="32"/>
      <c r="DJ455" s="32"/>
      <c r="DT455" s="32"/>
      <c r="DY455" s="32"/>
    </row>
    <row r="456" spans="2:129" ht="15.75" customHeight="1" x14ac:dyDescent="0.2">
      <c r="B456" s="32"/>
      <c r="C456" s="32"/>
      <c r="AF456" s="32"/>
      <c r="BL456" s="32"/>
      <c r="BX456" s="32"/>
      <c r="CC456" s="32"/>
      <c r="CK456" s="32"/>
      <c r="CM456" s="32"/>
      <c r="DJ456" s="32"/>
      <c r="DT456" s="32"/>
      <c r="DY456" s="32"/>
    </row>
    <row r="457" spans="2:129" ht="15.75" customHeight="1" x14ac:dyDescent="0.2">
      <c r="B457" s="32"/>
      <c r="C457" s="32"/>
      <c r="AF457" s="32"/>
      <c r="BL457" s="32"/>
      <c r="BX457" s="32"/>
      <c r="CC457" s="32"/>
      <c r="CK457" s="32"/>
      <c r="CM457" s="32"/>
      <c r="DJ457" s="32"/>
      <c r="DT457" s="32"/>
      <c r="DY457" s="32"/>
    </row>
    <row r="458" spans="2:129" ht="15.75" customHeight="1" x14ac:dyDescent="0.2">
      <c r="B458" s="32"/>
      <c r="C458" s="32"/>
      <c r="AF458" s="32"/>
      <c r="BL458" s="32"/>
      <c r="BX458" s="32"/>
      <c r="CC458" s="32"/>
      <c r="CK458" s="32"/>
      <c r="CM458" s="32"/>
      <c r="DJ458" s="32"/>
      <c r="DT458" s="32"/>
      <c r="DY458" s="32"/>
    </row>
    <row r="459" spans="2:129" ht="15.75" customHeight="1" x14ac:dyDescent="0.2">
      <c r="B459" s="32"/>
      <c r="C459" s="32"/>
      <c r="AF459" s="32"/>
      <c r="BL459" s="32"/>
      <c r="BX459" s="32"/>
      <c r="CC459" s="32"/>
      <c r="CK459" s="32"/>
      <c r="CM459" s="32"/>
      <c r="DJ459" s="32"/>
      <c r="DT459" s="32"/>
      <c r="DY459" s="32"/>
    </row>
    <row r="460" spans="2:129" ht="15.75" customHeight="1" x14ac:dyDescent="0.2">
      <c r="B460" s="32"/>
      <c r="C460" s="32"/>
      <c r="AF460" s="32"/>
      <c r="BL460" s="32"/>
      <c r="BX460" s="32"/>
      <c r="CC460" s="32"/>
      <c r="CK460" s="32"/>
      <c r="CM460" s="32"/>
      <c r="DJ460" s="32"/>
      <c r="DT460" s="32"/>
      <c r="DY460" s="32"/>
    </row>
    <row r="461" spans="2:129" ht="15.75" customHeight="1" x14ac:dyDescent="0.2">
      <c r="B461" s="32"/>
      <c r="C461" s="32"/>
      <c r="AF461" s="32"/>
      <c r="BL461" s="32"/>
      <c r="BX461" s="32"/>
      <c r="CC461" s="32"/>
      <c r="CK461" s="32"/>
      <c r="CM461" s="32"/>
      <c r="DJ461" s="32"/>
      <c r="DT461" s="32"/>
      <c r="DY461" s="32"/>
    </row>
    <row r="462" spans="2:129" ht="15.75" customHeight="1" x14ac:dyDescent="0.2">
      <c r="B462" s="32"/>
      <c r="C462" s="32"/>
      <c r="AF462" s="32"/>
      <c r="BL462" s="32"/>
      <c r="BX462" s="32"/>
      <c r="CC462" s="32"/>
      <c r="CK462" s="32"/>
      <c r="CM462" s="32"/>
      <c r="DJ462" s="32"/>
      <c r="DT462" s="32"/>
      <c r="DY462" s="32"/>
    </row>
    <row r="463" spans="2:129" ht="15.75" customHeight="1" x14ac:dyDescent="0.2">
      <c r="B463" s="32"/>
      <c r="C463" s="32"/>
      <c r="AF463" s="32"/>
      <c r="BL463" s="32"/>
      <c r="BX463" s="32"/>
      <c r="CC463" s="32"/>
      <c r="CK463" s="32"/>
      <c r="CM463" s="32"/>
      <c r="DJ463" s="32"/>
      <c r="DT463" s="32"/>
      <c r="DY463" s="32"/>
    </row>
    <row r="464" spans="2:129" ht="15.75" customHeight="1" x14ac:dyDescent="0.2">
      <c r="B464" s="32"/>
      <c r="C464" s="32"/>
      <c r="AF464" s="32"/>
      <c r="BL464" s="32"/>
      <c r="BX464" s="32"/>
      <c r="CC464" s="32"/>
      <c r="CK464" s="32"/>
      <c r="CM464" s="32"/>
      <c r="DJ464" s="32"/>
      <c r="DT464" s="32"/>
      <c r="DY464" s="32"/>
    </row>
    <row r="465" spans="2:129" ht="15.75" customHeight="1" x14ac:dyDescent="0.2">
      <c r="B465" s="32"/>
      <c r="C465" s="32"/>
      <c r="AF465" s="32"/>
      <c r="BL465" s="32"/>
      <c r="BX465" s="32"/>
      <c r="CC465" s="32"/>
      <c r="CK465" s="32"/>
      <c r="CM465" s="32"/>
      <c r="DJ465" s="32"/>
      <c r="DT465" s="32"/>
      <c r="DY465" s="32"/>
    </row>
    <row r="466" spans="2:129" ht="15.75" customHeight="1" x14ac:dyDescent="0.2">
      <c r="B466" s="32"/>
      <c r="C466" s="32"/>
      <c r="AF466" s="32"/>
      <c r="BL466" s="32"/>
      <c r="BX466" s="32"/>
      <c r="CC466" s="32"/>
      <c r="CK466" s="32"/>
      <c r="CM466" s="32"/>
      <c r="DJ466" s="32"/>
      <c r="DT466" s="32"/>
      <c r="DY466" s="32"/>
    </row>
    <row r="467" spans="2:129" ht="15.75" customHeight="1" x14ac:dyDescent="0.2">
      <c r="B467" s="32"/>
      <c r="C467" s="32"/>
      <c r="AF467" s="32"/>
      <c r="BL467" s="32"/>
      <c r="BX467" s="32"/>
      <c r="CC467" s="32"/>
      <c r="CK467" s="32"/>
      <c r="CM467" s="32"/>
      <c r="DJ467" s="32"/>
      <c r="DT467" s="32"/>
      <c r="DY467" s="32"/>
    </row>
    <row r="468" spans="2:129" ht="15.75" customHeight="1" x14ac:dyDescent="0.2">
      <c r="B468" s="32"/>
      <c r="C468" s="32"/>
      <c r="AF468" s="32"/>
      <c r="BL468" s="32"/>
      <c r="BX468" s="32"/>
      <c r="CC468" s="32"/>
      <c r="CK468" s="32"/>
      <c r="CM468" s="32"/>
      <c r="DJ468" s="32"/>
      <c r="DT468" s="32"/>
      <c r="DY468" s="32"/>
    </row>
    <row r="469" spans="2:129" ht="15.75" customHeight="1" x14ac:dyDescent="0.2">
      <c r="B469" s="32"/>
      <c r="C469" s="32"/>
      <c r="AF469" s="32"/>
      <c r="BL469" s="32"/>
      <c r="BX469" s="32"/>
      <c r="CC469" s="32"/>
      <c r="CK469" s="32"/>
      <c r="CM469" s="32"/>
      <c r="DJ469" s="32"/>
      <c r="DT469" s="32"/>
      <c r="DY469" s="32"/>
    </row>
    <row r="470" spans="2:129" ht="15.75" customHeight="1" x14ac:dyDescent="0.2">
      <c r="B470" s="32"/>
      <c r="C470" s="32"/>
      <c r="AF470" s="32"/>
      <c r="BL470" s="32"/>
      <c r="BX470" s="32"/>
      <c r="CC470" s="32"/>
      <c r="CK470" s="32"/>
      <c r="CM470" s="32"/>
      <c r="DJ470" s="32"/>
      <c r="DT470" s="32"/>
      <c r="DY470" s="32"/>
    </row>
    <row r="471" spans="2:129" ht="15.75" customHeight="1" x14ac:dyDescent="0.2">
      <c r="B471" s="32"/>
      <c r="C471" s="32"/>
      <c r="AF471" s="32"/>
      <c r="BL471" s="32"/>
      <c r="BX471" s="32"/>
      <c r="CC471" s="32"/>
      <c r="CK471" s="32"/>
      <c r="CM471" s="32"/>
      <c r="DJ471" s="32"/>
      <c r="DT471" s="32"/>
      <c r="DY471" s="32"/>
    </row>
    <row r="472" spans="2:129" ht="15.75" customHeight="1" x14ac:dyDescent="0.2">
      <c r="B472" s="32"/>
      <c r="C472" s="32"/>
      <c r="AF472" s="32"/>
      <c r="BL472" s="32"/>
      <c r="BX472" s="32"/>
      <c r="CC472" s="32"/>
      <c r="CK472" s="32"/>
      <c r="CM472" s="32"/>
      <c r="DJ472" s="32"/>
      <c r="DT472" s="32"/>
      <c r="DY472" s="32"/>
    </row>
    <row r="473" spans="2:129" ht="15.75" customHeight="1" x14ac:dyDescent="0.2">
      <c r="B473" s="32"/>
      <c r="C473" s="32"/>
      <c r="AF473" s="32"/>
      <c r="BL473" s="32"/>
      <c r="BX473" s="32"/>
      <c r="CC473" s="32"/>
      <c r="CK473" s="32"/>
      <c r="CM473" s="32"/>
      <c r="DJ473" s="32"/>
      <c r="DT473" s="32"/>
      <c r="DY473" s="32"/>
    </row>
    <row r="474" spans="2:129" ht="15.75" customHeight="1" x14ac:dyDescent="0.2">
      <c r="B474" s="32"/>
      <c r="C474" s="32"/>
      <c r="AF474" s="32"/>
      <c r="BL474" s="32"/>
      <c r="BX474" s="32"/>
      <c r="CC474" s="32"/>
      <c r="CK474" s="32"/>
      <c r="CM474" s="32"/>
      <c r="DJ474" s="32"/>
      <c r="DT474" s="32"/>
      <c r="DY474" s="32"/>
    </row>
    <row r="475" spans="2:129" ht="15.75" customHeight="1" x14ac:dyDescent="0.2">
      <c r="B475" s="32"/>
      <c r="C475" s="32"/>
      <c r="AF475" s="32"/>
      <c r="BL475" s="32"/>
      <c r="BX475" s="32"/>
      <c r="CC475" s="32"/>
      <c r="CK475" s="32"/>
      <c r="CM475" s="32"/>
      <c r="DJ475" s="32"/>
      <c r="DT475" s="32"/>
      <c r="DY475" s="32"/>
    </row>
    <row r="476" spans="2:129" ht="15.75" customHeight="1" x14ac:dyDescent="0.2">
      <c r="B476" s="32"/>
      <c r="C476" s="32"/>
      <c r="AF476" s="32"/>
      <c r="BL476" s="32"/>
      <c r="BX476" s="32"/>
      <c r="CC476" s="32"/>
      <c r="CK476" s="32"/>
      <c r="CM476" s="32"/>
      <c r="DJ476" s="32"/>
      <c r="DT476" s="32"/>
      <c r="DY476" s="32"/>
    </row>
    <row r="477" spans="2:129" ht="15.75" customHeight="1" x14ac:dyDescent="0.2">
      <c r="B477" s="32"/>
      <c r="C477" s="32"/>
      <c r="AF477" s="32"/>
      <c r="BL477" s="32"/>
      <c r="BX477" s="32"/>
      <c r="CC477" s="32"/>
      <c r="CK477" s="32"/>
      <c r="CM477" s="32"/>
      <c r="DJ477" s="32"/>
      <c r="DT477" s="32"/>
      <c r="DY477" s="32"/>
    </row>
    <row r="478" spans="2:129" ht="15.75" customHeight="1" x14ac:dyDescent="0.2">
      <c r="B478" s="32"/>
      <c r="C478" s="32"/>
      <c r="AF478" s="32"/>
      <c r="BL478" s="32"/>
      <c r="BX478" s="32"/>
      <c r="CC478" s="32"/>
      <c r="CK478" s="32"/>
      <c r="CM478" s="32"/>
      <c r="DJ478" s="32"/>
      <c r="DT478" s="32"/>
      <c r="DY478" s="32"/>
    </row>
    <row r="479" spans="2:129" ht="15.75" customHeight="1" x14ac:dyDescent="0.2">
      <c r="B479" s="32"/>
      <c r="C479" s="32"/>
      <c r="AF479" s="32"/>
      <c r="BL479" s="32"/>
      <c r="BX479" s="32"/>
      <c r="CC479" s="32"/>
      <c r="CK479" s="32"/>
      <c r="CM479" s="32"/>
      <c r="DJ479" s="32"/>
      <c r="DT479" s="32"/>
      <c r="DY479" s="32"/>
    </row>
    <row r="480" spans="2:129" ht="15.75" customHeight="1" x14ac:dyDescent="0.2">
      <c r="B480" s="32"/>
      <c r="C480" s="32"/>
      <c r="AF480" s="32"/>
      <c r="BL480" s="32"/>
      <c r="BX480" s="32"/>
      <c r="CC480" s="32"/>
      <c r="CK480" s="32"/>
      <c r="CM480" s="32"/>
      <c r="DJ480" s="32"/>
      <c r="DT480" s="32"/>
      <c r="DY480" s="32"/>
    </row>
    <row r="481" spans="2:129" ht="15.75" customHeight="1" x14ac:dyDescent="0.2">
      <c r="B481" s="32"/>
      <c r="C481" s="32"/>
      <c r="AF481" s="32"/>
      <c r="BL481" s="32"/>
      <c r="BX481" s="32"/>
      <c r="CC481" s="32"/>
      <c r="CK481" s="32"/>
      <c r="CM481" s="32"/>
      <c r="DJ481" s="32"/>
      <c r="DT481" s="32"/>
      <c r="DY481" s="32"/>
    </row>
    <row r="482" spans="2:129" ht="15.75" customHeight="1" x14ac:dyDescent="0.2">
      <c r="B482" s="32"/>
      <c r="C482" s="32"/>
      <c r="AF482" s="32"/>
      <c r="BL482" s="32"/>
      <c r="BX482" s="32"/>
      <c r="CC482" s="32"/>
      <c r="CK482" s="32"/>
      <c r="CM482" s="32"/>
      <c r="DJ482" s="32"/>
      <c r="DT482" s="32"/>
      <c r="DY482" s="32"/>
    </row>
    <row r="483" spans="2:129" ht="15.75" customHeight="1" x14ac:dyDescent="0.2">
      <c r="B483" s="32"/>
      <c r="C483" s="32"/>
      <c r="AF483" s="32"/>
      <c r="BL483" s="32"/>
      <c r="BX483" s="32"/>
      <c r="CC483" s="32"/>
      <c r="CK483" s="32"/>
      <c r="CM483" s="32"/>
      <c r="DJ483" s="32"/>
      <c r="DT483" s="32"/>
      <c r="DY483" s="32"/>
    </row>
    <row r="484" spans="2:129" ht="15.75" customHeight="1" x14ac:dyDescent="0.2">
      <c r="B484" s="32"/>
      <c r="C484" s="32"/>
      <c r="AF484" s="32"/>
      <c r="BL484" s="32"/>
      <c r="BX484" s="32"/>
      <c r="CC484" s="32"/>
      <c r="CK484" s="32"/>
      <c r="CM484" s="32"/>
      <c r="DJ484" s="32"/>
      <c r="DT484" s="32"/>
      <c r="DY484" s="32"/>
    </row>
    <row r="485" spans="2:129" ht="15.75" customHeight="1" x14ac:dyDescent="0.2">
      <c r="B485" s="32"/>
      <c r="C485" s="32"/>
      <c r="AF485" s="32"/>
      <c r="BL485" s="32"/>
      <c r="BX485" s="32"/>
      <c r="CC485" s="32"/>
      <c r="CK485" s="32"/>
      <c r="CM485" s="32"/>
      <c r="DJ485" s="32"/>
      <c r="DT485" s="32"/>
      <c r="DY485" s="32"/>
    </row>
    <row r="486" spans="2:129" ht="15.75" customHeight="1" x14ac:dyDescent="0.2">
      <c r="B486" s="32"/>
      <c r="C486" s="32"/>
      <c r="AF486" s="32"/>
      <c r="BL486" s="32"/>
      <c r="BX486" s="32"/>
      <c r="CC486" s="32"/>
      <c r="CK486" s="32"/>
      <c r="CM486" s="32"/>
      <c r="DJ486" s="32"/>
      <c r="DT486" s="32"/>
      <c r="DY486" s="32"/>
    </row>
    <row r="487" spans="2:129" ht="15.75" customHeight="1" x14ac:dyDescent="0.2">
      <c r="B487" s="32"/>
      <c r="C487" s="32"/>
      <c r="AF487" s="32"/>
      <c r="BL487" s="32"/>
      <c r="BX487" s="32"/>
      <c r="CC487" s="32"/>
      <c r="CK487" s="32"/>
      <c r="CM487" s="32"/>
      <c r="DJ487" s="32"/>
      <c r="DT487" s="32"/>
      <c r="DY487" s="32"/>
    </row>
    <row r="488" spans="2:129" ht="15.75" customHeight="1" x14ac:dyDescent="0.2">
      <c r="B488" s="32"/>
      <c r="C488" s="32"/>
      <c r="AF488" s="32"/>
      <c r="BL488" s="32"/>
      <c r="BX488" s="32"/>
      <c r="CC488" s="32"/>
      <c r="CK488" s="32"/>
      <c r="CM488" s="32"/>
      <c r="DJ488" s="32"/>
      <c r="DT488" s="32"/>
      <c r="DY488" s="32"/>
    </row>
    <row r="489" spans="2:129" ht="15.75" customHeight="1" x14ac:dyDescent="0.2">
      <c r="B489" s="32"/>
      <c r="C489" s="32"/>
      <c r="AF489" s="32"/>
      <c r="BL489" s="32"/>
      <c r="BX489" s="32"/>
      <c r="CC489" s="32"/>
      <c r="CK489" s="32"/>
      <c r="CM489" s="32"/>
      <c r="DJ489" s="32"/>
      <c r="DT489" s="32"/>
      <c r="DY489" s="32"/>
    </row>
    <row r="490" spans="2:129" ht="15.75" customHeight="1" x14ac:dyDescent="0.2">
      <c r="B490" s="32"/>
      <c r="C490" s="32"/>
      <c r="AF490" s="32"/>
      <c r="BL490" s="32"/>
      <c r="BX490" s="32"/>
      <c r="CC490" s="32"/>
      <c r="CK490" s="32"/>
      <c r="CM490" s="32"/>
      <c r="DJ490" s="32"/>
      <c r="DT490" s="32"/>
      <c r="DY490" s="32"/>
    </row>
    <row r="491" spans="2:129" ht="15.75" customHeight="1" x14ac:dyDescent="0.2">
      <c r="B491" s="32"/>
      <c r="C491" s="32"/>
      <c r="AF491" s="32"/>
      <c r="BL491" s="32"/>
      <c r="BX491" s="32"/>
      <c r="CC491" s="32"/>
      <c r="CK491" s="32"/>
      <c r="CM491" s="32"/>
      <c r="DJ491" s="32"/>
      <c r="DT491" s="32"/>
      <c r="DY491" s="32"/>
    </row>
    <row r="492" spans="2:129" ht="15.75" customHeight="1" x14ac:dyDescent="0.2">
      <c r="B492" s="32"/>
      <c r="C492" s="32"/>
      <c r="AF492" s="32"/>
      <c r="BL492" s="32"/>
      <c r="BX492" s="32"/>
      <c r="CC492" s="32"/>
      <c r="CK492" s="32"/>
      <c r="CM492" s="32"/>
      <c r="DJ492" s="32"/>
      <c r="DT492" s="32"/>
      <c r="DY492" s="32"/>
    </row>
    <row r="493" spans="2:129" ht="15.75" customHeight="1" x14ac:dyDescent="0.2">
      <c r="B493" s="32"/>
      <c r="C493" s="32"/>
      <c r="AF493" s="32"/>
      <c r="BL493" s="32"/>
      <c r="BX493" s="32"/>
      <c r="CC493" s="32"/>
      <c r="CK493" s="32"/>
      <c r="CM493" s="32"/>
      <c r="DJ493" s="32"/>
      <c r="DT493" s="32"/>
      <c r="DY493" s="32"/>
    </row>
    <row r="494" spans="2:129" ht="15.75" customHeight="1" x14ac:dyDescent="0.2">
      <c r="B494" s="32"/>
      <c r="C494" s="32"/>
      <c r="AF494" s="32"/>
      <c r="BL494" s="32"/>
      <c r="BX494" s="32"/>
      <c r="CC494" s="32"/>
      <c r="CK494" s="32"/>
      <c r="CM494" s="32"/>
      <c r="DJ494" s="32"/>
      <c r="DT494" s="32"/>
      <c r="DY494" s="32"/>
    </row>
    <row r="495" spans="2:129" ht="15.75" customHeight="1" x14ac:dyDescent="0.2">
      <c r="B495" s="32"/>
      <c r="C495" s="32"/>
      <c r="AF495" s="32"/>
      <c r="BL495" s="32"/>
      <c r="BX495" s="32"/>
      <c r="CC495" s="32"/>
      <c r="CK495" s="32"/>
      <c r="CM495" s="32"/>
      <c r="DJ495" s="32"/>
      <c r="DT495" s="32"/>
      <c r="DY495" s="32"/>
    </row>
    <row r="496" spans="2:129" ht="15.75" customHeight="1" x14ac:dyDescent="0.2">
      <c r="B496" s="32"/>
      <c r="C496" s="32"/>
      <c r="AF496" s="32"/>
      <c r="BL496" s="32"/>
      <c r="BX496" s="32"/>
      <c r="CC496" s="32"/>
      <c r="CK496" s="32"/>
      <c r="CM496" s="32"/>
      <c r="DJ496" s="32"/>
      <c r="DT496" s="32"/>
      <c r="DY496" s="32"/>
    </row>
    <row r="497" spans="2:129" ht="15.75" customHeight="1" x14ac:dyDescent="0.2">
      <c r="B497" s="32"/>
      <c r="C497" s="32"/>
      <c r="AF497" s="32"/>
      <c r="BL497" s="32"/>
      <c r="BX497" s="32"/>
      <c r="CC497" s="32"/>
      <c r="CK497" s="32"/>
      <c r="CM497" s="32"/>
      <c r="DJ497" s="32"/>
      <c r="DT497" s="32"/>
      <c r="DY497" s="32"/>
    </row>
    <row r="498" spans="2:129" ht="15.75" customHeight="1" x14ac:dyDescent="0.2">
      <c r="B498" s="32"/>
      <c r="C498" s="32"/>
      <c r="AF498" s="32"/>
      <c r="BL498" s="32"/>
      <c r="BX498" s="32"/>
      <c r="CC498" s="32"/>
      <c r="CK498" s="32"/>
      <c r="CM498" s="32"/>
      <c r="DJ498" s="32"/>
      <c r="DT498" s="32"/>
      <c r="DY498" s="32"/>
    </row>
    <row r="499" spans="2:129" ht="15.75" customHeight="1" x14ac:dyDescent="0.2">
      <c r="B499" s="32"/>
      <c r="C499" s="32"/>
      <c r="AF499" s="32"/>
      <c r="BL499" s="32"/>
      <c r="BX499" s="32"/>
      <c r="CC499" s="32"/>
      <c r="CK499" s="32"/>
      <c r="CM499" s="32"/>
      <c r="DJ499" s="32"/>
      <c r="DT499" s="32"/>
      <c r="DY499" s="32"/>
    </row>
    <row r="500" spans="2:129" ht="15.75" customHeight="1" x14ac:dyDescent="0.2">
      <c r="B500" s="32"/>
      <c r="C500" s="32"/>
      <c r="AF500" s="32"/>
      <c r="BL500" s="32"/>
      <c r="BX500" s="32"/>
      <c r="CC500" s="32"/>
      <c r="CK500" s="32"/>
      <c r="CM500" s="32"/>
      <c r="DJ500" s="32"/>
      <c r="DT500" s="32"/>
      <c r="DY500" s="32"/>
    </row>
    <row r="501" spans="2:129" ht="15.75" customHeight="1" x14ac:dyDescent="0.2">
      <c r="B501" s="32"/>
      <c r="C501" s="32"/>
      <c r="AF501" s="32"/>
      <c r="BL501" s="32"/>
      <c r="BX501" s="32"/>
      <c r="CC501" s="32"/>
      <c r="CK501" s="32"/>
      <c r="CM501" s="32"/>
      <c r="DJ501" s="32"/>
      <c r="DT501" s="32"/>
      <c r="DY501" s="32"/>
    </row>
    <row r="502" spans="2:129" ht="15.75" customHeight="1" x14ac:dyDescent="0.2">
      <c r="B502" s="32"/>
      <c r="C502" s="32"/>
      <c r="AF502" s="32"/>
      <c r="BL502" s="32"/>
      <c r="BX502" s="32"/>
      <c r="CC502" s="32"/>
      <c r="CK502" s="32"/>
      <c r="CM502" s="32"/>
      <c r="DJ502" s="32"/>
      <c r="DT502" s="32"/>
      <c r="DY502" s="32"/>
    </row>
    <row r="503" spans="2:129" ht="15.75" customHeight="1" x14ac:dyDescent="0.2">
      <c r="B503" s="32"/>
      <c r="C503" s="32"/>
      <c r="AF503" s="32"/>
      <c r="BL503" s="32"/>
      <c r="BX503" s="32"/>
      <c r="CC503" s="32"/>
      <c r="CK503" s="32"/>
      <c r="CM503" s="32"/>
      <c r="DJ503" s="32"/>
      <c r="DT503" s="32"/>
      <c r="DY503" s="32"/>
    </row>
    <row r="504" spans="2:129" ht="15.75" customHeight="1" x14ac:dyDescent="0.2">
      <c r="B504" s="32"/>
      <c r="C504" s="32"/>
      <c r="AF504" s="32"/>
      <c r="BL504" s="32"/>
      <c r="BX504" s="32"/>
      <c r="CC504" s="32"/>
      <c r="CK504" s="32"/>
      <c r="CM504" s="32"/>
      <c r="DJ504" s="32"/>
      <c r="DT504" s="32"/>
      <c r="DY504" s="32"/>
    </row>
    <row r="505" spans="2:129" ht="15.75" customHeight="1" x14ac:dyDescent="0.2">
      <c r="B505" s="32"/>
      <c r="C505" s="32"/>
      <c r="AF505" s="32"/>
      <c r="BL505" s="32"/>
      <c r="BX505" s="32"/>
      <c r="CC505" s="32"/>
      <c r="CK505" s="32"/>
      <c r="CM505" s="32"/>
      <c r="DJ505" s="32"/>
      <c r="DT505" s="32"/>
      <c r="DY505" s="32"/>
    </row>
    <row r="506" spans="2:129" ht="15.75" customHeight="1" x14ac:dyDescent="0.2">
      <c r="B506" s="32"/>
      <c r="C506" s="32"/>
      <c r="AF506" s="32"/>
      <c r="BL506" s="32"/>
      <c r="BX506" s="32"/>
      <c r="CC506" s="32"/>
      <c r="CK506" s="32"/>
      <c r="CM506" s="32"/>
      <c r="DJ506" s="32"/>
      <c r="DT506" s="32"/>
      <c r="DY506" s="32"/>
    </row>
    <row r="507" spans="2:129" ht="15.75" customHeight="1" x14ac:dyDescent="0.2">
      <c r="B507" s="32"/>
      <c r="C507" s="32"/>
      <c r="AF507" s="32"/>
      <c r="BL507" s="32"/>
      <c r="BX507" s="32"/>
      <c r="CC507" s="32"/>
      <c r="CK507" s="32"/>
      <c r="CM507" s="32"/>
      <c r="DJ507" s="32"/>
      <c r="DT507" s="32"/>
      <c r="DY507" s="32"/>
    </row>
    <row r="508" spans="2:129" ht="15.75" customHeight="1" x14ac:dyDescent="0.2">
      <c r="B508" s="32"/>
      <c r="C508" s="32"/>
      <c r="AF508" s="32"/>
      <c r="BL508" s="32"/>
      <c r="BX508" s="32"/>
      <c r="CC508" s="32"/>
      <c r="CK508" s="32"/>
      <c r="CM508" s="32"/>
      <c r="DJ508" s="32"/>
      <c r="DT508" s="32"/>
      <c r="DY508" s="32"/>
    </row>
    <row r="509" spans="2:129" ht="15.75" customHeight="1" x14ac:dyDescent="0.2">
      <c r="B509" s="32"/>
      <c r="C509" s="32"/>
      <c r="AF509" s="32"/>
      <c r="BL509" s="32"/>
      <c r="BX509" s="32"/>
      <c r="CC509" s="32"/>
      <c r="CK509" s="32"/>
      <c r="CM509" s="32"/>
      <c r="DJ509" s="32"/>
      <c r="DT509" s="32"/>
      <c r="DY509" s="32"/>
    </row>
    <row r="510" spans="2:129" ht="15.75" customHeight="1" x14ac:dyDescent="0.2">
      <c r="B510" s="32"/>
      <c r="C510" s="32"/>
      <c r="AF510" s="32"/>
      <c r="BL510" s="32"/>
      <c r="BX510" s="32"/>
      <c r="CC510" s="32"/>
      <c r="CK510" s="32"/>
      <c r="CM510" s="32"/>
      <c r="DJ510" s="32"/>
      <c r="DT510" s="32"/>
      <c r="DY510" s="32"/>
    </row>
    <row r="511" spans="2:129" ht="15.75" customHeight="1" x14ac:dyDescent="0.2">
      <c r="B511" s="32"/>
      <c r="C511" s="32"/>
      <c r="AF511" s="32"/>
      <c r="BL511" s="32"/>
      <c r="BX511" s="32"/>
      <c r="CC511" s="32"/>
      <c r="CK511" s="32"/>
      <c r="CM511" s="32"/>
      <c r="DJ511" s="32"/>
      <c r="DT511" s="32"/>
      <c r="DY511" s="32"/>
    </row>
    <row r="512" spans="2:129" ht="15.75" customHeight="1" x14ac:dyDescent="0.2">
      <c r="B512" s="32"/>
      <c r="C512" s="32"/>
      <c r="AF512" s="32"/>
      <c r="BL512" s="32"/>
      <c r="BX512" s="32"/>
      <c r="CC512" s="32"/>
      <c r="CK512" s="32"/>
      <c r="CM512" s="32"/>
      <c r="DJ512" s="32"/>
      <c r="DT512" s="32"/>
      <c r="DY512" s="32"/>
    </row>
    <row r="513" spans="2:129" ht="15.75" customHeight="1" x14ac:dyDescent="0.2">
      <c r="B513" s="32"/>
      <c r="C513" s="32"/>
      <c r="AF513" s="32"/>
      <c r="BL513" s="32"/>
      <c r="BX513" s="32"/>
      <c r="CC513" s="32"/>
      <c r="CK513" s="32"/>
      <c r="CM513" s="32"/>
      <c r="DJ513" s="32"/>
      <c r="DT513" s="32"/>
      <c r="DY513" s="32"/>
    </row>
    <row r="514" spans="2:129" ht="15.75" customHeight="1" x14ac:dyDescent="0.2">
      <c r="B514" s="32"/>
      <c r="C514" s="32"/>
      <c r="AF514" s="32"/>
      <c r="BL514" s="32"/>
      <c r="BX514" s="32"/>
      <c r="CC514" s="32"/>
      <c r="CK514" s="32"/>
      <c r="CM514" s="32"/>
      <c r="DJ514" s="32"/>
      <c r="DT514" s="32"/>
      <c r="DY514" s="32"/>
    </row>
    <row r="515" spans="2:129" ht="15.75" customHeight="1" x14ac:dyDescent="0.2">
      <c r="B515" s="32"/>
      <c r="C515" s="32"/>
      <c r="AF515" s="32"/>
      <c r="BL515" s="32"/>
      <c r="BX515" s="32"/>
      <c r="CC515" s="32"/>
      <c r="CK515" s="32"/>
      <c r="CM515" s="32"/>
      <c r="DJ515" s="32"/>
      <c r="DT515" s="32"/>
      <c r="DY515" s="32"/>
    </row>
    <row r="516" spans="2:129" ht="15.75" customHeight="1" x14ac:dyDescent="0.2">
      <c r="B516" s="32"/>
      <c r="C516" s="32"/>
      <c r="AF516" s="32"/>
      <c r="BL516" s="32"/>
      <c r="BX516" s="32"/>
      <c r="CC516" s="32"/>
      <c r="CK516" s="32"/>
      <c r="CM516" s="32"/>
      <c r="DJ516" s="32"/>
      <c r="DT516" s="32"/>
      <c r="DY516" s="32"/>
    </row>
    <row r="517" spans="2:129" ht="15.75" customHeight="1" x14ac:dyDescent="0.2">
      <c r="B517" s="32"/>
      <c r="C517" s="32"/>
      <c r="AF517" s="32"/>
      <c r="BL517" s="32"/>
      <c r="BX517" s="32"/>
      <c r="CC517" s="32"/>
      <c r="CK517" s="32"/>
      <c r="CM517" s="32"/>
      <c r="DJ517" s="32"/>
      <c r="DT517" s="32"/>
      <c r="DY517" s="32"/>
    </row>
    <row r="518" spans="2:129" ht="15.75" customHeight="1" x14ac:dyDescent="0.2">
      <c r="B518" s="32"/>
      <c r="C518" s="32"/>
      <c r="AF518" s="32"/>
      <c r="BL518" s="32"/>
      <c r="BX518" s="32"/>
      <c r="CC518" s="32"/>
      <c r="CK518" s="32"/>
      <c r="CM518" s="32"/>
      <c r="DJ518" s="32"/>
      <c r="DT518" s="32"/>
      <c r="DY518" s="32"/>
    </row>
    <row r="519" spans="2:129" ht="15.75" customHeight="1" x14ac:dyDescent="0.2">
      <c r="B519" s="32"/>
      <c r="C519" s="32"/>
      <c r="AF519" s="32"/>
      <c r="BL519" s="32"/>
      <c r="BX519" s="32"/>
      <c r="CC519" s="32"/>
      <c r="CK519" s="32"/>
      <c r="CM519" s="32"/>
      <c r="DJ519" s="32"/>
      <c r="DT519" s="32"/>
      <c r="DY519" s="32"/>
    </row>
    <row r="520" spans="2:129" ht="15.75" customHeight="1" x14ac:dyDescent="0.2">
      <c r="B520" s="32"/>
      <c r="C520" s="32"/>
      <c r="AF520" s="32"/>
      <c r="BL520" s="32"/>
      <c r="BX520" s="32"/>
      <c r="CC520" s="32"/>
      <c r="CK520" s="32"/>
      <c r="CM520" s="32"/>
      <c r="DJ520" s="32"/>
      <c r="DT520" s="32"/>
      <c r="DY520" s="32"/>
    </row>
    <row r="521" spans="2:129" ht="15.75" customHeight="1" x14ac:dyDescent="0.2">
      <c r="B521" s="32"/>
      <c r="C521" s="32"/>
      <c r="AF521" s="32"/>
      <c r="BL521" s="32"/>
      <c r="BX521" s="32"/>
      <c r="CC521" s="32"/>
      <c r="CK521" s="32"/>
      <c r="CM521" s="32"/>
      <c r="DJ521" s="32"/>
      <c r="DT521" s="32"/>
      <c r="DY521" s="32"/>
    </row>
    <row r="522" spans="2:129" ht="15.75" customHeight="1" x14ac:dyDescent="0.2">
      <c r="B522" s="32"/>
      <c r="C522" s="32"/>
      <c r="AF522" s="32"/>
      <c r="BL522" s="32"/>
      <c r="BX522" s="32"/>
      <c r="CC522" s="32"/>
      <c r="CK522" s="32"/>
      <c r="CM522" s="32"/>
      <c r="DJ522" s="32"/>
      <c r="DT522" s="32"/>
      <c r="DY522" s="32"/>
    </row>
    <row r="523" spans="2:129" ht="15.75" customHeight="1" x14ac:dyDescent="0.2">
      <c r="B523" s="32"/>
      <c r="C523" s="32"/>
      <c r="AF523" s="32"/>
      <c r="BL523" s="32"/>
      <c r="BX523" s="32"/>
      <c r="CC523" s="32"/>
      <c r="CK523" s="32"/>
      <c r="CM523" s="32"/>
      <c r="DJ523" s="32"/>
      <c r="DT523" s="32"/>
      <c r="DY523" s="32"/>
    </row>
    <row r="524" spans="2:129" ht="15.75" customHeight="1" x14ac:dyDescent="0.2">
      <c r="B524" s="32"/>
      <c r="C524" s="32"/>
      <c r="AF524" s="32"/>
      <c r="BL524" s="32"/>
      <c r="BX524" s="32"/>
      <c r="CC524" s="32"/>
      <c r="CK524" s="32"/>
      <c r="CM524" s="32"/>
      <c r="DJ524" s="32"/>
      <c r="DT524" s="32"/>
      <c r="DY524" s="32"/>
    </row>
    <row r="525" spans="2:129" ht="15.75" customHeight="1" x14ac:dyDescent="0.2">
      <c r="B525" s="32"/>
      <c r="C525" s="32"/>
      <c r="AF525" s="32"/>
      <c r="BL525" s="32"/>
      <c r="BX525" s="32"/>
      <c r="CC525" s="32"/>
      <c r="CK525" s="32"/>
      <c r="CM525" s="32"/>
      <c r="DJ525" s="32"/>
      <c r="DT525" s="32"/>
      <c r="DY525" s="32"/>
    </row>
    <row r="526" spans="2:129" ht="15.75" customHeight="1" x14ac:dyDescent="0.2">
      <c r="B526" s="32"/>
      <c r="C526" s="32"/>
      <c r="AF526" s="32"/>
      <c r="BL526" s="32"/>
      <c r="BX526" s="32"/>
      <c r="CC526" s="32"/>
      <c r="CK526" s="32"/>
      <c r="CM526" s="32"/>
      <c r="DJ526" s="32"/>
      <c r="DT526" s="32"/>
      <c r="DY526" s="32"/>
    </row>
    <row r="527" spans="2:129" ht="15.75" customHeight="1" x14ac:dyDescent="0.2">
      <c r="B527" s="32"/>
      <c r="C527" s="32"/>
      <c r="AF527" s="32"/>
      <c r="BL527" s="32"/>
      <c r="BX527" s="32"/>
      <c r="CC527" s="32"/>
      <c r="CK527" s="32"/>
      <c r="CM527" s="32"/>
      <c r="DJ527" s="32"/>
      <c r="DT527" s="32"/>
      <c r="DY527" s="32"/>
    </row>
    <row r="528" spans="2:129" ht="15.75" customHeight="1" x14ac:dyDescent="0.2">
      <c r="B528" s="32"/>
      <c r="C528" s="32"/>
      <c r="AF528" s="32"/>
      <c r="BL528" s="32"/>
      <c r="BX528" s="32"/>
      <c r="CC528" s="32"/>
      <c r="CK528" s="32"/>
      <c r="CM528" s="32"/>
      <c r="DJ528" s="32"/>
      <c r="DT528" s="32"/>
      <c r="DY528" s="32"/>
    </row>
    <row r="529" spans="2:129" ht="15.75" customHeight="1" x14ac:dyDescent="0.2">
      <c r="B529" s="32"/>
      <c r="C529" s="32"/>
      <c r="AF529" s="32"/>
      <c r="BL529" s="32"/>
      <c r="BX529" s="32"/>
      <c r="CC529" s="32"/>
      <c r="CK529" s="32"/>
      <c r="CM529" s="32"/>
      <c r="DJ529" s="32"/>
      <c r="DT529" s="32"/>
      <c r="DY529" s="32"/>
    </row>
    <row r="530" spans="2:129" ht="15.75" customHeight="1" x14ac:dyDescent="0.2">
      <c r="B530" s="32"/>
      <c r="C530" s="32"/>
      <c r="AF530" s="32"/>
      <c r="BL530" s="32"/>
      <c r="BX530" s="32"/>
      <c r="CC530" s="32"/>
      <c r="CK530" s="32"/>
      <c r="CM530" s="32"/>
      <c r="DJ530" s="32"/>
      <c r="DT530" s="32"/>
      <c r="DY530" s="32"/>
    </row>
    <row r="531" spans="2:129" ht="15.75" customHeight="1" x14ac:dyDescent="0.2">
      <c r="B531" s="32"/>
      <c r="C531" s="32"/>
      <c r="AF531" s="32"/>
      <c r="BL531" s="32"/>
      <c r="BX531" s="32"/>
      <c r="CC531" s="32"/>
      <c r="CK531" s="32"/>
      <c r="CM531" s="32"/>
      <c r="DJ531" s="32"/>
      <c r="DT531" s="32"/>
      <c r="DY531" s="32"/>
    </row>
    <row r="532" spans="2:129" ht="15.75" customHeight="1" x14ac:dyDescent="0.2">
      <c r="B532" s="32"/>
      <c r="C532" s="32"/>
      <c r="AF532" s="32"/>
      <c r="BL532" s="32"/>
      <c r="BX532" s="32"/>
      <c r="CC532" s="32"/>
      <c r="CK532" s="32"/>
      <c r="CM532" s="32"/>
      <c r="DJ532" s="32"/>
      <c r="DT532" s="32"/>
      <c r="DY532" s="32"/>
    </row>
    <row r="533" spans="2:129" ht="15.75" customHeight="1" x14ac:dyDescent="0.2">
      <c r="B533" s="32"/>
      <c r="C533" s="32"/>
      <c r="AF533" s="32"/>
      <c r="BL533" s="32"/>
      <c r="BX533" s="32"/>
      <c r="CC533" s="32"/>
      <c r="CK533" s="32"/>
      <c r="CM533" s="32"/>
      <c r="DJ533" s="32"/>
      <c r="DT533" s="32"/>
      <c r="DY533" s="32"/>
    </row>
    <row r="534" spans="2:129" ht="15.75" customHeight="1" x14ac:dyDescent="0.2">
      <c r="B534" s="32"/>
      <c r="C534" s="32"/>
      <c r="AF534" s="32"/>
      <c r="BL534" s="32"/>
      <c r="BX534" s="32"/>
      <c r="CC534" s="32"/>
      <c r="CK534" s="32"/>
      <c r="CM534" s="32"/>
      <c r="DJ534" s="32"/>
      <c r="DT534" s="32"/>
      <c r="DY534" s="32"/>
    </row>
    <row r="535" spans="2:129" ht="15.75" customHeight="1" x14ac:dyDescent="0.2">
      <c r="B535" s="32"/>
      <c r="C535" s="32"/>
      <c r="AF535" s="32"/>
      <c r="BL535" s="32"/>
      <c r="BX535" s="32"/>
      <c r="CC535" s="32"/>
      <c r="CK535" s="32"/>
      <c r="CM535" s="32"/>
      <c r="DJ535" s="32"/>
      <c r="DT535" s="32"/>
      <c r="DY535" s="32"/>
    </row>
    <row r="536" spans="2:129" ht="15.75" customHeight="1" x14ac:dyDescent="0.2">
      <c r="B536" s="32"/>
      <c r="C536" s="32"/>
      <c r="AF536" s="32"/>
      <c r="BL536" s="32"/>
      <c r="BX536" s="32"/>
      <c r="CC536" s="32"/>
      <c r="CK536" s="32"/>
      <c r="CM536" s="32"/>
      <c r="DJ536" s="32"/>
      <c r="DT536" s="32"/>
      <c r="DY536" s="32"/>
    </row>
    <row r="537" spans="2:129" ht="15.75" customHeight="1" x14ac:dyDescent="0.2">
      <c r="B537" s="32"/>
      <c r="C537" s="32"/>
      <c r="AF537" s="32"/>
      <c r="BL537" s="32"/>
      <c r="BX537" s="32"/>
      <c r="CC537" s="32"/>
      <c r="CK537" s="32"/>
      <c r="CM537" s="32"/>
      <c r="DJ537" s="32"/>
      <c r="DT537" s="32"/>
      <c r="DY537" s="32"/>
    </row>
    <row r="538" spans="2:129" ht="15.75" customHeight="1" x14ac:dyDescent="0.2">
      <c r="B538" s="32"/>
      <c r="C538" s="32"/>
      <c r="AF538" s="32"/>
      <c r="BL538" s="32"/>
      <c r="BX538" s="32"/>
      <c r="CC538" s="32"/>
      <c r="CK538" s="32"/>
      <c r="CM538" s="32"/>
      <c r="DJ538" s="32"/>
      <c r="DT538" s="32"/>
      <c r="DY538" s="32"/>
    </row>
    <row r="539" spans="2:129" ht="15.75" customHeight="1" x14ac:dyDescent="0.2">
      <c r="B539" s="32"/>
      <c r="C539" s="32"/>
      <c r="AF539" s="32"/>
      <c r="BL539" s="32"/>
      <c r="BX539" s="32"/>
      <c r="CC539" s="32"/>
      <c r="CK539" s="32"/>
      <c r="CM539" s="32"/>
      <c r="DJ539" s="32"/>
      <c r="DT539" s="32"/>
      <c r="DY539" s="32"/>
    </row>
    <row r="540" spans="2:129" ht="15.75" customHeight="1" x14ac:dyDescent="0.2">
      <c r="B540" s="32"/>
      <c r="C540" s="32"/>
      <c r="AF540" s="32"/>
      <c r="BL540" s="32"/>
      <c r="BX540" s="32"/>
      <c r="CC540" s="32"/>
      <c r="CK540" s="32"/>
      <c r="CM540" s="32"/>
      <c r="DJ540" s="32"/>
      <c r="DT540" s="32"/>
      <c r="DY540" s="32"/>
    </row>
    <row r="541" spans="2:129" ht="15.75" customHeight="1" x14ac:dyDescent="0.2">
      <c r="B541" s="32"/>
      <c r="C541" s="32"/>
      <c r="AF541" s="32"/>
      <c r="BL541" s="32"/>
      <c r="BX541" s="32"/>
      <c r="CC541" s="32"/>
      <c r="CK541" s="32"/>
      <c r="CM541" s="32"/>
      <c r="DJ541" s="32"/>
      <c r="DT541" s="32"/>
      <c r="DY541" s="32"/>
    </row>
    <row r="542" spans="2:129" ht="15.75" customHeight="1" x14ac:dyDescent="0.2">
      <c r="B542" s="32"/>
      <c r="C542" s="32"/>
      <c r="AF542" s="32"/>
      <c r="BL542" s="32"/>
      <c r="BX542" s="32"/>
      <c r="CC542" s="32"/>
      <c r="CK542" s="32"/>
      <c r="CM542" s="32"/>
      <c r="DJ542" s="32"/>
      <c r="DT542" s="32"/>
      <c r="DY542" s="32"/>
    </row>
    <row r="543" spans="2:129" ht="15.75" customHeight="1" x14ac:dyDescent="0.2">
      <c r="B543" s="32"/>
      <c r="C543" s="32"/>
      <c r="AF543" s="32"/>
      <c r="BL543" s="32"/>
      <c r="BX543" s="32"/>
      <c r="CC543" s="32"/>
      <c r="CK543" s="32"/>
      <c r="CM543" s="32"/>
      <c r="DJ543" s="32"/>
      <c r="DT543" s="32"/>
      <c r="DY543" s="32"/>
    </row>
    <row r="544" spans="2:129" ht="15.75" customHeight="1" x14ac:dyDescent="0.2">
      <c r="B544" s="32"/>
      <c r="C544" s="32"/>
      <c r="AF544" s="32"/>
      <c r="BL544" s="32"/>
      <c r="BX544" s="32"/>
      <c r="CC544" s="32"/>
      <c r="CK544" s="32"/>
      <c r="CM544" s="32"/>
      <c r="DJ544" s="32"/>
      <c r="DT544" s="32"/>
      <c r="DY544" s="32"/>
    </row>
    <row r="545" spans="2:129" ht="15.75" customHeight="1" x14ac:dyDescent="0.2">
      <c r="B545" s="32"/>
      <c r="C545" s="32"/>
      <c r="AF545" s="32"/>
      <c r="BL545" s="32"/>
      <c r="BX545" s="32"/>
      <c r="CC545" s="32"/>
      <c r="CK545" s="32"/>
      <c r="CM545" s="32"/>
      <c r="DJ545" s="32"/>
      <c r="DT545" s="32"/>
      <c r="DY545" s="32"/>
    </row>
    <row r="546" spans="2:129" ht="15.75" customHeight="1" x14ac:dyDescent="0.2">
      <c r="B546" s="32"/>
      <c r="C546" s="32"/>
      <c r="AF546" s="32"/>
      <c r="BL546" s="32"/>
      <c r="BX546" s="32"/>
      <c r="CC546" s="32"/>
      <c r="CK546" s="32"/>
      <c r="CM546" s="32"/>
      <c r="DJ546" s="32"/>
      <c r="DT546" s="32"/>
      <c r="DY546" s="32"/>
    </row>
    <row r="547" spans="2:129" ht="15.75" customHeight="1" x14ac:dyDescent="0.2">
      <c r="B547" s="32"/>
      <c r="C547" s="32"/>
      <c r="AF547" s="32"/>
      <c r="BL547" s="32"/>
      <c r="BX547" s="32"/>
      <c r="CC547" s="32"/>
      <c r="CK547" s="32"/>
      <c r="CM547" s="32"/>
      <c r="DJ547" s="32"/>
      <c r="DT547" s="32"/>
      <c r="DY547" s="32"/>
    </row>
    <row r="548" spans="2:129" ht="15.75" customHeight="1" x14ac:dyDescent="0.2">
      <c r="B548" s="32"/>
      <c r="C548" s="32"/>
      <c r="AF548" s="32"/>
      <c r="BL548" s="32"/>
      <c r="BX548" s="32"/>
      <c r="CC548" s="32"/>
      <c r="CK548" s="32"/>
      <c r="CM548" s="32"/>
      <c r="DJ548" s="32"/>
      <c r="DT548" s="32"/>
      <c r="DY548" s="32"/>
    </row>
    <row r="549" spans="2:129" ht="15.75" customHeight="1" x14ac:dyDescent="0.2">
      <c r="B549" s="32"/>
      <c r="C549" s="32"/>
      <c r="AF549" s="32"/>
      <c r="BL549" s="32"/>
      <c r="BX549" s="32"/>
      <c r="CC549" s="32"/>
      <c r="CK549" s="32"/>
      <c r="CM549" s="32"/>
      <c r="DJ549" s="32"/>
      <c r="DT549" s="32"/>
      <c r="DY549" s="32"/>
    </row>
    <row r="550" spans="2:129" ht="15.75" customHeight="1" x14ac:dyDescent="0.2">
      <c r="B550" s="32"/>
      <c r="C550" s="32"/>
      <c r="AF550" s="32"/>
      <c r="BL550" s="32"/>
      <c r="BX550" s="32"/>
      <c r="CC550" s="32"/>
      <c r="CK550" s="32"/>
      <c r="CM550" s="32"/>
      <c r="DJ550" s="32"/>
      <c r="DT550" s="32"/>
      <c r="DY550" s="32"/>
    </row>
    <row r="551" spans="2:129" ht="15.75" customHeight="1" x14ac:dyDescent="0.2">
      <c r="B551" s="32"/>
      <c r="C551" s="32"/>
      <c r="AF551" s="32"/>
      <c r="BL551" s="32"/>
      <c r="BX551" s="32"/>
      <c r="CC551" s="32"/>
      <c r="CK551" s="32"/>
      <c r="CM551" s="32"/>
      <c r="DJ551" s="32"/>
      <c r="DT551" s="32"/>
      <c r="DY551" s="32"/>
    </row>
    <row r="552" spans="2:129" ht="15.75" customHeight="1" x14ac:dyDescent="0.2">
      <c r="B552" s="32"/>
      <c r="C552" s="32"/>
      <c r="AF552" s="32"/>
      <c r="BL552" s="32"/>
      <c r="BX552" s="32"/>
      <c r="CC552" s="32"/>
      <c r="CK552" s="32"/>
      <c r="CM552" s="32"/>
      <c r="DJ552" s="32"/>
      <c r="DT552" s="32"/>
      <c r="DY552" s="32"/>
    </row>
    <row r="553" spans="2:129" ht="15.75" customHeight="1" x14ac:dyDescent="0.2">
      <c r="B553" s="32"/>
      <c r="C553" s="32"/>
      <c r="AF553" s="32"/>
      <c r="BL553" s="32"/>
      <c r="BX553" s="32"/>
      <c r="CC553" s="32"/>
      <c r="CK553" s="32"/>
      <c r="CM553" s="32"/>
      <c r="DJ553" s="32"/>
      <c r="DT553" s="32"/>
      <c r="DY553" s="32"/>
    </row>
    <row r="554" spans="2:129" ht="15.75" customHeight="1" x14ac:dyDescent="0.2">
      <c r="B554" s="32"/>
      <c r="C554" s="32"/>
      <c r="AF554" s="32"/>
      <c r="BL554" s="32"/>
      <c r="BX554" s="32"/>
      <c r="CC554" s="32"/>
      <c r="CK554" s="32"/>
      <c r="CM554" s="32"/>
      <c r="DJ554" s="32"/>
      <c r="DT554" s="32"/>
      <c r="DY554" s="32"/>
    </row>
    <row r="555" spans="2:129" ht="15.75" customHeight="1" x14ac:dyDescent="0.2">
      <c r="B555" s="32"/>
      <c r="C555" s="32"/>
      <c r="AF555" s="32"/>
      <c r="BL555" s="32"/>
      <c r="BX555" s="32"/>
      <c r="CC555" s="32"/>
      <c r="CK555" s="32"/>
      <c r="CM555" s="32"/>
      <c r="DJ555" s="32"/>
      <c r="DT555" s="32"/>
      <c r="DY555" s="32"/>
    </row>
    <row r="556" spans="2:129" ht="15.75" customHeight="1" x14ac:dyDescent="0.2">
      <c r="B556" s="32"/>
      <c r="C556" s="32"/>
      <c r="AF556" s="32"/>
      <c r="BL556" s="32"/>
      <c r="BX556" s="32"/>
      <c r="CC556" s="32"/>
      <c r="CK556" s="32"/>
      <c r="CM556" s="32"/>
      <c r="DJ556" s="32"/>
      <c r="DT556" s="32"/>
      <c r="DY556" s="32"/>
    </row>
    <row r="557" spans="2:129" ht="15.75" customHeight="1" x14ac:dyDescent="0.2">
      <c r="B557" s="32"/>
      <c r="C557" s="32"/>
      <c r="AF557" s="32"/>
      <c r="BL557" s="32"/>
      <c r="BX557" s="32"/>
      <c r="CC557" s="32"/>
      <c r="CK557" s="32"/>
      <c r="CM557" s="32"/>
      <c r="DJ557" s="32"/>
      <c r="DT557" s="32"/>
      <c r="DY557" s="32"/>
    </row>
    <row r="558" spans="2:129" ht="15.75" customHeight="1" x14ac:dyDescent="0.2">
      <c r="B558" s="32"/>
      <c r="C558" s="32"/>
      <c r="AF558" s="32"/>
      <c r="BL558" s="32"/>
      <c r="BX558" s="32"/>
      <c r="CC558" s="32"/>
      <c r="CK558" s="32"/>
      <c r="CM558" s="32"/>
      <c r="DJ558" s="32"/>
      <c r="DT558" s="32"/>
      <c r="DY558" s="32"/>
    </row>
    <row r="559" spans="2:129" ht="15.75" customHeight="1" x14ac:dyDescent="0.2">
      <c r="B559" s="32"/>
      <c r="C559" s="32"/>
      <c r="AF559" s="32"/>
      <c r="BL559" s="32"/>
      <c r="BX559" s="32"/>
      <c r="CC559" s="32"/>
      <c r="CK559" s="32"/>
      <c r="CM559" s="32"/>
      <c r="DJ559" s="32"/>
      <c r="DT559" s="32"/>
      <c r="DY559" s="32"/>
    </row>
    <row r="560" spans="2:129" ht="15.75" customHeight="1" x14ac:dyDescent="0.2">
      <c r="B560" s="32"/>
      <c r="C560" s="32"/>
      <c r="AF560" s="32"/>
      <c r="BL560" s="32"/>
      <c r="BX560" s="32"/>
      <c r="CC560" s="32"/>
      <c r="CK560" s="32"/>
      <c r="CM560" s="32"/>
      <c r="DJ560" s="32"/>
      <c r="DT560" s="32"/>
      <c r="DY560" s="32"/>
    </row>
    <row r="561" spans="2:129" ht="15.75" customHeight="1" x14ac:dyDescent="0.2">
      <c r="B561" s="32"/>
      <c r="C561" s="32"/>
      <c r="AF561" s="32"/>
      <c r="BL561" s="32"/>
      <c r="BX561" s="32"/>
      <c r="CC561" s="32"/>
      <c r="CK561" s="32"/>
      <c r="CM561" s="32"/>
      <c r="DJ561" s="32"/>
      <c r="DT561" s="32"/>
      <c r="DY561" s="32"/>
    </row>
    <row r="562" spans="2:129" ht="15.75" customHeight="1" x14ac:dyDescent="0.2">
      <c r="B562" s="32"/>
      <c r="C562" s="32"/>
      <c r="AF562" s="32"/>
      <c r="BL562" s="32"/>
      <c r="BX562" s="32"/>
      <c r="CC562" s="32"/>
      <c r="CK562" s="32"/>
      <c r="CM562" s="32"/>
      <c r="DJ562" s="32"/>
      <c r="DT562" s="32"/>
      <c r="DY562" s="32"/>
    </row>
    <row r="563" spans="2:129" ht="15.75" customHeight="1" x14ac:dyDescent="0.2">
      <c r="B563" s="32"/>
      <c r="C563" s="32"/>
      <c r="AF563" s="32"/>
      <c r="BL563" s="32"/>
      <c r="BX563" s="32"/>
      <c r="CC563" s="32"/>
      <c r="CK563" s="32"/>
      <c r="CM563" s="32"/>
      <c r="DJ563" s="32"/>
      <c r="DT563" s="32"/>
      <c r="DY563" s="32"/>
    </row>
    <row r="564" spans="2:129" ht="15.75" customHeight="1" x14ac:dyDescent="0.2">
      <c r="B564" s="32"/>
      <c r="C564" s="32"/>
      <c r="AF564" s="32"/>
      <c r="BL564" s="32"/>
      <c r="BX564" s="32"/>
      <c r="CC564" s="32"/>
      <c r="CK564" s="32"/>
      <c r="CM564" s="32"/>
      <c r="DJ564" s="32"/>
      <c r="DT564" s="32"/>
      <c r="DY564" s="32"/>
    </row>
    <row r="565" spans="2:129" ht="15.75" customHeight="1" x14ac:dyDescent="0.2">
      <c r="B565" s="32"/>
      <c r="C565" s="32"/>
      <c r="AF565" s="32"/>
      <c r="BL565" s="32"/>
      <c r="BX565" s="32"/>
      <c r="CC565" s="32"/>
      <c r="CK565" s="32"/>
      <c r="CM565" s="32"/>
      <c r="DJ565" s="32"/>
      <c r="DT565" s="32"/>
      <c r="DY565" s="32"/>
    </row>
    <row r="566" spans="2:129" ht="15.75" customHeight="1" x14ac:dyDescent="0.2">
      <c r="B566" s="32"/>
      <c r="C566" s="32"/>
      <c r="AF566" s="32"/>
      <c r="BL566" s="32"/>
      <c r="BX566" s="32"/>
      <c r="CC566" s="32"/>
      <c r="CK566" s="32"/>
      <c r="CM566" s="32"/>
      <c r="DJ566" s="32"/>
      <c r="DT566" s="32"/>
      <c r="DY566" s="32"/>
    </row>
    <row r="567" spans="2:129" ht="15.75" customHeight="1" x14ac:dyDescent="0.2">
      <c r="B567" s="32"/>
      <c r="C567" s="32"/>
      <c r="AF567" s="32"/>
      <c r="BL567" s="32"/>
      <c r="BX567" s="32"/>
      <c r="CC567" s="32"/>
      <c r="CK567" s="32"/>
      <c r="CM567" s="32"/>
      <c r="DJ567" s="32"/>
      <c r="DT567" s="32"/>
      <c r="DY567" s="32"/>
    </row>
    <row r="568" spans="2:129" ht="15.75" customHeight="1" x14ac:dyDescent="0.2">
      <c r="B568" s="32"/>
      <c r="C568" s="32"/>
      <c r="AF568" s="32"/>
      <c r="BL568" s="32"/>
      <c r="BX568" s="32"/>
      <c r="CC568" s="32"/>
      <c r="CK568" s="32"/>
      <c r="CM568" s="32"/>
      <c r="DJ568" s="32"/>
      <c r="DT568" s="32"/>
      <c r="DY568" s="32"/>
    </row>
    <row r="569" spans="2:129" ht="15.75" customHeight="1" x14ac:dyDescent="0.2">
      <c r="B569" s="32"/>
      <c r="C569" s="32"/>
      <c r="AF569" s="32"/>
      <c r="BL569" s="32"/>
      <c r="BX569" s="32"/>
      <c r="CC569" s="32"/>
      <c r="CK569" s="32"/>
      <c r="CM569" s="32"/>
      <c r="DJ569" s="32"/>
      <c r="DT569" s="32"/>
      <c r="DY569" s="32"/>
    </row>
    <row r="570" spans="2:129" ht="15.75" customHeight="1" x14ac:dyDescent="0.2">
      <c r="B570" s="32"/>
      <c r="C570" s="32"/>
      <c r="AF570" s="32"/>
      <c r="BL570" s="32"/>
      <c r="BX570" s="32"/>
      <c r="CC570" s="32"/>
      <c r="CK570" s="32"/>
      <c r="CM570" s="32"/>
      <c r="DJ570" s="32"/>
      <c r="DT570" s="32"/>
      <c r="DY570" s="32"/>
    </row>
    <row r="571" spans="2:129" ht="15.75" customHeight="1" x14ac:dyDescent="0.2">
      <c r="B571" s="32"/>
      <c r="C571" s="32"/>
      <c r="AF571" s="32"/>
      <c r="BL571" s="32"/>
      <c r="BX571" s="32"/>
      <c r="CC571" s="32"/>
      <c r="CK571" s="32"/>
      <c r="CM571" s="32"/>
      <c r="DJ571" s="32"/>
      <c r="DT571" s="32"/>
      <c r="DY571" s="32"/>
    </row>
    <row r="572" spans="2:129" ht="15.75" customHeight="1" x14ac:dyDescent="0.2">
      <c r="B572" s="32"/>
      <c r="C572" s="32"/>
      <c r="AF572" s="32"/>
      <c r="BL572" s="32"/>
      <c r="BX572" s="32"/>
      <c r="CC572" s="32"/>
      <c r="CK572" s="32"/>
      <c r="CM572" s="32"/>
      <c r="DJ572" s="32"/>
      <c r="DT572" s="32"/>
      <c r="DY572" s="32"/>
    </row>
    <row r="573" spans="2:129" ht="15.75" customHeight="1" x14ac:dyDescent="0.2">
      <c r="B573" s="32"/>
      <c r="C573" s="32"/>
      <c r="AF573" s="32"/>
      <c r="BL573" s="32"/>
      <c r="BX573" s="32"/>
      <c r="CC573" s="32"/>
      <c r="CK573" s="32"/>
      <c r="CM573" s="32"/>
      <c r="DJ573" s="32"/>
      <c r="DT573" s="32"/>
      <c r="DY573" s="32"/>
    </row>
    <row r="574" spans="2:129" ht="15.75" customHeight="1" x14ac:dyDescent="0.2">
      <c r="B574" s="32"/>
      <c r="C574" s="32"/>
      <c r="AF574" s="32"/>
      <c r="BL574" s="32"/>
      <c r="BX574" s="32"/>
      <c r="CC574" s="32"/>
      <c r="CK574" s="32"/>
      <c r="CM574" s="32"/>
      <c r="DJ574" s="32"/>
      <c r="DT574" s="32"/>
      <c r="DY574" s="32"/>
    </row>
    <row r="575" spans="2:129" ht="15.75" customHeight="1" x14ac:dyDescent="0.2">
      <c r="B575" s="32"/>
      <c r="C575" s="32"/>
      <c r="AF575" s="32"/>
      <c r="BL575" s="32"/>
      <c r="BX575" s="32"/>
      <c r="CC575" s="32"/>
      <c r="CK575" s="32"/>
      <c r="CM575" s="32"/>
      <c r="DJ575" s="32"/>
      <c r="DT575" s="32"/>
      <c r="DY575" s="32"/>
    </row>
    <row r="576" spans="2:129" ht="15.75" customHeight="1" x14ac:dyDescent="0.2">
      <c r="B576" s="32"/>
      <c r="C576" s="32"/>
      <c r="AF576" s="32"/>
      <c r="BL576" s="32"/>
      <c r="BX576" s="32"/>
      <c r="CC576" s="32"/>
      <c r="CK576" s="32"/>
      <c r="CM576" s="32"/>
      <c r="DJ576" s="32"/>
      <c r="DT576" s="32"/>
      <c r="DY576" s="32"/>
    </row>
    <row r="577" spans="2:129" ht="15.75" customHeight="1" x14ac:dyDescent="0.2">
      <c r="B577" s="32"/>
      <c r="C577" s="32"/>
      <c r="AF577" s="32"/>
      <c r="BL577" s="32"/>
      <c r="BX577" s="32"/>
      <c r="CC577" s="32"/>
      <c r="CK577" s="32"/>
      <c r="CM577" s="32"/>
      <c r="DJ577" s="32"/>
      <c r="DT577" s="32"/>
      <c r="DY577" s="32"/>
    </row>
    <row r="578" spans="2:129" ht="15.75" customHeight="1" x14ac:dyDescent="0.2">
      <c r="B578" s="32"/>
      <c r="C578" s="32"/>
      <c r="AF578" s="32"/>
      <c r="BL578" s="32"/>
      <c r="BX578" s="32"/>
      <c r="CC578" s="32"/>
      <c r="CK578" s="32"/>
      <c r="CM578" s="32"/>
      <c r="DJ578" s="32"/>
      <c r="DT578" s="32"/>
      <c r="DY578" s="32"/>
    </row>
    <row r="579" spans="2:129" ht="15.75" customHeight="1" x14ac:dyDescent="0.2">
      <c r="B579" s="32"/>
      <c r="C579" s="32"/>
      <c r="AF579" s="32"/>
      <c r="BL579" s="32"/>
      <c r="BX579" s="32"/>
      <c r="CC579" s="32"/>
      <c r="CK579" s="32"/>
      <c r="CM579" s="32"/>
      <c r="DJ579" s="32"/>
      <c r="DT579" s="32"/>
      <c r="DY579" s="32"/>
    </row>
    <row r="580" spans="2:129" ht="15.75" customHeight="1" x14ac:dyDescent="0.2">
      <c r="B580" s="32"/>
      <c r="C580" s="32"/>
      <c r="AF580" s="32"/>
      <c r="BL580" s="32"/>
      <c r="BX580" s="32"/>
      <c r="CC580" s="32"/>
      <c r="CK580" s="32"/>
      <c r="CM580" s="32"/>
      <c r="DJ580" s="32"/>
      <c r="DT580" s="32"/>
      <c r="DY580" s="32"/>
    </row>
    <row r="581" spans="2:129" ht="15.75" customHeight="1" x14ac:dyDescent="0.2">
      <c r="B581" s="32"/>
      <c r="C581" s="32"/>
      <c r="AF581" s="32"/>
      <c r="BL581" s="32"/>
      <c r="BX581" s="32"/>
      <c r="CC581" s="32"/>
      <c r="CK581" s="32"/>
      <c r="CM581" s="32"/>
      <c r="DJ581" s="32"/>
      <c r="DT581" s="32"/>
      <c r="DY581" s="32"/>
    </row>
    <row r="582" spans="2:129" ht="15.75" customHeight="1" x14ac:dyDescent="0.2">
      <c r="B582" s="32"/>
      <c r="C582" s="32"/>
      <c r="AF582" s="32"/>
      <c r="BL582" s="32"/>
      <c r="BX582" s="32"/>
      <c r="CC582" s="32"/>
      <c r="CK582" s="32"/>
      <c r="CM582" s="32"/>
      <c r="DJ582" s="32"/>
      <c r="DT582" s="32"/>
      <c r="DY582" s="32"/>
    </row>
    <row r="583" spans="2:129" ht="15.75" customHeight="1" x14ac:dyDescent="0.2">
      <c r="B583" s="32"/>
      <c r="C583" s="32"/>
      <c r="AF583" s="32"/>
      <c r="BL583" s="32"/>
      <c r="BX583" s="32"/>
      <c r="CC583" s="32"/>
      <c r="CK583" s="32"/>
      <c r="CM583" s="32"/>
      <c r="DJ583" s="32"/>
      <c r="DT583" s="32"/>
      <c r="DY583" s="32"/>
    </row>
    <row r="584" spans="2:129" ht="15.75" customHeight="1" x14ac:dyDescent="0.2">
      <c r="B584" s="32"/>
      <c r="C584" s="32"/>
      <c r="AF584" s="32"/>
      <c r="BL584" s="32"/>
      <c r="BX584" s="32"/>
      <c r="CC584" s="32"/>
      <c r="CK584" s="32"/>
      <c r="CM584" s="32"/>
      <c r="DJ584" s="32"/>
      <c r="DT584" s="32"/>
      <c r="DY584" s="32"/>
    </row>
    <row r="585" spans="2:129" ht="15.75" customHeight="1" x14ac:dyDescent="0.2">
      <c r="B585" s="32"/>
      <c r="C585" s="32"/>
      <c r="AF585" s="32"/>
      <c r="BL585" s="32"/>
      <c r="BX585" s="32"/>
      <c r="CC585" s="32"/>
      <c r="CK585" s="32"/>
      <c r="CM585" s="32"/>
      <c r="DJ585" s="32"/>
      <c r="DT585" s="32"/>
      <c r="DY585" s="32"/>
    </row>
    <row r="586" spans="2:129" ht="15.75" customHeight="1" x14ac:dyDescent="0.2">
      <c r="B586" s="32"/>
      <c r="C586" s="32"/>
      <c r="AF586" s="32"/>
      <c r="BL586" s="32"/>
      <c r="BX586" s="32"/>
      <c r="CC586" s="32"/>
      <c r="CK586" s="32"/>
      <c r="CM586" s="32"/>
      <c r="DJ586" s="32"/>
      <c r="DT586" s="32"/>
      <c r="DY586" s="32"/>
    </row>
    <row r="587" spans="2:129" ht="15.75" customHeight="1" x14ac:dyDescent="0.2">
      <c r="B587" s="32"/>
      <c r="C587" s="32"/>
      <c r="AF587" s="32"/>
      <c r="BL587" s="32"/>
      <c r="BX587" s="32"/>
      <c r="CC587" s="32"/>
      <c r="CK587" s="32"/>
      <c r="CM587" s="32"/>
      <c r="DJ587" s="32"/>
      <c r="DT587" s="32"/>
      <c r="DY587" s="32"/>
    </row>
    <row r="588" spans="2:129" ht="15.75" customHeight="1" x14ac:dyDescent="0.2">
      <c r="B588" s="32"/>
      <c r="C588" s="32"/>
      <c r="AF588" s="32"/>
      <c r="BL588" s="32"/>
      <c r="BX588" s="32"/>
      <c r="CC588" s="32"/>
      <c r="CK588" s="32"/>
      <c r="CM588" s="32"/>
      <c r="DJ588" s="32"/>
      <c r="DT588" s="32"/>
      <c r="DY588" s="32"/>
    </row>
    <row r="589" spans="2:129" ht="15.75" customHeight="1" x14ac:dyDescent="0.2">
      <c r="B589" s="32"/>
      <c r="C589" s="32"/>
      <c r="AF589" s="32"/>
      <c r="BL589" s="32"/>
      <c r="BX589" s="32"/>
      <c r="CC589" s="32"/>
      <c r="CK589" s="32"/>
      <c r="CM589" s="32"/>
      <c r="DJ589" s="32"/>
      <c r="DT589" s="32"/>
      <c r="DY589" s="32"/>
    </row>
    <row r="590" spans="2:129" ht="15.75" customHeight="1" x14ac:dyDescent="0.2">
      <c r="B590" s="32"/>
      <c r="C590" s="32"/>
      <c r="AF590" s="32"/>
      <c r="BL590" s="32"/>
      <c r="BX590" s="32"/>
      <c r="CC590" s="32"/>
      <c r="CK590" s="32"/>
      <c r="CM590" s="32"/>
      <c r="DJ590" s="32"/>
      <c r="DT590" s="32"/>
      <c r="DY590" s="32"/>
    </row>
    <row r="591" spans="2:129" ht="15.75" customHeight="1" x14ac:dyDescent="0.2">
      <c r="B591" s="32"/>
      <c r="C591" s="32"/>
      <c r="AF591" s="32"/>
      <c r="BL591" s="32"/>
      <c r="BX591" s="32"/>
      <c r="CC591" s="32"/>
      <c r="CK591" s="32"/>
      <c r="CM591" s="32"/>
      <c r="DJ591" s="32"/>
      <c r="DT591" s="32"/>
      <c r="DY591" s="32"/>
    </row>
    <row r="592" spans="2:129" ht="15.75" customHeight="1" x14ac:dyDescent="0.2">
      <c r="B592" s="32"/>
      <c r="C592" s="32"/>
      <c r="AF592" s="32"/>
      <c r="BL592" s="32"/>
      <c r="BX592" s="32"/>
      <c r="CC592" s="32"/>
      <c r="CK592" s="32"/>
      <c r="CM592" s="32"/>
      <c r="DJ592" s="32"/>
      <c r="DT592" s="32"/>
      <c r="DY592" s="32"/>
    </row>
    <row r="593" spans="2:129" ht="15.75" customHeight="1" x14ac:dyDescent="0.2">
      <c r="B593" s="32"/>
      <c r="C593" s="32"/>
      <c r="AF593" s="32"/>
      <c r="BL593" s="32"/>
      <c r="BX593" s="32"/>
      <c r="CC593" s="32"/>
      <c r="CK593" s="32"/>
      <c r="CM593" s="32"/>
      <c r="DJ593" s="32"/>
      <c r="DT593" s="32"/>
      <c r="DY593" s="32"/>
    </row>
    <row r="594" spans="2:129" ht="15.75" customHeight="1" x14ac:dyDescent="0.2">
      <c r="B594" s="32"/>
      <c r="C594" s="32"/>
      <c r="AF594" s="32"/>
      <c r="BL594" s="32"/>
      <c r="BX594" s="32"/>
      <c r="CC594" s="32"/>
      <c r="CK594" s="32"/>
      <c r="CM594" s="32"/>
      <c r="DJ594" s="32"/>
      <c r="DT594" s="32"/>
      <c r="DY594" s="32"/>
    </row>
    <row r="595" spans="2:129" ht="15.75" customHeight="1" x14ac:dyDescent="0.2">
      <c r="B595" s="32"/>
      <c r="C595" s="32"/>
      <c r="AF595" s="32"/>
      <c r="BL595" s="32"/>
      <c r="BX595" s="32"/>
      <c r="CC595" s="32"/>
      <c r="CK595" s="32"/>
      <c r="CM595" s="32"/>
      <c r="DJ595" s="32"/>
      <c r="DT595" s="32"/>
      <c r="DY595" s="32"/>
    </row>
    <row r="596" spans="2:129" ht="15.75" customHeight="1" x14ac:dyDescent="0.2">
      <c r="B596" s="32"/>
      <c r="C596" s="32"/>
      <c r="AF596" s="32"/>
      <c r="BL596" s="32"/>
      <c r="BX596" s="32"/>
      <c r="CC596" s="32"/>
      <c r="CK596" s="32"/>
      <c r="CM596" s="32"/>
      <c r="DJ596" s="32"/>
      <c r="DT596" s="32"/>
      <c r="DY596" s="32"/>
    </row>
    <row r="597" spans="2:129" ht="15.75" customHeight="1" x14ac:dyDescent="0.2">
      <c r="B597" s="32"/>
      <c r="C597" s="32"/>
      <c r="AF597" s="32"/>
      <c r="BL597" s="32"/>
      <c r="BX597" s="32"/>
      <c r="CC597" s="32"/>
      <c r="CK597" s="32"/>
      <c r="CM597" s="32"/>
      <c r="DJ597" s="32"/>
      <c r="DT597" s="32"/>
      <c r="DY597" s="32"/>
    </row>
    <row r="598" spans="2:129" ht="15.75" customHeight="1" x14ac:dyDescent="0.2">
      <c r="B598" s="32"/>
      <c r="C598" s="32"/>
      <c r="AF598" s="32"/>
      <c r="BL598" s="32"/>
      <c r="BX598" s="32"/>
      <c r="CC598" s="32"/>
      <c r="CK598" s="32"/>
      <c r="CM598" s="32"/>
      <c r="DJ598" s="32"/>
      <c r="DT598" s="32"/>
      <c r="DY598" s="32"/>
    </row>
    <row r="599" spans="2:129" ht="15.75" customHeight="1" x14ac:dyDescent="0.2">
      <c r="B599" s="32"/>
      <c r="C599" s="32"/>
      <c r="AF599" s="32"/>
      <c r="BL599" s="32"/>
      <c r="BX599" s="32"/>
      <c r="CC599" s="32"/>
      <c r="CK599" s="32"/>
      <c r="CM599" s="32"/>
      <c r="DJ599" s="32"/>
      <c r="DT599" s="32"/>
      <c r="DY599" s="32"/>
    </row>
    <row r="600" spans="2:129" ht="15.75" customHeight="1" x14ac:dyDescent="0.2">
      <c r="B600" s="32"/>
      <c r="C600" s="32"/>
      <c r="AF600" s="32"/>
      <c r="BL600" s="32"/>
      <c r="BX600" s="32"/>
      <c r="CC600" s="32"/>
      <c r="CK600" s="32"/>
      <c r="CM600" s="32"/>
      <c r="DJ600" s="32"/>
      <c r="DT600" s="32"/>
      <c r="DY600" s="32"/>
    </row>
    <row r="601" spans="2:129" ht="15.75" customHeight="1" x14ac:dyDescent="0.2">
      <c r="B601" s="32"/>
      <c r="C601" s="32"/>
      <c r="AF601" s="32"/>
      <c r="BL601" s="32"/>
      <c r="BX601" s="32"/>
      <c r="CC601" s="32"/>
      <c r="CK601" s="32"/>
      <c r="CM601" s="32"/>
      <c r="DJ601" s="32"/>
      <c r="DT601" s="32"/>
      <c r="DY601" s="32"/>
    </row>
    <row r="602" spans="2:129" ht="15.75" customHeight="1" x14ac:dyDescent="0.2">
      <c r="B602" s="32"/>
      <c r="C602" s="32"/>
      <c r="AF602" s="32"/>
      <c r="BL602" s="32"/>
      <c r="BX602" s="32"/>
      <c r="CC602" s="32"/>
      <c r="CK602" s="32"/>
      <c r="CM602" s="32"/>
      <c r="DJ602" s="32"/>
      <c r="DT602" s="32"/>
      <c r="DY602" s="32"/>
    </row>
    <row r="603" spans="2:129" ht="15.75" customHeight="1" x14ac:dyDescent="0.2">
      <c r="B603" s="32"/>
      <c r="C603" s="32"/>
      <c r="AF603" s="32"/>
      <c r="BL603" s="32"/>
      <c r="BX603" s="32"/>
      <c r="CC603" s="32"/>
      <c r="CK603" s="32"/>
      <c r="CM603" s="32"/>
      <c r="DJ603" s="32"/>
      <c r="DT603" s="32"/>
      <c r="DY603" s="32"/>
    </row>
    <row r="604" spans="2:129" ht="15.75" customHeight="1" x14ac:dyDescent="0.2">
      <c r="B604" s="32"/>
      <c r="C604" s="32"/>
      <c r="AF604" s="32"/>
      <c r="BL604" s="32"/>
      <c r="BX604" s="32"/>
      <c r="CC604" s="32"/>
      <c r="CK604" s="32"/>
      <c r="CM604" s="32"/>
      <c r="DJ604" s="32"/>
      <c r="DT604" s="32"/>
      <c r="DY604" s="32"/>
    </row>
    <row r="605" spans="2:129" ht="15.75" customHeight="1" x14ac:dyDescent="0.2">
      <c r="B605" s="32"/>
      <c r="C605" s="32"/>
      <c r="AF605" s="32"/>
      <c r="BL605" s="32"/>
      <c r="BX605" s="32"/>
      <c r="CC605" s="32"/>
      <c r="CK605" s="32"/>
      <c r="CM605" s="32"/>
      <c r="DJ605" s="32"/>
      <c r="DT605" s="32"/>
      <c r="DY605" s="32"/>
    </row>
    <row r="606" spans="2:129" ht="15.75" customHeight="1" x14ac:dyDescent="0.2">
      <c r="B606" s="32"/>
      <c r="C606" s="32"/>
      <c r="AF606" s="32"/>
      <c r="BL606" s="32"/>
      <c r="BX606" s="32"/>
      <c r="CC606" s="32"/>
      <c r="CK606" s="32"/>
      <c r="CM606" s="32"/>
      <c r="DJ606" s="32"/>
      <c r="DT606" s="32"/>
      <c r="DY606" s="32"/>
    </row>
    <row r="607" spans="2:129" ht="15.75" customHeight="1" x14ac:dyDescent="0.2">
      <c r="B607" s="32"/>
      <c r="C607" s="32"/>
      <c r="AF607" s="32"/>
      <c r="BL607" s="32"/>
      <c r="BX607" s="32"/>
      <c r="CC607" s="32"/>
      <c r="CK607" s="32"/>
      <c r="CM607" s="32"/>
      <c r="DJ607" s="32"/>
      <c r="DT607" s="32"/>
      <c r="DY607" s="32"/>
    </row>
    <row r="608" spans="2:129" ht="15.75" customHeight="1" x14ac:dyDescent="0.2">
      <c r="B608" s="32"/>
      <c r="C608" s="32"/>
      <c r="AF608" s="32"/>
      <c r="BL608" s="32"/>
      <c r="BX608" s="32"/>
      <c r="CC608" s="32"/>
      <c r="CK608" s="32"/>
      <c r="CM608" s="32"/>
      <c r="DJ608" s="32"/>
      <c r="DT608" s="32"/>
      <c r="DY608" s="32"/>
    </row>
    <row r="609" spans="2:129" ht="15.75" customHeight="1" x14ac:dyDescent="0.2">
      <c r="B609" s="32"/>
      <c r="C609" s="32"/>
      <c r="AF609" s="32"/>
      <c r="BL609" s="32"/>
      <c r="BX609" s="32"/>
      <c r="CC609" s="32"/>
      <c r="CK609" s="32"/>
      <c r="CM609" s="32"/>
      <c r="DJ609" s="32"/>
      <c r="DT609" s="32"/>
      <c r="DY609" s="32"/>
    </row>
    <row r="610" spans="2:129" ht="15.75" customHeight="1" x14ac:dyDescent="0.2">
      <c r="B610" s="32"/>
      <c r="C610" s="32"/>
      <c r="AF610" s="32"/>
      <c r="BL610" s="32"/>
      <c r="BX610" s="32"/>
      <c r="CC610" s="32"/>
      <c r="CK610" s="32"/>
      <c r="CM610" s="32"/>
      <c r="DJ610" s="32"/>
      <c r="DT610" s="32"/>
      <c r="DY610" s="32"/>
    </row>
    <row r="611" spans="2:129" ht="15.75" customHeight="1" x14ac:dyDescent="0.2">
      <c r="B611" s="32"/>
      <c r="C611" s="32"/>
      <c r="AF611" s="32"/>
      <c r="BL611" s="32"/>
      <c r="BX611" s="32"/>
      <c r="CC611" s="32"/>
      <c r="CK611" s="32"/>
      <c r="CM611" s="32"/>
      <c r="DJ611" s="32"/>
      <c r="DT611" s="32"/>
      <c r="DY611" s="32"/>
    </row>
    <row r="612" spans="2:129" ht="15.75" customHeight="1" x14ac:dyDescent="0.2">
      <c r="B612" s="32"/>
      <c r="C612" s="32"/>
      <c r="AF612" s="32"/>
      <c r="BL612" s="32"/>
      <c r="BX612" s="32"/>
      <c r="CC612" s="32"/>
      <c r="CK612" s="32"/>
      <c r="CM612" s="32"/>
      <c r="DJ612" s="32"/>
      <c r="DT612" s="32"/>
      <c r="DY612" s="32"/>
    </row>
    <row r="613" spans="2:129" ht="15.75" customHeight="1" x14ac:dyDescent="0.2">
      <c r="B613" s="32"/>
      <c r="C613" s="32"/>
      <c r="AF613" s="32"/>
      <c r="BL613" s="32"/>
      <c r="BX613" s="32"/>
      <c r="CC613" s="32"/>
      <c r="CK613" s="32"/>
      <c r="CM613" s="32"/>
      <c r="DJ613" s="32"/>
      <c r="DT613" s="32"/>
      <c r="DY613" s="32"/>
    </row>
    <row r="614" spans="2:129" ht="15.75" customHeight="1" x14ac:dyDescent="0.2">
      <c r="B614" s="32"/>
      <c r="C614" s="32"/>
      <c r="AF614" s="32"/>
      <c r="BL614" s="32"/>
      <c r="BX614" s="32"/>
      <c r="CC614" s="32"/>
      <c r="CK614" s="32"/>
      <c r="CM614" s="32"/>
      <c r="DJ614" s="32"/>
      <c r="DT614" s="32"/>
      <c r="DY614" s="32"/>
    </row>
    <row r="615" spans="2:129" ht="15.75" customHeight="1" x14ac:dyDescent="0.2">
      <c r="B615" s="32"/>
      <c r="C615" s="32"/>
      <c r="AF615" s="32"/>
      <c r="BL615" s="32"/>
      <c r="BX615" s="32"/>
      <c r="CC615" s="32"/>
      <c r="CK615" s="32"/>
      <c r="CM615" s="32"/>
      <c r="DJ615" s="32"/>
      <c r="DT615" s="32"/>
      <c r="DY615" s="32"/>
    </row>
    <row r="616" spans="2:129" ht="15.75" customHeight="1" x14ac:dyDescent="0.2">
      <c r="B616" s="32"/>
      <c r="C616" s="32"/>
      <c r="AF616" s="32"/>
      <c r="BL616" s="32"/>
      <c r="BX616" s="32"/>
      <c r="CC616" s="32"/>
      <c r="CK616" s="32"/>
      <c r="CM616" s="32"/>
      <c r="DJ616" s="32"/>
      <c r="DT616" s="32"/>
      <c r="DY616" s="32"/>
    </row>
    <row r="617" spans="2:129" ht="15.75" customHeight="1" x14ac:dyDescent="0.2">
      <c r="B617" s="32"/>
      <c r="C617" s="32"/>
      <c r="AF617" s="32"/>
      <c r="BL617" s="32"/>
      <c r="BX617" s="32"/>
      <c r="CC617" s="32"/>
      <c r="CK617" s="32"/>
      <c r="CM617" s="32"/>
      <c r="DJ617" s="32"/>
      <c r="DT617" s="32"/>
      <c r="DY617" s="32"/>
    </row>
    <row r="618" spans="2:129" ht="15.75" customHeight="1" x14ac:dyDescent="0.2">
      <c r="B618" s="32"/>
      <c r="C618" s="32"/>
      <c r="AF618" s="32"/>
      <c r="BL618" s="32"/>
      <c r="BX618" s="32"/>
      <c r="CC618" s="32"/>
      <c r="CK618" s="32"/>
      <c r="CM618" s="32"/>
      <c r="DJ618" s="32"/>
      <c r="DT618" s="32"/>
      <c r="DY618" s="32"/>
    </row>
    <row r="619" spans="2:129" ht="15.75" customHeight="1" x14ac:dyDescent="0.2">
      <c r="B619" s="32"/>
      <c r="C619" s="32"/>
      <c r="AF619" s="32"/>
      <c r="BL619" s="32"/>
      <c r="BX619" s="32"/>
      <c r="CC619" s="32"/>
      <c r="CK619" s="32"/>
      <c r="CM619" s="32"/>
      <c r="DJ619" s="32"/>
      <c r="DT619" s="32"/>
      <c r="DY619" s="32"/>
    </row>
    <row r="620" spans="2:129" ht="15.75" customHeight="1" x14ac:dyDescent="0.2">
      <c r="B620" s="32"/>
      <c r="C620" s="32"/>
      <c r="AF620" s="32"/>
      <c r="BL620" s="32"/>
      <c r="BX620" s="32"/>
      <c r="CC620" s="32"/>
      <c r="CK620" s="32"/>
      <c r="CM620" s="32"/>
      <c r="DJ620" s="32"/>
      <c r="DT620" s="32"/>
      <c r="DY620" s="32"/>
    </row>
    <row r="621" spans="2:129" ht="15.75" customHeight="1" x14ac:dyDescent="0.2">
      <c r="B621" s="32"/>
      <c r="C621" s="32"/>
      <c r="AF621" s="32"/>
      <c r="BL621" s="32"/>
      <c r="BX621" s="32"/>
      <c r="CC621" s="32"/>
      <c r="CK621" s="32"/>
      <c r="CM621" s="32"/>
      <c r="DJ621" s="32"/>
      <c r="DT621" s="32"/>
      <c r="DY621" s="32"/>
    </row>
    <row r="622" spans="2:129" ht="15.75" customHeight="1" x14ac:dyDescent="0.2">
      <c r="B622" s="32"/>
      <c r="C622" s="32"/>
      <c r="AF622" s="32"/>
      <c r="BL622" s="32"/>
      <c r="BX622" s="32"/>
      <c r="CC622" s="32"/>
      <c r="CK622" s="32"/>
      <c r="CM622" s="32"/>
      <c r="DJ622" s="32"/>
      <c r="DT622" s="32"/>
      <c r="DY622" s="32"/>
    </row>
    <row r="623" spans="2:129" ht="15.75" customHeight="1" x14ac:dyDescent="0.2">
      <c r="B623" s="32"/>
      <c r="C623" s="32"/>
      <c r="AF623" s="32"/>
      <c r="BL623" s="32"/>
      <c r="BX623" s="32"/>
      <c r="CC623" s="32"/>
      <c r="CK623" s="32"/>
      <c r="CM623" s="32"/>
      <c r="DJ623" s="32"/>
      <c r="DT623" s="32"/>
      <c r="DY623" s="32"/>
    </row>
    <row r="624" spans="2:129" ht="15.75" customHeight="1" x14ac:dyDescent="0.2">
      <c r="B624" s="32"/>
      <c r="C624" s="32"/>
      <c r="AF624" s="32"/>
      <c r="BL624" s="32"/>
      <c r="BX624" s="32"/>
      <c r="CC624" s="32"/>
      <c r="CK624" s="32"/>
      <c r="CM624" s="32"/>
      <c r="DJ624" s="32"/>
      <c r="DT624" s="32"/>
      <c r="DY624" s="32"/>
    </row>
    <row r="625" spans="2:129" ht="15.75" customHeight="1" x14ac:dyDescent="0.2">
      <c r="B625" s="32"/>
      <c r="C625" s="32"/>
      <c r="AF625" s="32"/>
      <c r="BL625" s="32"/>
      <c r="BX625" s="32"/>
      <c r="CC625" s="32"/>
      <c r="CK625" s="32"/>
      <c r="CM625" s="32"/>
      <c r="DJ625" s="32"/>
      <c r="DT625" s="32"/>
      <c r="DY625" s="32"/>
    </row>
    <row r="626" spans="2:129" ht="15.75" customHeight="1" x14ac:dyDescent="0.2">
      <c r="B626" s="32"/>
      <c r="C626" s="32"/>
      <c r="AF626" s="32"/>
      <c r="BL626" s="32"/>
      <c r="BX626" s="32"/>
      <c r="CC626" s="32"/>
      <c r="CK626" s="32"/>
      <c r="CM626" s="32"/>
      <c r="DJ626" s="32"/>
      <c r="DT626" s="32"/>
      <c r="DY626" s="32"/>
    </row>
    <row r="627" spans="2:129" ht="15.75" customHeight="1" x14ac:dyDescent="0.2">
      <c r="B627" s="32"/>
      <c r="C627" s="32"/>
      <c r="AF627" s="32"/>
      <c r="BL627" s="32"/>
      <c r="BX627" s="32"/>
      <c r="CC627" s="32"/>
      <c r="CK627" s="32"/>
      <c r="CM627" s="32"/>
      <c r="DJ627" s="32"/>
      <c r="DT627" s="32"/>
      <c r="DY627" s="32"/>
    </row>
    <row r="628" spans="2:129" ht="15.75" customHeight="1" x14ac:dyDescent="0.2">
      <c r="B628" s="32"/>
      <c r="C628" s="32"/>
      <c r="AF628" s="32"/>
      <c r="BL628" s="32"/>
      <c r="BX628" s="32"/>
      <c r="CC628" s="32"/>
      <c r="CK628" s="32"/>
      <c r="CM628" s="32"/>
      <c r="DJ628" s="32"/>
      <c r="DT628" s="32"/>
      <c r="DY628" s="32"/>
    </row>
    <row r="629" spans="2:129" ht="15.75" customHeight="1" x14ac:dyDescent="0.2">
      <c r="B629" s="32"/>
      <c r="C629" s="32"/>
      <c r="AF629" s="32"/>
      <c r="BL629" s="32"/>
      <c r="BX629" s="32"/>
      <c r="CC629" s="32"/>
      <c r="CK629" s="32"/>
      <c r="CM629" s="32"/>
      <c r="DJ629" s="32"/>
      <c r="DT629" s="32"/>
      <c r="DY629" s="32"/>
    </row>
    <row r="630" spans="2:129" ht="15.75" customHeight="1" x14ac:dyDescent="0.2">
      <c r="B630" s="32"/>
      <c r="C630" s="32"/>
      <c r="AF630" s="32"/>
      <c r="BL630" s="32"/>
      <c r="BX630" s="32"/>
      <c r="CC630" s="32"/>
      <c r="CK630" s="32"/>
      <c r="CM630" s="32"/>
      <c r="DJ630" s="32"/>
      <c r="DT630" s="32"/>
      <c r="DY630" s="32"/>
    </row>
    <row r="631" spans="2:129" ht="15.75" customHeight="1" x14ac:dyDescent="0.2">
      <c r="B631" s="32"/>
      <c r="C631" s="32"/>
      <c r="AF631" s="32"/>
      <c r="BL631" s="32"/>
      <c r="BX631" s="32"/>
      <c r="CC631" s="32"/>
      <c r="CK631" s="32"/>
      <c r="CM631" s="32"/>
      <c r="DJ631" s="32"/>
      <c r="DT631" s="32"/>
      <c r="DY631" s="32"/>
    </row>
    <row r="632" spans="2:129" ht="15.75" customHeight="1" x14ac:dyDescent="0.2">
      <c r="B632" s="32"/>
      <c r="C632" s="32"/>
      <c r="AF632" s="32"/>
      <c r="BL632" s="32"/>
      <c r="BX632" s="32"/>
      <c r="CC632" s="32"/>
      <c r="CK632" s="32"/>
      <c r="CM632" s="32"/>
      <c r="DJ632" s="32"/>
      <c r="DT632" s="32"/>
      <c r="DY632" s="32"/>
    </row>
    <row r="633" spans="2:129" ht="15.75" customHeight="1" x14ac:dyDescent="0.2">
      <c r="B633" s="32"/>
      <c r="C633" s="32"/>
      <c r="AF633" s="32"/>
      <c r="BL633" s="32"/>
      <c r="BX633" s="32"/>
      <c r="CC633" s="32"/>
      <c r="CK633" s="32"/>
      <c r="CM633" s="32"/>
      <c r="DJ633" s="32"/>
      <c r="DT633" s="32"/>
      <c r="DY633" s="32"/>
    </row>
    <row r="634" spans="2:129" ht="15.75" customHeight="1" x14ac:dyDescent="0.2">
      <c r="B634" s="32"/>
      <c r="C634" s="32"/>
      <c r="AF634" s="32"/>
      <c r="BL634" s="32"/>
      <c r="BX634" s="32"/>
      <c r="CC634" s="32"/>
      <c r="CK634" s="32"/>
      <c r="CM634" s="32"/>
      <c r="DJ634" s="32"/>
      <c r="DT634" s="32"/>
      <c r="DY634" s="32"/>
    </row>
    <row r="635" spans="2:129" ht="15.75" customHeight="1" x14ac:dyDescent="0.2">
      <c r="B635" s="32"/>
      <c r="C635" s="32"/>
      <c r="AF635" s="32"/>
      <c r="BL635" s="32"/>
      <c r="BX635" s="32"/>
      <c r="CC635" s="32"/>
      <c r="CK635" s="32"/>
      <c r="CM635" s="32"/>
      <c r="DJ635" s="32"/>
      <c r="DT635" s="32"/>
      <c r="DY635" s="32"/>
    </row>
    <row r="636" spans="2:129" ht="15.75" customHeight="1" x14ac:dyDescent="0.2">
      <c r="B636" s="32"/>
      <c r="C636" s="32"/>
      <c r="AF636" s="32"/>
      <c r="BL636" s="32"/>
      <c r="BX636" s="32"/>
      <c r="CC636" s="32"/>
      <c r="CK636" s="32"/>
      <c r="CM636" s="32"/>
      <c r="DJ636" s="32"/>
      <c r="DT636" s="32"/>
      <c r="DY636" s="32"/>
    </row>
    <row r="637" spans="2:129" ht="15.75" customHeight="1" x14ac:dyDescent="0.2">
      <c r="B637" s="32"/>
      <c r="C637" s="32"/>
      <c r="AF637" s="32"/>
      <c r="BL637" s="32"/>
      <c r="BX637" s="32"/>
      <c r="CC637" s="32"/>
      <c r="CK637" s="32"/>
      <c r="CM637" s="32"/>
      <c r="DJ637" s="32"/>
      <c r="DT637" s="32"/>
      <c r="DY637" s="32"/>
    </row>
    <row r="638" spans="2:129" ht="15.75" customHeight="1" x14ac:dyDescent="0.2">
      <c r="B638" s="32"/>
      <c r="C638" s="32"/>
      <c r="AF638" s="32"/>
      <c r="BL638" s="32"/>
      <c r="BX638" s="32"/>
      <c r="CC638" s="32"/>
      <c r="CK638" s="32"/>
      <c r="CM638" s="32"/>
      <c r="DJ638" s="32"/>
      <c r="DT638" s="32"/>
      <c r="DY638" s="32"/>
    </row>
    <row r="639" spans="2:129" ht="15.75" customHeight="1" x14ac:dyDescent="0.2">
      <c r="B639" s="32"/>
      <c r="C639" s="32"/>
      <c r="AF639" s="32"/>
      <c r="BL639" s="32"/>
      <c r="BX639" s="32"/>
      <c r="CC639" s="32"/>
      <c r="CK639" s="32"/>
      <c r="CM639" s="32"/>
      <c r="DJ639" s="32"/>
      <c r="DT639" s="32"/>
      <c r="DY639" s="32"/>
    </row>
    <row r="640" spans="2:129" ht="15.75" customHeight="1" x14ac:dyDescent="0.2">
      <c r="B640" s="32"/>
      <c r="C640" s="32"/>
      <c r="AF640" s="32"/>
      <c r="BL640" s="32"/>
      <c r="BX640" s="32"/>
      <c r="CC640" s="32"/>
      <c r="CK640" s="32"/>
      <c r="CM640" s="32"/>
      <c r="DJ640" s="32"/>
      <c r="DT640" s="32"/>
      <c r="DY640" s="32"/>
    </row>
    <row r="641" spans="2:129" ht="15.75" customHeight="1" x14ac:dyDescent="0.2">
      <c r="B641" s="32"/>
      <c r="C641" s="32"/>
      <c r="AF641" s="32"/>
      <c r="BL641" s="32"/>
      <c r="BX641" s="32"/>
      <c r="CC641" s="32"/>
      <c r="CK641" s="32"/>
      <c r="CM641" s="32"/>
      <c r="DJ641" s="32"/>
      <c r="DT641" s="32"/>
      <c r="DY641" s="32"/>
    </row>
    <row r="642" spans="2:129" ht="15.75" customHeight="1" x14ac:dyDescent="0.2">
      <c r="B642" s="32"/>
      <c r="C642" s="32"/>
      <c r="AF642" s="32"/>
      <c r="BL642" s="32"/>
      <c r="BX642" s="32"/>
      <c r="CC642" s="32"/>
      <c r="CK642" s="32"/>
      <c r="CM642" s="32"/>
      <c r="DJ642" s="32"/>
      <c r="DT642" s="32"/>
      <c r="DY642" s="32"/>
    </row>
    <row r="643" spans="2:129" ht="15.75" customHeight="1" x14ac:dyDescent="0.2">
      <c r="B643" s="32"/>
      <c r="C643" s="32"/>
      <c r="AF643" s="32"/>
      <c r="BL643" s="32"/>
      <c r="BX643" s="32"/>
      <c r="CC643" s="32"/>
      <c r="CK643" s="32"/>
      <c r="CM643" s="32"/>
      <c r="DJ643" s="32"/>
      <c r="DT643" s="32"/>
      <c r="DY643" s="32"/>
    </row>
    <row r="644" spans="2:129" ht="15.75" customHeight="1" x14ac:dyDescent="0.2">
      <c r="B644" s="32"/>
      <c r="C644" s="32"/>
      <c r="AF644" s="32"/>
      <c r="BL644" s="32"/>
      <c r="BX644" s="32"/>
      <c r="CC644" s="32"/>
      <c r="CK644" s="32"/>
      <c r="CM644" s="32"/>
      <c r="DJ644" s="32"/>
      <c r="DT644" s="32"/>
      <c r="DY644" s="32"/>
    </row>
    <row r="645" spans="2:129" ht="15.75" customHeight="1" x14ac:dyDescent="0.2">
      <c r="B645" s="32"/>
      <c r="C645" s="32"/>
      <c r="AF645" s="32"/>
      <c r="BL645" s="32"/>
      <c r="BX645" s="32"/>
      <c r="CC645" s="32"/>
      <c r="CK645" s="32"/>
      <c r="CM645" s="32"/>
      <c r="DJ645" s="32"/>
      <c r="DT645" s="32"/>
      <c r="DY645" s="32"/>
    </row>
    <row r="646" spans="2:129" ht="15.75" customHeight="1" x14ac:dyDescent="0.2">
      <c r="B646" s="32"/>
      <c r="C646" s="32"/>
      <c r="AF646" s="32"/>
      <c r="BL646" s="32"/>
      <c r="BX646" s="32"/>
      <c r="CC646" s="32"/>
      <c r="CK646" s="32"/>
      <c r="CM646" s="32"/>
      <c r="DJ646" s="32"/>
      <c r="DT646" s="32"/>
      <c r="DY646" s="32"/>
    </row>
    <row r="647" spans="2:129" ht="15.75" customHeight="1" x14ac:dyDescent="0.2">
      <c r="B647" s="32"/>
      <c r="C647" s="32"/>
      <c r="AF647" s="32"/>
      <c r="BL647" s="32"/>
      <c r="BX647" s="32"/>
      <c r="CC647" s="32"/>
      <c r="CK647" s="32"/>
      <c r="CM647" s="32"/>
      <c r="DJ647" s="32"/>
      <c r="DT647" s="32"/>
      <c r="DY647" s="32"/>
    </row>
    <row r="648" spans="2:129" ht="15.75" customHeight="1" x14ac:dyDescent="0.2">
      <c r="B648" s="32"/>
      <c r="C648" s="32"/>
      <c r="AF648" s="32"/>
      <c r="BL648" s="32"/>
      <c r="BX648" s="32"/>
      <c r="CC648" s="32"/>
      <c r="CK648" s="32"/>
      <c r="CM648" s="32"/>
      <c r="DJ648" s="32"/>
      <c r="DT648" s="32"/>
      <c r="DY648" s="32"/>
    </row>
    <row r="649" spans="2:129" ht="15.75" customHeight="1" x14ac:dyDescent="0.2">
      <c r="B649" s="32"/>
      <c r="C649" s="32"/>
      <c r="AF649" s="32"/>
      <c r="BL649" s="32"/>
      <c r="BX649" s="32"/>
      <c r="CC649" s="32"/>
      <c r="CK649" s="32"/>
      <c r="CM649" s="32"/>
      <c r="DJ649" s="32"/>
      <c r="DT649" s="32"/>
      <c r="DY649" s="32"/>
    </row>
    <row r="650" spans="2:129" ht="15.75" customHeight="1" x14ac:dyDescent="0.2">
      <c r="B650" s="32"/>
      <c r="C650" s="32"/>
      <c r="AF650" s="32"/>
      <c r="BL650" s="32"/>
      <c r="BX650" s="32"/>
      <c r="CC650" s="32"/>
      <c r="CK650" s="32"/>
      <c r="CM650" s="32"/>
      <c r="DJ650" s="32"/>
      <c r="DT650" s="32"/>
      <c r="DY650" s="32"/>
    </row>
    <row r="651" spans="2:129" ht="15.75" customHeight="1" x14ac:dyDescent="0.2">
      <c r="B651" s="32"/>
      <c r="C651" s="32"/>
      <c r="AF651" s="32"/>
      <c r="BL651" s="32"/>
      <c r="BX651" s="32"/>
      <c r="CC651" s="32"/>
      <c r="CK651" s="32"/>
      <c r="CM651" s="32"/>
      <c r="DJ651" s="32"/>
      <c r="DT651" s="32"/>
      <c r="DY651" s="32"/>
    </row>
    <row r="652" spans="2:129" ht="15.75" customHeight="1" x14ac:dyDescent="0.2">
      <c r="B652" s="32"/>
      <c r="C652" s="32"/>
      <c r="AF652" s="32"/>
      <c r="BL652" s="32"/>
      <c r="BX652" s="32"/>
      <c r="CC652" s="32"/>
      <c r="CK652" s="32"/>
      <c r="CM652" s="32"/>
      <c r="DJ652" s="32"/>
      <c r="DT652" s="32"/>
      <c r="DY652" s="32"/>
    </row>
    <row r="653" spans="2:129" ht="15.75" customHeight="1" x14ac:dyDescent="0.2">
      <c r="B653" s="32"/>
      <c r="C653" s="32"/>
      <c r="AF653" s="32"/>
      <c r="BL653" s="32"/>
      <c r="BX653" s="32"/>
      <c r="CC653" s="32"/>
      <c r="CK653" s="32"/>
      <c r="CM653" s="32"/>
      <c r="DJ653" s="32"/>
      <c r="DT653" s="32"/>
      <c r="DY653" s="32"/>
    </row>
    <row r="654" spans="2:129" ht="15.75" customHeight="1" x14ac:dyDescent="0.2">
      <c r="B654" s="32"/>
      <c r="C654" s="32"/>
      <c r="AF654" s="32"/>
      <c r="BL654" s="32"/>
      <c r="BX654" s="32"/>
      <c r="CC654" s="32"/>
      <c r="CK654" s="32"/>
      <c r="CM654" s="32"/>
      <c r="DJ654" s="32"/>
      <c r="DT654" s="32"/>
      <c r="DY654" s="32"/>
    </row>
    <row r="655" spans="2:129" ht="15.75" customHeight="1" x14ac:dyDescent="0.2">
      <c r="B655" s="32"/>
      <c r="C655" s="32"/>
      <c r="AF655" s="32"/>
      <c r="BL655" s="32"/>
      <c r="BX655" s="32"/>
      <c r="CC655" s="32"/>
      <c r="CK655" s="32"/>
      <c r="CM655" s="32"/>
      <c r="DJ655" s="32"/>
      <c r="DT655" s="32"/>
      <c r="DY655" s="32"/>
    </row>
    <row r="656" spans="2:129" ht="15.75" customHeight="1" x14ac:dyDescent="0.2">
      <c r="B656" s="32"/>
      <c r="C656" s="32"/>
      <c r="AF656" s="32"/>
      <c r="BL656" s="32"/>
      <c r="BX656" s="32"/>
      <c r="CC656" s="32"/>
      <c r="CK656" s="32"/>
      <c r="CM656" s="32"/>
      <c r="DJ656" s="32"/>
      <c r="DT656" s="32"/>
      <c r="DY656" s="32"/>
    </row>
    <row r="657" spans="2:129" ht="15.75" customHeight="1" x14ac:dyDescent="0.2">
      <c r="B657" s="32"/>
      <c r="C657" s="32"/>
      <c r="AF657" s="32"/>
      <c r="BL657" s="32"/>
      <c r="BX657" s="32"/>
      <c r="CC657" s="32"/>
      <c r="CK657" s="32"/>
      <c r="CM657" s="32"/>
      <c r="DJ657" s="32"/>
      <c r="DT657" s="32"/>
      <c r="DY657" s="32"/>
    </row>
    <row r="658" spans="2:129" ht="15.75" customHeight="1" x14ac:dyDescent="0.2">
      <c r="B658" s="32"/>
      <c r="C658" s="32"/>
      <c r="AF658" s="32"/>
      <c r="BL658" s="32"/>
      <c r="BX658" s="32"/>
      <c r="CC658" s="32"/>
      <c r="CK658" s="32"/>
      <c r="CM658" s="32"/>
      <c r="DJ658" s="32"/>
      <c r="DT658" s="32"/>
      <c r="DY658" s="32"/>
    </row>
    <row r="659" spans="2:129" ht="15.75" customHeight="1" x14ac:dyDescent="0.2">
      <c r="B659" s="32"/>
      <c r="C659" s="32"/>
      <c r="AF659" s="32"/>
      <c r="BL659" s="32"/>
      <c r="BX659" s="32"/>
      <c r="CC659" s="32"/>
      <c r="CK659" s="32"/>
      <c r="CM659" s="32"/>
      <c r="DJ659" s="32"/>
      <c r="DT659" s="32"/>
      <c r="DY659" s="32"/>
    </row>
    <row r="660" spans="2:129" ht="15.75" customHeight="1" x14ac:dyDescent="0.2">
      <c r="B660" s="32"/>
      <c r="C660" s="32"/>
      <c r="AF660" s="32"/>
      <c r="BL660" s="32"/>
      <c r="BX660" s="32"/>
      <c r="CC660" s="32"/>
      <c r="CK660" s="32"/>
      <c r="CM660" s="32"/>
      <c r="DJ660" s="32"/>
      <c r="DT660" s="32"/>
      <c r="DY660" s="32"/>
    </row>
    <row r="661" spans="2:129" ht="15.75" customHeight="1" x14ac:dyDescent="0.2">
      <c r="B661" s="32"/>
      <c r="C661" s="32"/>
      <c r="AF661" s="32"/>
      <c r="BL661" s="32"/>
      <c r="BX661" s="32"/>
      <c r="CC661" s="32"/>
      <c r="CK661" s="32"/>
      <c r="CM661" s="32"/>
      <c r="DJ661" s="32"/>
      <c r="DT661" s="32"/>
      <c r="DY661" s="32"/>
    </row>
    <row r="662" spans="2:129" ht="15.75" customHeight="1" x14ac:dyDescent="0.2">
      <c r="B662" s="32"/>
      <c r="C662" s="32"/>
      <c r="AF662" s="32"/>
      <c r="BL662" s="32"/>
      <c r="BX662" s="32"/>
      <c r="CC662" s="32"/>
      <c r="CK662" s="32"/>
      <c r="CM662" s="32"/>
      <c r="DJ662" s="32"/>
      <c r="DT662" s="32"/>
      <c r="DY662" s="32"/>
    </row>
    <row r="663" spans="2:129" ht="15.75" customHeight="1" x14ac:dyDescent="0.2">
      <c r="B663" s="32"/>
      <c r="C663" s="32"/>
      <c r="AF663" s="32"/>
      <c r="BL663" s="32"/>
      <c r="BX663" s="32"/>
      <c r="CC663" s="32"/>
      <c r="CK663" s="32"/>
      <c r="CM663" s="32"/>
      <c r="DJ663" s="32"/>
      <c r="DT663" s="32"/>
      <c r="DY663" s="32"/>
    </row>
    <row r="664" spans="2:129" ht="15.75" customHeight="1" x14ac:dyDescent="0.2">
      <c r="B664" s="32"/>
      <c r="C664" s="32"/>
      <c r="AF664" s="32"/>
      <c r="BL664" s="32"/>
      <c r="BX664" s="32"/>
      <c r="CC664" s="32"/>
      <c r="CK664" s="32"/>
      <c r="CM664" s="32"/>
      <c r="DJ664" s="32"/>
      <c r="DT664" s="32"/>
      <c r="DY664" s="32"/>
    </row>
    <row r="665" spans="2:129" ht="15.75" customHeight="1" x14ac:dyDescent="0.2">
      <c r="B665" s="32"/>
      <c r="C665" s="32"/>
      <c r="AF665" s="32"/>
      <c r="BL665" s="32"/>
      <c r="BX665" s="32"/>
      <c r="CC665" s="32"/>
      <c r="CK665" s="32"/>
      <c r="CM665" s="32"/>
      <c r="DJ665" s="32"/>
      <c r="DT665" s="32"/>
      <c r="DY665" s="32"/>
    </row>
    <row r="666" spans="2:129" ht="15.75" customHeight="1" x14ac:dyDescent="0.2">
      <c r="B666" s="32"/>
      <c r="C666" s="32"/>
      <c r="AF666" s="32"/>
      <c r="BL666" s="32"/>
      <c r="BX666" s="32"/>
      <c r="CC666" s="32"/>
      <c r="CK666" s="32"/>
      <c r="CM666" s="32"/>
      <c r="DJ666" s="32"/>
      <c r="DT666" s="32"/>
      <c r="DY666" s="32"/>
    </row>
    <row r="667" spans="2:129" ht="15.75" customHeight="1" x14ac:dyDescent="0.2">
      <c r="B667" s="32"/>
      <c r="C667" s="32"/>
      <c r="AF667" s="32"/>
      <c r="BL667" s="32"/>
      <c r="BX667" s="32"/>
      <c r="CC667" s="32"/>
      <c r="CK667" s="32"/>
      <c r="CM667" s="32"/>
      <c r="DJ667" s="32"/>
      <c r="DT667" s="32"/>
      <c r="DY667" s="32"/>
    </row>
    <row r="668" spans="2:129" ht="15.75" customHeight="1" x14ac:dyDescent="0.2">
      <c r="B668" s="32"/>
      <c r="C668" s="32"/>
      <c r="AF668" s="32"/>
      <c r="BL668" s="32"/>
      <c r="BX668" s="32"/>
      <c r="CC668" s="32"/>
      <c r="CK668" s="32"/>
      <c r="CM668" s="32"/>
      <c r="DJ668" s="32"/>
      <c r="DT668" s="32"/>
      <c r="DY668" s="32"/>
    </row>
    <row r="669" spans="2:129" ht="15.75" customHeight="1" x14ac:dyDescent="0.2">
      <c r="B669" s="32"/>
      <c r="C669" s="32"/>
      <c r="AF669" s="32"/>
      <c r="BL669" s="32"/>
      <c r="BX669" s="32"/>
      <c r="CC669" s="32"/>
      <c r="CK669" s="32"/>
      <c r="CM669" s="32"/>
      <c r="DJ669" s="32"/>
      <c r="DT669" s="32"/>
      <c r="DY669" s="32"/>
    </row>
    <row r="670" spans="2:129" ht="15.75" customHeight="1" x14ac:dyDescent="0.2">
      <c r="B670" s="32"/>
      <c r="C670" s="32"/>
      <c r="AF670" s="32"/>
      <c r="BL670" s="32"/>
      <c r="BX670" s="32"/>
      <c r="CC670" s="32"/>
      <c r="CK670" s="32"/>
      <c r="CM670" s="32"/>
      <c r="DJ670" s="32"/>
      <c r="DT670" s="32"/>
      <c r="DY670" s="32"/>
    </row>
    <row r="671" spans="2:129" ht="15.75" customHeight="1" x14ac:dyDescent="0.2">
      <c r="B671" s="32"/>
      <c r="C671" s="32"/>
      <c r="AF671" s="32"/>
      <c r="BL671" s="32"/>
      <c r="BX671" s="32"/>
      <c r="CC671" s="32"/>
      <c r="CK671" s="32"/>
      <c r="CM671" s="32"/>
      <c r="DJ671" s="32"/>
      <c r="DT671" s="32"/>
      <c r="DY671" s="32"/>
    </row>
    <row r="672" spans="2:129" ht="15.75" customHeight="1" x14ac:dyDescent="0.2">
      <c r="B672" s="32"/>
      <c r="C672" s="32"/>
      <c r="AF672" s="32"/>
      <c r="BL672" s="32"/>
      <c r="BX672" s="32"/>
      <c r="CC672" s="32"/>
      <c r="CK672" s="32"/>
      <c r="CM672" s="32"/>
      <c r="DJ672" s="32"/>
      <c r="DT672" s="32"/>
      <c r="DY672" s="32"/>
    </row>
    <row r="673" spans="2:129" ht="15.75" customHeight="1" x14ac:dyDescent="0.2">
      <c r="B673" s="32"/>
      <c r="C673" s="32"/>
      <c r="AF673" s="32"/>
      <c r="BL673" s="32"/>
      <c r="BX673" s="32"/>
      <c r="CC673" s="32"/>
      <c r="CK673" s="32"/>
      <c r="CM673" s="32"/>
      <c r="DJ673" s="32"/>
      <c r="DT673" s="32"/>
      <c r="DY673" s="32"/>
    </row>
    <row r="674" spans="2:129" ht="15.75" customHeight="1" x14ac:dyDescent="0.2">
      <c r="B674" s="32"/>
      <c r="C674" s="32"/>
      <c r="AF674" s="32"/>
      <c r="BL674" s="32"/>
      <c r="BX674" s="32"/>
      <c r="CC674" s="32"/>
      <c r="CK674" s="32"/>
      <c r="CM674" s="32"/>
      <c r="DJ674" s="32"/>
      <c r="DT674" s="32"/>
      <c r="DY674" s="32"/>
    </row>
    <row r="675" spans="2:129" ht="15.75" customHeight="1" x14ac:dyDescent="0.2">
      <c r="B675" s="32"/>
      <c r="C675" s="32"/>
      <c r="AF675" s="32"/>
      <c r="BL675" s="32"/>
      <c r="BX675" s="32"/>
      <c r="CC675" s="32"/>
      <c r="CK675" s="32"/>
      <c r="CM675" s="32"/>
      <c r="DJ675" s="32"/>
      <c r="DT675" s="32"/>
      <c r="DY675" s="32"/>
    </row>
    <row r="676" spans="2:129" ht="15.75" customHeight="1" x14ac:dyDescent="0.2">
      <c r="B676" s="32"/>
      <c r="C676" s="32"/>
      <c r="AF676" s="32"/>
      <c r="BL676" s="32"/>
      <c r="BX676" s="32"/>
      <c r="CC676" s="32"/>
      <c r="CK676" s="32"/>
      <c r="CM676" s="32"/>
      <c r="DJ676" s="32"/>
      <c r="DT676" s="32"/>
      <c r="DY676" s="32"/>
    </row>
    <row r="677" spans="2:129" ht="15.75" customHeight="1" x14ac:dyDescent="0.2">
      <c r="B677" s="32"/>
      <c r="C677" s="32"/>
      <c r="AF677" s="32"/>
      <c r="BL677" s="32"/>
      <c r="BX677" s="32"/>
      <c r="CC677" s="32"/>
      <c r="CK677" s="32"/>
      <c r="CM677" s="32"/>
      <c r="DJ677" s="32"/>
      <c r="DT677" s="32"/>
      <c r="DY677" s="32"/>
    </row>
    <row r="678" spans="2:129" ht="15.75" customHeight="1" x14ac:dyDescent="0.2">
      <c r="B678" s="32"/>
      <c r="C678" s="32"/>
      <c r="AF678" s="32"/>
      <c r="BL678" s="32"/>
      <c r="BX678" s="32"/>
      <c r="CC678" s="32"/>
      <c r="CK678" s="32"/>
      <c r="CM678" s="32"/>
      <c r="DJ678" s="32"/>
      <c r="DT678" s="32"/>
      <c r="DY678" s="32"/>
    </row>
    <row r="679" spans="2:129" ht="15.75" customHeight="1" x14ac:dyDescent="0.2">
      <c r="B679" s="32"/>
      <c r="C679" s="32"/>
      <c r="AF679" s="32"/>
      <c r="BL679" s="32"/>
      <c r="BX679" s="32"/>
      <c r="CC679" s="32"/>
      <c r="CK679" s="32"/>
      <c r="CM679" s="32"/>
      <c r="DJ679" s="32"/>
      <c r="DT679" s="32"/>
      <c r="DY679" s="32"/>
    </row>
    <row r="680" spans="2:129" ht="15.75" customHeight="1" x14ac:dyDescent="0.2">
      <c r="B680" s="32"/>
      <c r="C680" s="32"/>
      <c r="AF680" s="32"/>
      <c r="BL680" s="32"/>
      <c r="BX680" s="32"/>
      <c r="CC680" s="32"/>
      <c r="CK680" s="32"/>
      <c r="CM680" s="32"/>
      <c r="DJ680" s="32"/>
      <c r="DT680" s="32"/>
      <c r="DY680" s="32"/>
    </row>
    <row r="681" spans="2:129" ht="15.75" customHeight="1" x14ac:dyDescent="0.2">
      <c r="B681" s="32"/>
      <c r="C681" s="32"/>
      <c r="AF681" s="32"/>
      <c r="BL681" s="32"/>
      <c r="BX681" s="32"/>
      <c r="CC681" s="32"/>
      <c r="CK681" s="32"/>
      <c r="CM681" s="32"/>
      <c r="DJ681" s="32"/>
      <c r="DT681" s="32"/>
      <c r="DY681" s="32"/>
    </row>
    <row r="682" spans="2:129" ht="15.75" customHeight="1" x14ac:dyDescent="0.2">
      <c r="B682" s="32"/>
      <c r="C682" s="32"/>
      <c r="AF682" s="32"/>
      <c r="BL682" s="32"/>
      <c r="BX682" s="32"/>
      <c r="CC682" s="32"/>
      <c r="CK682" s="32"/>
      <c r="CM682" s="32"/>
      <c r="DJ682" s="32"/>
      <c r="DT682" s="32"/>
      <c r="DY682" s="32"/>
    </row>
    <row r="683" spans="2:129" ht="15.75" customHeight="1" x14ac:dyDescent="0.2">
      <c r="B683" s="32"/>
      <c r="C683" s="32"/>
      <c r="AF683" s="32"/>
      <c r="BL683" s="32"/>
      <c r="BX683" s="32"/>
      <c r="CC683" s="32"/>
      <c r="CK683" s="32"/>
      <c r="CM683" s="32"/>
      <c r="DJ683" s="32"/>
      <c r="DT683" s="32"/>
      <c r="DY683" s="32"/>
    </row>
    <row r="684" spans="2:129" ht="15.75" customHeight="1" x14ac:dyDescent="0.2">
      <c r="B684" s="32"/>
      <c r="C684" s="32"/>
      <c r="AF684" s="32"/>
      <c r="BL684" s="32"/>
      <c r="BX684" s="32"/>
      <c r="CC684" s="32"/>
      <c r="CK684" s="32"/>
      <c r="CM684" s="32"/>
      <c r="DJ684" s="32"/>
      <c r="DT684" s="32"/>
      <c r="DY684" s="32"/>
    </row>
    <row r="685" spans="2:129" ht="15.75" customHeight="1" x14ac:dyDescent="0.2">
      <c r="B685" s="32"/>
      <c r="C685" s="32"/>
      <c r="AF685" s="32"/>
      <c r="BL685" s="32"/>
      <c r="BX685" s="32"/>
      <c r="CC685" s="32"/>
      <c r="CK685" s="32"/>
      <c r="CM685" s="32"/>
      <c r="DJ685" s="32"/>
      <c r="DT685" s="32"/>
      <c r="DY685" s="32"/>
    </row>
    <row r="686" spans="2:129" ht="15.75" customHeight="1" x14ac:dyDescent="0.2">
      <c r="B686" s="32"/>
      <c r="C686" s="32"/>
      <c r="AF686" s="32"/>
      <c r="BL686" s="32"/>
      <c r="BX686" s="32"/>
      <c r="CC686" s="32"/>
      <c r="CK686" s="32"/>
      <c r="CM686" s="32"/>
      <c r="DJ686" s="32"/>
      <c r="DT686" s="32"/>
      <c r="DY686" s="32"/>
    </row>
    <row r="687" spans="2:129" ht="15.75" customHeight="1" x14ac:dyDescent="0.2">
      <c r="B687" s="32"/>
      <c r="C687" s="32"/>
      <c r="AF687" s="32"/>
      <c r="BL687" s="32"/>
      <c r="BX687" s="32"/>
      <c r="CC687" s="32"/>
      <c r="CK687" s="32"/>
      <c r="CM687" s="32"/>
      <c r="DJ687" s="32"/>
      <c r="DT687" s="32"/>
      <c r="DY687" s="32"/>
    </row>
    <row r="688" spans="2:129" ht="15.75" customHeight="1" x14ac:dyDescent="0.2">
      <c r="B688" s="32"/>
      <c r="C688" s="32"/>
      <c r="AF688" s="32"/>
      <c r="BL688" s="32"/>
      <c r="BX688" s="32"/>
      <c r="CC688" s="32"/>
      <c r="CK688" s="32"/>
      <c r="CM688" s="32"/>
      <c r="DJ688" s="32"/>
      <c r="DT688" s="32"/>
      <c r="DY688" s="32"/>
    </row>
    <row r="689" spans="2:129" ht="15.75" customHeight="1" x14ac:dyDescent="0.2">
      <c r="B689" s="32"/>
      <c r="C689" s="32"/>
      <c r="AF689" s="32"/>
      <c r="BL689" s="32"/>
      <c r="BX689" s="32"/>
      <c r="CC689" s="32"/>
      <c r="CK689" s="32"/>
      <c r="CM689" s="32"/>
      <c r="DJ689" s="32"/>
      <c r="DT689" s="32"/>
      <c r="DY689" s="32"/>
    </row>
    <row r="690" spans="2:129" ht="15.75" customHeight="1" x14ac:dyDescent="0.2">
      <c r="B690" s="32"/>
      <c r="C690" s="32"/>
      <c r="AF690" s="32"/>
      <c r="BL690" s="32"/>
      <c r="BX690" s="32"/>
      <c r="CC690" s="32"/>
      <c r="CK690" s="32"/>
      <c r="CM690" s="32"/>
      <c r="DJ690" s="32"/>
      <c r="DT690" s="32"/>
      <c r="DY690" s="32"/>
    </row>
    <row r="691" spans="2:129" ht="15.75" customHeight="1" x14ac:dyDescent="0.2">
      <c r="B691" s="32"/>
      <c r="C691" s="32"/>
      <c r="AF691" s="32"/>
      <c r="BL691" s="32"/>
      <c r="BX691" s="32"/>
      <c r="CC691" s="32"/>
      <c r="CK691" s="32"/>
      <c r="CM691" s="32"/>
      <c r="DJ691" s="32"/>
      <c r="DT691" s="32"/>
      <c r="DY691" s="32"/>
    </row>
    <row r="692" spans="2:129" ht="15.75" customHeight="1" x14ac:dyDescent="0.2">
      <c r="B692" s="32"/>
      <c r="C692" s="32"/>
      <c r="AF692" s="32"/>
      <c r="BL692" s="32"/>
      <c r="BX692" s="32"/>
      <c r="CC692" s="32"/>
      <c r="CK692" s="32"/>
      <c r="CM692" s="32"/>
      <c r="DJ692" s="32"/>
      <c r="DT692" s="32"/>
      <c r="DY692" s="32"/>
    </row>
    <row r="693" spans="2:129" ht="15.75" customHeight="1" x14ac:dyDescent="0.2">
      <c r="B693" s="32"/>
      <c r="C693" s="32"/>
      <c r="AF693" s="32"/>
      <c r="BL693" s="32"/>
      <c r="BX693" s="32"/>
      <c r="CC693" s="32"/>
      <c r="CK693" s="32"/>
      <c r="CM693" s="32"/>
      <c r="DJ693" s="32"/>
      <c r="DT693" s="32"/>
      <c r="DY693" s="32"/>
    </row>
    <row r="694" spans="2:129" ht="15.75" customHeight="1" x14ac:dyDescent="0.2">
      <c r="B694" s="32"/>
      <c r="C694" s="32"/>
      <c r="AF694" s="32"/>
      <c r="BL694" s="32"/>
      <c r="BX694" s="32"/>
      <c r="CC694" s="32"/>
      <c r="CK694" s="32"/>
      <c r="CM694" s="32"/>
      <c r="DJ694" s="32"/>
      <c r="DT694" s="32"/>
      <c r="DY694" s="32"/>
    </row>
    <row r="695" spans="2:129" ht="15.75" customHeight="1" x14ac:dyDescent="0.2">
      <c r="B695" s="32"/>
      <c r="C695" s="32"/>
      <c r="AF695" s="32"/>
      <c r="BL695" s="32"/>
      <c r="BX695" s="32"/>
      <c r="CC695" s="32"/>
      <c r="CK695" s="32"/>
      <c r="CM695" s="32"/>
      <c r="DJ695" s="32"/>
      <c r="DT695" s="32"/>
      <c r="DY695" s="32"/>
    </row>
    <row r="696" spans="2:129" ht="15.75" customHeight="1" x14ac:dyDescent="0.2">
      <c r="B696" s="32"/>
      <c r="C696" s="32"/>
      <c r="AF696" s="32"/>
      <c r="BL696" s="32"/>
      <c r="BX696" s="32"/>
      <c r="CC696" s="32"/>
      <c r="CK696" s="32"/>
      <c r="CM696" s="32"/>
      <c r="DJ696" s="32"/>
      <c r="DT696" s="32"/>
      <c r="DY696" s="32"/>
    </row>
    <row r="697" spans="2:129" ht="15.75" customHeight="1" x14ac:dyDescent="0.2">
      <c r="B697" s="32"/>
      <c r="C697" s="32"/>
      <c r="AF697" s="32"/>
      <c r="BL697" s="32"/>
      <c r="BX697" s="32"/>
      <c r="CC697" s="32"/>
      <c r="CK697" s="32"/>
      <c r="CM697" s="32"/>
      <c r="DJ697" s="32"/>
      <c r="DT697" s="32"/>
      <c r="DY697" s="32"/>
    </row>
    <row r="698" spans="2:129" ht="15.75" customHeight="1" x14ac:dyDescent="0.2">
      <c r="B698" s="32"/>
      <c r="C698" s="32"/>
      <c r="AF698" s="32"/>
      <c r="BL698" s="32"/>
      <c r="BX698" s="32"/>
      <c r="CC698" s="32"/>
      <c r="CK698" s="32"/>
      <c r="CM698" s="32"/>
      <c r="DJ698" s="32"/>
      <c r="DT698" s="32"/>
      <c r="DY698" s="32"/>
    </row>
    <row r="699" spans="2:129" ht="15.75" customHeight="1" x14ac:dyDescent="0.2">
      <c r="B699" s="32"/>
      <c r="C699" s="32"/>
      <c r="AF699" s="32"/>
      <c r="BL699" s="32"/>
      <c r="BX699" s="32"/>
      <c r="CC699" s="32"/>
      <c r="CK699" s="32"/>
      <c r="CM699" s="32"/>
      <c r="DJ699" s="32"/>
      <c r="DT699" s="32"/>
      <c r="DY699" s="32"/>
    </row>
    <row r="700" spans="2:129" ht="15.75" customHeight="1" x14ac:dyDescent="0.2">
      <c r="B700" s="32"/>
      <c r="C700" s="32"/>
      <c r="AF700" s="32"/>
      <c r="BL700" s="32"/>
      <c r="BX700" s="32"/>
      <c r="CC700" s="32"/>
      <c r="CK700" s="32"/>
      <c r="CM700" s="32"/>
      <c r="DJ700" s="32"/>
      <c r="DT700" s="32"/>
      <c r="DY700" s="32"/>
    </row>
    <row r="701" spans="2:129" ht="15.75" customHeight="1" x14ac:dyDescent="0.2">
      <c r="B701" s="32"/>
      <c r="C701" s="32"/>
      <c r="AF701" s="32"/>
      <c r="BL701" s="32"/>
      <c r="BX701" s="32"/>
      <c r="CC701" s="32"/>
      <c r="CK701" s="32"/>
      <c r="CM701" s="32"/>
      <c r="DJ701" s="32"/>
      <c r="DT701" s="32"/>
      <c r="DY701" s="32"/>
    </row>
    <row r="702" spans="2:129" ht="15.75" customHeight="1" x14ac:dyDescent="0.2">
      <c r="B702" s="32"/>
      <c r="C702" s="32"/>
      <c r="AF702" s="32"/>
      <c r="BL702" s="32"/>
      <c r="BX702" s="32"/>
      <c r="CC702" s="32"/>
      <c r="CK702" s="32"/>
      <c r="CM702" s="32"/>
      <c r="DJ702" s="32"/>
      <c r="DT702" s="32"/>
      <c r="DY702" s="32"/>
    </row>
    <row r="703" spans="2:129" ht="15.75" customHeight="1" x14ac:dyDescent="0.2">
      <c r="B703" s="32"/>
      <c r="C703" s="32"/>
      <c r="AF703" s="32"/>
      <c r="BL703" s="32"/>
      <c r="BX703" s="32"/>
      <c r="CC703" s="32"/>
      <c r="CK703" s="32"/>
      <c r="CM703" s="32"/>
      <c r="DJ703" s="32"/>
      <c r="DT703" s="32"/>
      <c r="DY703" s="32"/>
    </row>
    <row r="704" spans="2:129" ht="15.75" customHeight="1" x14ac:dyDescent="0.2">
      <c r="B704" s="32"/>
      <c r="C704" s="32"/>
      <c r="AF704" s="32"/>
      <c r="BL704" s="32"/>
      <c r="BX704" s="32"/>
      <c r="CC704" s="32"/>
      <c r="CK704" s="32"/>
      <c r="CM704" s="32"/>
      <c r="DJ704" s="32"/>
      <c r="DT704" s="32"/>
      <c r="DY704" s="32"/>
    </row>
    <row r="705" spans="2:129" ht="15.75" customHeight="1" x14ac:dyDescent="0.2">
      <c r="B705" s="32"/>
      <c r="C705" s="32"/>
      <c r="AF705" s="32"/>
      <c r="BL705" s="32"/>
      <c r="BX705" s="32"/>
      <c r="CC705" s="32"/>
      <c r="CK705" s="32"/>
      <c r="CM705" s="32"/>
      <c r="DJ705" s="32"/>
      <c r="DT705" s="32"/>
      <c r="DY705" s="32"/>
    </row>
    <row r="706" spans="2:129" ht="15.75" customHeight="1" x14ac:dyDescent="0.2">
      <c r="B706" s="32"/>
      <c r="C706" s="32"/>
      <c r="AF706" s="32"/>
      <c r="BL706" s="32"/>
      <c r="BX706" s="32"/>
      <c r="CC706" s="32"/>
      <c r="CK706" s="32"/>
      <c r="CM706" s="32"/>
      <c r="DJ706" s="32"/>
      <c r="DT706" s="32"/>
      <c r="DY706" s="32"/>
    </row>
    <row r="707" spans="2:129" ht="15.75" customHeight="1" x14ac:dyDescent="0.2">
      <c r="B707" s="32"/>
      <c r="C707" s="32"/>
      <c r="AF707" s="32"/>
      <c r="BL707" s="32"/>
      <c r="BX707" s="32"/>
      <c r="CC707" s="32"/>
      <c r="CK707" s="32"/>
      <c r="CM707" s="32"/>
      <c r="DJ707" s="32"/>
      <c r="DT707" s="32"/>
      <c r="DY707" s="32"/>
    </row>
    <row r="708" spans="2:129" ht="15.75" customHeight="1" x14ac:dyDescent="0.2">
      <c r="B708" s="32"/>
      <c r="C708" s="32"/>
      <c r="AF708" s="32"/>
      <c r="BL708" s="32"/>
      <c r="BX708" s="32"/>
      <c r="CC708" s="32"/>
      <c r="CK708" s="32"/>
      <c r="CM708" s="32"/>
      <c r="DJ708" s="32"/>
      <c r="DT708" s="32"/>
      <c r="DY708" s="32"/>
    </row>
    <row r="709" spans="2:129" ht="15.75" customHeight="1" x14ac:dyDescent="0.2">
      <c r="B709" s="32"/>
      <c r="C709" s="32"/>
      <c r="AF709" s="32"/>
      <c r="BL709" s="32"/>
      <c r="BX709" s="32"/>
      <c r="CC709" s="32"/>
      <c r="CK709" s="32"/>
      <c r="CM709" s="32"/>
      <c r="DJ709" s="32"/>
      <c r="DT709" s="32"/>
      <c r="DY709" s="32"/>
    </row>
    <row r="710" spans="2:129" ht="15.75" customHeight="1" x14ac:dyDescent="0.2">
      <c r="B710" s="32"/>
      <c r="C710" s="32"/>
      <c r="AF710" s="32"/>
      <c r="BL710" s="32"/>
      <c r="BX710" s="32"/>
      <c r="CC710" s="32"/>
      <c r="CK710" s="32"/>
      <c r="CM710" s="32"/>
      <c r="DJ710" s="32"/>
      <c r="DT710" s="32"/>
      <c r="DY710" s="32"/>
    </row>
    <row r="711" spans="2:129" ht="15.75" customHeight="1" x14ac:dyDescent="0.2">
      <c r="B711" s="32"/>
      <c r="C711" s="32"/>
      <c r="AF711" s="32"/>
      <c r="BL711" s="32"/>
      <c r="BX711" s="32"/>
      <c r="CC711" s="32"/>
      <c r="CK711" s="32"/>
      <c r="CM711" s="32"/>
      <c r="DJ711" s="32"/>
      <c r="DT711" s="32"/>
      <c r="DY711" s="32"/>
    </row>
    <row r="712" spans="2:129" ht="15.75" customHeight="1" x14ac:dyDescent="0.2">
      <c r="B712" s="32"/>
      <c r="C712" s="32"/>
      <c r="AF712" s="32"/>
      <c r="BL712" s="32"/>
      <c r="BX712" s="32"/>
      <c r="CC712" s="32"/>
      <c r="CK712" s="32"/>
      <c r="CM712" s="32"/>
      <c r="DJ712" s="32"/>
      <c r="DT712" s="32"/>
      <c r="DY712" s="32"/>
    </row>
    <row r="713" spans="2:129" ht="15.75" customHeight="1" x14ac:dyDescent="0.2">
      <c r="B713" s="32"/>
      <c r="C713" s="32"/>
      <c r="AF713" s="32"/>
      <c r="BL713" s="32"/>
      <c r="BX713" s="32"/>
      <c r="CC713" s="32"/>
      <c r="CK713" s="32"/>
      <c r="CM713" s="32"/>
      <c r="DJ713" s="32"/>
      <c r="DT713" s="32"/>
      <c r="DY713" s="32"/>
    </row>
    <row r="714" spans="2:129" ht="15.75" customHeight="1" x14ac:dyDescent="0.2">
      <c r="B714" s="32"/>
      <c r="C714" s="32"/>
      <c r="AF714" s="32"/>
      <c r="BL714" s="32"/>
      <c r="BX714" s="32"/>
      <c r="CC714" s="32"/>
      <c r="CK714" s="32"/>
      <c r="CM714" s="32"/>
      <c r="DJ714" s="32"/>
      <c r="DT714" s="32"/>
      <c r="DY714" s="32"/>
    </row>
    <row r="715" spans="2:129" ht="15.75" customHeight="1" x14ac:dyDescent="0.2">
      <c r="B715" s="32"/>
      <c r="C715" s="32"/>
      <c r="AF715" s="32"/>
      <c r="BL715" s="32"/>
      <c r="BX715" s="32"/>
      <c r="CC715" s="32"/>
      <c r="CK715" s="32"/>
      <c r="CM715" s="32"/>
      <c r="DJ715" s="32"/>
      <c r="DT715" s="32"/>
      <c r="DY715" s="32"/>
    </row>
    <row r="716" spans="2:129" ht="15.75" customHeight="1" x14ac:dyDescent="0.2">
      <c r="B716" s="32"/>
      <c r="C716" s="32"/>
      <c r="AF716" s="32"/>
      <c r="BL716" s="32"/>
      <c r="BX716" s="32"/>
      <c r="CC716" s="32"/>
      <c r="CK716" s="32"/>
      <c r="CM716" s="32"/>
      <c r="DJ716" s="32"/>
      <c r="DT716" s="32"/>
      <c r="DY716" s="32"/>
    </row>
    <row r="717" spans="2:129" ht="15.75" customHeight="1" x14ac:dyDescent="0.2">
      <c r="B717" s="32"/>
      <c r="C717" s="32"/>
      <c r="AF717" s="32"/>
      <c r="BL717" s="32"/>
      <c r="BX717" s="32"/>
      <c r="CC717" s="32"/>
      <c r="CK717" s="32"/>
      <c r="CM717" s="32"/>
      <c r="DJ717" s="32"/>
      <c r="DT717" s="32"/>
      <c r="DY717" s="32"/>
    </row>
    <row r="718" spans="2:129" ht="15.75" customHeight="1" x14ac:dyDescent="0.2">
      <c r="B718" s="32"/>
      <c r="C718" s="32"/>
      <c r="AF718" s="32"/>
      <c r="BL718" s="32"/>
      <c r="BX718" s="32"/>
      <c r="CC718" s="32"/>
      <c r="CK718" s="32"/>
      <c r="CM718" s="32"/>
      <c r="DJ718" s="32"/>
      <c r="DT718" s="32"/>
      <c r="DY718" s="32"/>
    </row>
    <row r="719" spans="2:129" ht="15.75" customHeight="1" x14ac:dyDescent="0.2">
      <c r="B719" s="32"/>
      <c r="C719" s="32"/>
      <c r="AF719" s="32"/>
      <c r="BL719" s="32"/>
      <c r="BX719" s="32"/>
      <c r="CC719" s="32"/>
      <c r="CK719" s="32"/>
      <c r="CM719" s="32"/>
      <c r="DJ719" s="32"/>
      <c r="DT719" s="32"/>
      <c r="DY719" s="32"/>
    </row>
    <row r="720" spans="2:129" ht="15.75" customHeight="1" x14ac:dyDescent="0.2">
      <c r="B720" s="32"/>
      <c r="C720" s="32"/>
      <c r="AF720" s="32"/>
      <c r="BL720" s="32"/>
      <c r="BX720" s="32"/>
      <c r="CC720" s="32"/>
      <c r="CK720" s="32"/>
      <c r="CM720" s="32"/>
      <c r="DJ720" s="32"/>
      <c r="DT720" s="32"/>
      <c r="DY720" s="32"/>
    </row>
    <row r="721" spans="2:129" ht="15.75" customHeight="1" x14ac:dyDescent="0.2">
      <c r="B721" s="32"/>
      <c r="C721" s="32"/>
      <c r="AF721" s="32"/>
      <c r="BL721" s="32"/>
      <c r="BX721" s="32"/>
      <c r="CC721" s="32"/>
      <c r="CK721" s="32"/>
      <c r="CM721" s="32"/>
      <c r="DJ721" s="32"/>
      <c r="DT721" s="32"/>
      <c r="DY721" s="32"/>
    </row>
    <row r="722" spans="2:129" ht="15.75" customHeight="1" x14ac:dyDescent="0.2">
      <c r="B722" s="32"/>
      <c r="C722" s="32"/>
      <c r="AF722" s="32"/>
      <c r="BL722" s="32"/>
      <c r="BX722" s="32"/>
      <c r="CC722" s="32"/>
      <c r="CK722" s="32"/>
      <c r="CM722" s="32"/>
      <c r="DJ722" s="32"/>
      <c r="DT722" s="32"/>
      <c r="DY722" s="32"/>
    </row>
    <row r="723" spans="2:129" ht="15.75" customHeight="1" x14ac:dyDescent="0.2">
      <c r="B723" s="32"/>
      <c r="C723" s="32"/>
      <c r="AF723" s="32"/>
      <c r="BL723" s="32"/>
      <c r="BX723" s="32"/>
      <c r="CC723" s="32"/>
      <c r="CK723" s="32"/>
      <c r="CM723" s="32"/>
      <c r="DJ723" s="32"/>
      <c r="DT723" s="32"/>
      <c r="DY723" s="32"/>
    </row>
    <row r="724" spans="2:129" ht="15.75" customHeight="1" x14ac:dyDescent="0.2">
      <c r="B724" s="32"/>
      <c r="C724" s="32"/>
      <c r="AF724" s="32"/>
      <c r="BL724" s="32"/>
      <c r="BX724" s="32"/>
      <c r="CC724" s="32"/>
      <c r="CK724" s="32"/>
      <c r="CM724" s="32"/>
      <c r="DJ724" s="32"/>
      <c r="DT724" s="32"/>
      <c r="DY724" s="32"/>
    </row>
    <row r="725" spans="2:129" ht="15.75" customHeight="1" x14ac:dyDescent="0.2">
      <c r="B725" s="32"/>
      <c r="C725" s="32"/>
      <c r="AF725" s="32"/>
      <c r="BL725" s="32"/>
      <c r="BX725" s="32"/>
      <c r="CC725" s="32"/>
      <c r="CK725" s="32"/>
      <c r="CM725" s="32"/>
      <c r="DJ725" s="32"/>
      <c r="DT725" s="32"/>
      <c r="DY725" s="32"/>
    </row>
    <row r="726" spans="2:129" ht="15.75" customHeight="1" x14ac:dyDescent="0.2">
      <c r="B726" s="32"/>
      <c r="C726" s="32"/>
      <c r="AF726" s="32"/>
      <c r="BL726" s="32"/>
      <c r="BX726" s="32"/>
      <c r="CC726" s="32"/>
      <c r="CK726" s="32"/>
      <c r="CM726" s="32"/>
      <c r="DJ726" s="32"/>
      <c r="DT726" s="32"/>
      <c r="DY726" s="32"/>
    </row>
    <row r="727" spans="2:129" ht="15.75" customHeight="1" x14ac:dyDescent="0.2">
      <c r="B727" s="32"/>
      <c r="C727" s="32"/>
      <c r="AF727" s="32"/>
      <c r="BL727" s="32"/>
      <c r="BX727" s="32"/>
      <c r="CC727" s="32"/>
      <c r="CK727" s="32"/>
      <c r="CM727" s="32"/>
      <c r="DJ727" s="32"/>
      <c r="DT727" s="32"/>
      <c r="DY727" s="32"/>
    </row>
    <row r="728" spans="2:129" ht="15.75" customHeight="1" x14ac:dyDescent="0.2">
      <c r="B728" s="32"/>
      <c r="C728" s="32"/>
      <c r="AF728" s="32"/>
      <c r="BL728" s="32"/>
      <c r="BX728" s="32"/>
      <c r="CC728" s="32"/>
      <c r="CK728" s="32"/>
      <c r="CM728" s="32"/>
      <c r="DJ728" s="32"/>
      <c r="DT728" s="32"/>
      <c r="DY728" s="32"/>
    </row>
    <row r="729" spans="2:129" ht="15.75" customHeight="1" x14ac:dyDescent="0.2">
      <c r="B729" s="32"/>
      <c r="C729" s="32"/>
      <c r="AF729" s="32"/>
      <c r="BL729" s="32"/>
      <c r="BX729" s="32"/>
      <c r="CC729" s="32"/>
      <c r="CK729" s="32"/>
      <c r="CM729" s="32"/>
      <c r="DJ729" s="32"/>
      <c r="DT729" s="32"/>
      <c r="DY729" s="32"/>
    </row>
    <row r="730" spans="2:129" ht="15.75" customHeight="1" x14ac:dyDescent="0.2">
      <c r="B730" s="32"/>
      <c r="C730" s="32"/>
      <c r="AF730" s="32"/>
      <c r="BL730" s="32"/>
      <c r="BX730" s="32"/>
      <c r="CC730" s="32"/>
      <c r="CK730" s="32"/>
      <c r="CM730" s="32"/>
      <c r="DJ730" s="32"/>
      <c r="DT730" s="32"/>
      <c r="DY730" s="32"/>
    </row>
    <row r="731" spans="2:129" ht="15.75" customHeight="1" x14ac:dyDescent="0.2">
      <c r="B731" s="32"/>
      <c r="C731" s="32"/>
      <c r="AF731" s="32"/>
      <c r="BL731" s="32"/>
      <c r="BX731" s="32"/>
      <c r="CC731" s="32"/>
      <c r="CK731" s="32"/>
      <c r="CM731" s="32"/>
      <c r="DJ731" s="32"/>
      <c r="DT731" s="32"/>
      <c r="DY731" s="32"/>
    </row>
    <row r="732" spans="2:129" ht="15.75" customHeight="1" x14ac:dyDescent="0.2">
      <c r="B732" s="32"/>
      <c r="C732" s="32"/>
      <c r="AF732" s="32"/>
      <c r="BL732" s="32"/>
      <c r="BX732" s="32"/>
      <c r="CC732" s="32"/>
      <c r="CK732" s="32"/>
      <c r="CM732" s="32"/>
      <c r="DJ732" s="32"/>
      <c r="DT732" s="32"/>
      <c r="DY732" s="32"/>
    </row>
    <row r="733" spans="2:129" ht="15.75" customHeight="1" x14ac:dyDescent="0.2">
      <c r="B733" s="32"/>
      <c r="C733" s="32"/>
      <c r="AF733" s="32"/>
      <c r="BL733" s="32"/>
      <c r="BX733" s="32"/>
      <c r="CC733" s="32"/>
      <c r="CK733" s="32"/>
      <c r="CM733" s="32"/>
      <c r="DJ733" s="32"/>
      <c r="DT733" s="32"/>
      <c r="DY733" s="32"/>
    </row>
    <row r="734" spans="2:129" ht="15.75" customHeight="1" x14ac:dyDescent="0.2">
      <c r="B734" s="32"/>
      <c r="C734" s="32"/>
      <c r="AF734" s="32"/>
      <c r="BL734" s="32"/>
      <c r="BX734" s="32"/>
      <c r="CC734" s="32"/>
      <c r="CK734" s="32"/>
      <c r="CM734" s="32"/>
      <c r="DJ734" s="32"/>
      <c r="DT734" s="32"/>
      <c r="DY734" s="32"/>
    </row>
    <row r="735" spans="2:129" ht="15.75" customHeight="1" x14ac:dyDescent="0.2">
      <c r="B735" s="32"/>
      <c r="C735" s="32"/>
      <c r="AF735" s="32"/>
      <c r="BL735" s="32"/>
      <c r="BX735" s="32"/>
      <c r="CC735" s="32"/>
      <c r="CK735" s="32"/>
      <c r="CM735" s="32"/>
      <c r="DJ735" s="32"/>
      <c r="DT735" s="32"/>
      <c r="DY735" s="32"/>
    </row>
    <row r="736" spans="2:129" ht="15.75" customHeight="1" x14ac:dyDescent="0.2">
      <c r="B736" s="32"/>
      <c r="C736" s="32"/>
      <c r="AF736" s="32"/>
      <c r="BL736" s="32"/>
      <c r="BX736" s="32"/>
      <c r="CC736" s="32"/>
      <c r="CK736" s="32"/>
      <c r="CM736" s="32"/>
      <c r="DJ736" s="32"/>
      <c r="DT736" s="32"/>
      <c r="DY736" s="32"/>
    </row>
    <row r="737" spans="2:129" ht="15.75" customHeight="1" x14ac:dyDescent="0.2">
      <c r="B737" s="32"/>
      <c r="C737" s="32"/>
      <c r="AF737" s="32"/>
      <c r="BL737" s="32"/>
      <c r="BX737" s="32"/>
      <c r="CC737" s="32"/>
      <c r="CK737" s="32"/>
      <c r="CM737" s="32"/>
      <c r="DJ737" s="32"/>
      <c r="DT737" s="32"/>
      <c r="DY737" s="32"/>
    </row>
    <row r="738" spans="2:129" ht="15.75" customHeight="1" x14ac:dyDescent="0.2">
      <c r="B738" s="32"/>
      <c r="C738" s="32"/>
      <c r="AF738" s="32"/>
      <c r="BL738" s="32"/>
      <c r="BX738" s="32"/>
      <c r="CC738" s="32"/>
      <c r="CK738" s="32"/>
      <c r="CM738" s="32"/>
      <c r="DJ738" s="32"/>
      <c r="DT738" s="32"/>
      <c r="DY738" s="32"/>
    </row>
    <row r="739" spans="2:129" ht="15.75" customHeight="1" x14ac:dyDescent="0.2">
      <c r="B739" s="32"/>
      <c r="C739" s="32"/>
      <c r="AF739" s="32"/>
      <c r="BL739" s="32"/>
      <c r="BX739" s="32"/>
      <c r="CC739" s="32"/>
      <c r="CK739" s="32"/>
      <c r="CM739" s="32"/>
      <c r="DJ739" s="32"/>
      <c r="DT739" s="32"/>
      <c r="DY739" s="32"/>
    </row>
    <row r="740" spans="2:129" ht="15.75" customHeight="1" x14ac:dyDescent="0.2">
      <c r="B740" s="32"/>
      <c r="C740" s="32"/>
      <c r="AF740" s="32"/>
      <c r="BL740" s="32"/>
      <c r="BX740" s="32"/>
      <c r="CC740" s="32"/>
      <c r="CK740" s="32"/>
      <c r="CM740" s="32"/>
      <c r="DJ740" s="32"/>
      <c r="DT740" s="32"/>
      <c r="DY740" s="32"/>
    </row>
    <row r="741" spans="2:129" ht="15.75" customHeight="1" x14ac:dyDescent="0.2">
      <c r="B741" s="32"/>
      <c r="C741" s="32"/>
      <c r="AF741" s="32"/>
      <c r="BL741" s="32"/>
      <c r="BX741" s="32"/>
      <c r="CC741" s="32"/>
      <c r="CK741" s="32"/>
      <c r="CM741" s="32"/>
      <c r="DJ741" s="32"/>
      <c r="DT741" s="32"/>
      <c r="DY741" s="32"/>
    </row>
    <row r="742" spans="2:129" ht="15.75" customHeight="1" x14ac:dyDescent="0.2">
      <c r="B742" s="32"/>
      <c r="C742" s="32"/>
      <c r="AF742" s="32"/>
      <c r="BL742" s="32"/>
      <c r="BX742" s="32"/>
      <c r="CC742" s="32"/>
      <c r="CK742" s="32"/>
      <c r="CM742" s="32"/>
      <c r="DJ742" s="32"/>
      <c r="DT742" s="32"/>
      <c r="DY742" s="32"/>
    </row>
    <row r="743" spans="2:129" ht="15.75" customHeight="1" x14ac:dyDescent="0.2">
      <c r="B743" s="32"/>
      <c r="C743" s="32"/>
      <c r="AF743" s="32"/>
      <c r="BL743" s="32"/>
      <c r="BX743" s="32"/>
      <c r="CC743" s="32"/>
      <c r="CK743" s="32"/>
      <c r="CM743" s="32"/>
      <c r="DJ743" s="32"/>
      <c r="DT743" s="32"/>
      <c r="DY743" s="32"/>
    </row>
    <row r="744" spans="2:129" ht="15.75" customHeight="1" x14ac:dyDescent="0.2">
      <c r="B744" s="32"/>
      <c r="C744" s="32"/>
      <c r="AF744" s="32"/>
      <c r="BL744" s="32"/>
      <c r="BX744" s="32"/>
      <c r="CC744" s="32"/>
      <c r="CK744" s="32"/>
      <c r="CM744" s="32"/>
      <c r="DJ744" s="32"/>
      <c r="DT744" s="32"/>
      <c r="DY744" s="32"/>
    </row>
    <row r="745" spans="2:129" ht="15.75" customHeight="1" x14ac:dyDescent="0.2">
      <c r="B745" s="32"/>
      <c r="C745" s="32"/>
      <c r="AF745" s="32"/>
      <c r="BL745" s="32"/>
      <c r="BX745" s="32"/>
      <c r="CC745" s="32"/>
      <c r="CK745" s="32"/>
      <c r="CM745" s="32"/>
      <c r="DJ745" s="32"/>
      <c r="DT745" s="32"/>
      <c r="DY745" s="32"/>
    </row>
    <row r="746" spans="2:129" ht="15.75" customHeight="1" x14ac:dyDescent="0.2">
      <c r="B746" s="32"/>
      <c r="C746" s="32"/>
      <c r="AF746" s="32"/>
      <c r="BL746" s="32"/>
      <c r="BX746" s="32"/>
      <c r="CC746" s="32"/>
      <c r="CK746" s="32"/>
      <c r="CM746" s="32"/>
      <c r="DJ746" s="32"/>
      <c r="DT746" s="32"/>
      <c r="DY746" s="32"/>
    </row>
    <row r="747" spans="2:129" ht="15.75" customHeight="1" x14ac:dyDescent="0.2">
      <c r="B747" s="32"/>
      <c r="C747" s="32"/>
      <c r="AF747" s="32"/>
      <c r="BL747" s="32"/>
      <c r="BX747" s="32"/>
      <c r="CC747" s="32"/>
      <c r="CK747" s="32"/>
      <c r="CM747" s="32"/>
      <c r="DJ747" s="32"/>
      <c r="DT747" s="32"/>
      <c r="DY747" s="32"/>
    </row>
    <row r="748" spans="2:129" ht="15.75" customHeight="1" x14ac:dyDescent="0.2">
      <c r="B748" s="32"/>
      <c r="C748" s="32"/>
      <c r="AF748" s="32"/>
      <c r="BL748" s="32"/>
      <c r="BX748" s="32"/>
      <c r="CC748" s="32"/>
      <c r="CK748" s="32"/>
      <c r="CM748" s="32"/>
      <c r="DJ748" s="32"/>
      <c r="DT748" s="32"/>
      <c r="DY748" s="32"/>
    </row>
    <row r="749" spans="2:129" ht="15.75" customHeight="1" x14ac:dyDescent="0.2">
      <c r="B749" s="32"/>
      <c r="C749" s="32"/>
      <c r="AF749" s="32"/>
      <c r="BL749" s="32"/>
      <c r="BX749" s="32"/>
      <c r="CC749" s="32"/>
      <c r="CK749" s="32"/>
      <c r="CM749" s="32"/>
      <c r="DJ749" s="32"/>
      <c r="DT749" s="32"/>
      <c r="DY749" s="32"/>
    </row>
    <row r="750" spans="2:129" ht="15.75" customHeight="1" x14ac:dyDescent="0.2">
      <c r="B750" s="32"/>
      <c r="C750" s="32"/>
      <c r="AF750" s="32"/>
      <c r="BL750" s="32"/>
      <c r="BX750" s="32"/>
      <c r="CC750" s="32"/>
      <c r="CK750" s="32"/>
      <c r="CM750" s="32"/>
      <c r="DJ750" s="32"/>
      <c r="DT750" s="32"/>
      <c r="DY750" s="32"/>
    </row>
    <row r="751" spans="2:129" ht="15.75" customHeight="1" x14ac:dyDescent="0.2">
      <c r="B751" s="32"/>
      <c r="C751" s="32"/>
      <c r="AF751" s="32"/>
      <c r="BL751" s="32"/>
      <c r="BX751" s="32"/>
      <c r="CC751" s="32"/>
      <c r="CK751" s="32"/>
      <c r="CM751" s="32"/>
      <c r="DJ751" s="32"/>
      <c r="DT751" s="32"/>
      <c r="DY751" s="32"/>
    </row>
    <row r="752" spans="2:129" ht="15.75" customHeight="1" x14ac:dyDescent="0.2">
      <c r="B752" s="32"/>
      <c r="C752" s="32"/>
      <c r="AF752" s="32"/>
      <c r="BL752" s="32"/>
      <c r="BX752" s="32"/>
      <c r="CC752" s="32"/>
      <c r="CK752" s="32"/>
      <c r="CM752" s="32"/>
      <c r="DJ752" s="32"/>
      <c r="DT752" s="32"/>
      <c r="DY752" s="32"/>
    </row>
    <row r="753" spans="2:129" ht="15.75" customHeight="1" x14ac:dyDescent="0.2">
      <c r="B753" s="32"/>
      <c r="C753" s="32"/>
      <c r="AF753" s="32"/>
      <c r="BL753" s="32"/>
      <c r="BX753" s="32"/>
      <c r="CC753" s="32"/>
      <c r="CK753" s="32"/>
      <c r="CM753" s="32"/>
      <c r="DJ753" s="32"/>
      <c r="DT753" s="32"/>
      <c r="DY753" s="32"/>
    </row>
    <row r="754" spans="2:129" ht="15.75" customHeight="1" x14ac:dyDescent="0.2">
      <c r="B754" s="32"/>
      <c r="C754" s="32"/>
      <c r="AF754" s="32"/>
      <c r="BL754" s="32"/>
      <c r="BX754" s="32"/>
      <c r="CC754" s="32"/>
      <c r="CK754" s="32"/>
      <c r="CM754" s="32"/>
      <c r="DJ754" s="32"/>
      <c r="DT754" s="32"/>
      <c r="DY754" s="32"/>
    </row>
    <row r="755" spans="2:129" ht="15.75" customHeight="1" x14ac:dyDescent="0.2">
      <c r="B755" s="32"/>
      <c r="C755" s="32"/>
      <c r="AF755" s="32"/>
      <c r="BL755" s="32"/>
      <c r="BX755" s="32"/>
      <c r="CC755" s="32"/>
      <c r="CK755" s="32"/>
      <c r="CM755" s="32"/>
      <c r="DJ755" s="32"/>
      <c r="DT755" s="32"/>
      <c r="DY755" s="32"/>
    </row>
    <row r="756" spans="2:129" ht="15.75" customHeight="1" x14ac:dyDescent="0.2">
      <c r="B756" s="32"/>
      <c r="C756" s="32"/>
      <c r="AF756" s="32"/>
      <c r="BL756" s="32"/>
      <c r="BX756" s="32"/>
      <c r="CC756" s="32"/>
      <c r="CK756" s="32"/>
      <c r="CM756" s="32"/>
      <c r="DJ756" s="32"/>
      <c r="DT756" s="32"/>
      <c r="DY756" s="32"/>
    </row>
    <row r="757" spans="2:129" ht="15.75" customHeight="1" x14ac:dyDescent="0.2">
      <c r="B757" s="32"/>
      <c r="C757" s="32"/>
      <c r="AF757" s="32"/>
      <c r="BL757" s="32"/>
      <c r="BX757" s="32"/>
      <c r="CC757" s="32"/>
      <c r="CK757" s="32"/>
      <c r="CM757" s="32"/>
      <c r="DJ757" s="32"/>
      <c r="DT757" s="32"/>
      <c r="DY757" s="32"/>
    </row>
    <row r="758" spans="2:129" ht="15.75" customHeight="1" x14ac:dyDescent="0.2">
      <c r="B758" s="32"/>
      <c r="C758" s="32"/>
      <c r="AF758" s="32"/>
      <c r="BL758" s="32"/>
      <c r="BX758" s="32"/>
      <c r="CC758" s="32"/>
      <c r="CK758" s="32"/>
      <c r="CM758" s="32"/>
      <c r="DJ758" s="32"/>
      <c r="DT758" s="32"/>
      <c r="DY758" s="32"/>
    </row>
    <row r="759" spans="2:129" ht="15.75" customHeight="1" x14ac:dyDescent="0.2">
      <c r="B759" s="32"/>
      <c r="C759" s="32"/>
      <c r="AF759" s="32"/>
      <c r="BL759" s="32"/>
      <c r="BX759" s="32"/>
      <c r="CC759" s="32"/>
      <c r="CK759" s="32"/>
      <c r="CM759" s="32"/>
      <c r="DJ759" s="32"/>
      <c r="DT759" s="32"/>
      <c r="DY759" s="32"/>
    </row>
    <row r="760" spans="2:129" ht="15.75" customHeight="1" x14ac:dyDescent="0.2">
      <c r="B760" s="32"/>
      <c r="C760" s="32"/>
      <c r="AF760" s="32"/>
      <c r="BL760" s="32"/>
      <c r="BX760" s="32"/>
      <c r="CC760" s="32"/>
      <c r="CK760" s="32"/>
      <c r="CM760" s="32"/>
      <c r="DJ760" s="32"/>
      <c r="DT760" s="32"/>
      <c r="DY760" s="32"/>
    </row>
    <row r="761" spans="2:129" ht="15.75" customHeight="1" x14ac:dyDescent="0.2">
      <c r="B761" s="32"/>
      <c r="C761" s="32"/>
      <c r="AF761" s="32"/>
      <c r="BL761" s="32"/>
      <c r="BX761" s="32"/>
      <c r="CC761" s="32"/>
      <c r="CK761" s="32"/>
      <c r="CM761" s="32"/>
      <c r="DJ761" s="32"/>
      <c r="DT761" s="32"/>
      <c r="DY761" s="32"/>
    </row>
    <row r="762" spans="2:129" ht="15.75" customHeight="1" x14ac:dyDescent="0.2">
      <c r="B762" s="32"/>
      <c r="C762" s="32"/>
      <c r="AF762" s="32"/>
      <c r="BL762" s="32"/>
      <c r="BX762" s="32"/>
      <c r="CC762" s="32"/>
      <c r="CK762" s="32"/>
      <c r="CM762" s="32"/>
      <c r="DJ762" s="32"/>
      <c r="DT762" s="32"/>
      <c r="DY762" s="32"/>
    </row>
    <row r="763" spans="2:129" ht="15.75" customHeight="1" x14ac:dyDescent="0.2">
      <c r="B763" s="32"/>
      <c r="C763" s="32"/>
      <c r="AF763" s="32"/>
      <c r="BL763" s="32"/>
      <c r="BX763" s="32"/>
      <c r="CC763" s="32"/>
      <c r="CK763" s="32"/>
      <c r="CM763" s="32"/>
      <c r="DJ763" s="32"/>
      <c r="DT763" s="32"/>
      <c r="DY763" s="32"/>
    </row>
    <row r="764" spans="2:129" ht="15.75" customHeight="1" x14ac:dyDescent="0.2">
      <c r="B764" s="32"/>
      <c r="C764" s="32"/>
      <c r="AF764" s="32"/>
      <c r="BL764" s="32"/>
      <c r="BX764" s="32"/>
      <c r="CC764" s="32"/>
      <c r="CK764" s="32"/>
      <c r="CM764" s="32"/>
      <c r="DJ764" s="32"/>
      <c r="DT764" s="32"/>
      <c r="DY764" s="32"/>
    </row>
    <row r="765" spans="2:129" ht="15.75" customHeight="1" x14ac:dyDescent="0.2">
      <c r="B765" s="32"/>
      <c r="C765" s="32"/>
      <c r="AF765" s="32"/>
      <c r="BL765" s="32"/>
      <c r="BX765" s="32"/>
      <c r="CC765" s="32"/>
      <c r="CK765" s="32"/>
      <c r="CM765" s="32"/>
      <c r="DJ765" s="32"/>
      <c r="DT765" s="32"/>
      <c r="DY765" s="32"/>
    </row>
    <row r="766" spans="2:129" ht="15.75" customHeight="1" x14ac:dyDescent="0.2">
      <c r="B766" s="32"/>
      <c r="C766" s="32"/>
      <c r="AF766" s="32"/>
      <c r="BL766" s="32"/>
      <c r="BX766" s="32"/>
      <c r="CC766" s="32"/>
      <c r="CK766" s="32"/>
      <c r="CM766" s="32"/>
      <c r="DJ766" s="32"/>
      <c r="DT766" s="32"/>
      <c r="DY766" s="32"/>
    </row>
    <row r="767" spans="2:129" ht="15.75" customHeight="1" x14ac:dyDescent="0.2">
      <c r="B767" s="32"/>
      <c r="C767" s="32"/>
      <c r="AF767" s="32"/>
      <c r="BL767" s="32"/>
      <c r="BX767" s="32"/>
      <c r="CC767" s="32"/>
      <c r="CK767" s="32"/>
      <c r="CM767" s="32"/>
      <c r="DJ767" s="32"/>
      <c r="DT767" s="32"/>
      <c r="DY767" s="32"/>
    </row>
    <row r="768" spans="2:129" ht="15.75" customHeight="1" x14ac:dyDescent="0.2">
      <c r="B768" s="32"/>
      <c r="C768" s="32"/>
      <c r="AF768" s="32"/>
      <c r="BL768" s="32"/>
      <c r="BX768" s="32"/>
      <c r="CC768" s="32"/>
      <c r="CK768" s="32"/>
      <c r="CM768" s="32"/>
      <c r="DJ768" s="32"/>
      <c r="DT768" s="32"/>
      <c r="DY768" s="32"/>
    </row>
    <row r="769" spans="2:129" ht="15.75" customHeight="1" x14ac:dyDescent="0.2">
      <c r="B769" s="32"/>
      <c r="C769" s="32"/>
      <c r="AF769" s="32"/>
      <c r="BL769" s="32"/>
      <c r="BX769" s="32"/>
      <c r="CC769" s="32"/>
      <c r="CK769" s="32"/>
      <c r="CM769" s="32"/>
      <c r="DJ769" s="32"/>
      <c r="DT769" s="32"/>
      <c r="DY769" s="32"/>
    </row>
    <row r="770" spans="2:129" ht="15.75" customHeight="1" x14ac:dyDescent="0.2">
      <c r="B770" s="32"/>
      <c r="C770" s="32"/>
      <c r="AF770" s="32"/>
      <c r="BL770" s="32"/>
      <c r="BX770" s="32"/>
      <c r="CC770" s="32"/>
      <c r="CK770" s="32"/>
      <c r="CM770" s="32"/>
      <c r="DJ770" s="32"/>
      <c r="DT770" s="32"/>
      <c r="DY770" s="32"/>
    </row>
    <row r="771" spans="2:129" ht="15.75" customHeight="1" x14ac:dyDescent="0.2">
      <c r="B771" s="32"/>
      <c r="C771" s="32"/>
      <c r="AF771" s="32"/>
      <c r="BL771" s="32"/>
      <c r="BX771" s="32"/>
      <c r="CC771" s="32"/>
      <c r="CK771" s="32"/>
      <c r="CM771" s="32"/>
      <c r="DJ771" s="32"/>
      <c r="DT771" s="32"/>
      <c r="DY771" s="32"/>
    </row>
    <row r="772" spans="2:129" ht="15.75" customHeight="1" x14ac:dyDescent="0.2">
      <c r="B772" s="32"/>
      <c r="C772" s="32"/>
      <c r="AF772" s="32"/>
      <c r="BL772" s="32"/>
      <c r="BX772" s="32"/>
      <c r="CC772" s="32"/>
      <c r="CK772" s="32"/>
      <c r="CM772" s="32"/>
      <c r="DJ772" s="32"/>
      <c r="DT772" s="32"/>
      <c r="DY772" s="32"/>
    </row>
    <row r="773" spans="2:129" ht="15.75" customHeight="1" x14ac:dyDescent="0.2">
      <c r="B773" s="32"/>
      <c r="C773" s="32"/>
      <c r="AF773" s="32"/>
      <c r="BL773" s="32"/>
      <c r="BX773" s="32"/>
      <c r="CC773" s="32"/>
      <c r="CK773" s="32"/>
      <c r="CM773" s="32"/>
      <c r="DJ773" s="32"/>
      <c r="DT773" s="32"/>
      <c r="DY773" s="32"/>
    </row>
    <row r="774" spans="2:129" ht="15.75" customHeight="1" x14ac:dyDescent="0.2">
      <c r="B774" s="32"/>
      <c r="C774" s="32"/>
      <c r="AF774" s="32"/>
      <c r="BL774" s="32"/>
      <c r="BX774" s="32"/>
      <c r="CC774" s="32"/>
      <c r="CK774" s="32"/>
      <c r="CM774" s="32"/>
      <c r="DJ774" s="32"/>
      <c r="DT774" s="32"/>
      <c r="DY774" s="32"/>
    </row>
    <row r="775" spans="2:129" ht="15.75" customHeight="1" x14ac:dyDescent="0.2">
      <c r="B775" s="32"/>
      <c r="C775" s="32"/>
      <c r="AF775" s="32"/>
      <c r="BL775" s="32"/>
      <c r="BX775" s="32"/>
      <c r="CC775" s="32"/>
      <c r="CK775" s="32"/>
      <c r="CM775" s="32"/>
      <c r="DJ775" s="32"/>
      <c r="DT775" s="32"/>
      <c r="DY775" s="32"/>
    </row>
    <row r="776" spans="2:129" ht="15.75" customHeight="1" x14ac:dyDescent="0.2">
      <c r="B776" s="32"/>
      <c r="C776" s="32"/>
      <c r="AF776" s="32"/>
      <c r="BL776" s="32"/>
      <c r="BX776" s="32"/>
      <c r="CC776" s="32"/>
      <c r="CK776" s="32"/>
      <c r="CM776" s="32"/>
      <c r="DJ776" s="32"/>
      <c r="DT776" s="32"/>
      <c r="DY776" s="32"/>
    </row>
    <row r="777" spans="2:129" ht="15.75" customHeight="1" x14ac:dyDescent="0.2">
      <c r="B777" s="32"/>
      <c r="C777" s="32"/>
      <c r="AF777" s="32"/>
      <c r="BL777" s="32"/>
      <c r="BX777" s="32"/>
      <c r="CC777" s="32"/>
      <c r="CK777" s="32"/>
      <c r="CM777" s="32"/>
      <c r="DJ777" s="32"/>
      <c r="DT777" s="32"/>
      <c r="DY777" s="32"/>
    </row>
    <row r="778" spans="2:129" ht="15.75" customHeight="1" x14ac:dyDescent="0.2">
      <c r="B778" s="32"/>
      <c r="C778" s="32"/>
      <c r="AF778" s="32"/>
      <c r="BL778" s="32"/>
      <c r="BX778" s="32"/>
      <c r="CC778" s="32"/>
      <c r="CK778" s="32"/>
      <c r="CM778" s="32"/>
      <c r="DJ778" s="32"/>
      <c r="DT778" s="32"/>
      <c r="DY778" s="32"/>
    </row>
    <row r="779" spans="2:129" ht="15.75" customHeight="1" x14ac:dyDescent="0.2">
      <c r="B779" s="32"/>
      <c r="C779" s="32"/>
      <c r="AF779" s="32"/>
      <c r="BL779" s="32"/>
      <c r="BX779" s="32"/>
      <c r="CC779" s="32"/>
      <c r="CK779" s="32"/>
      <c r="CM779" s="32"/>
      <c r="DJ779" s="32"/>
      <c r="DT779" s="32"/>
      <c r="DY779" s="32"/>
    </row>
    <row r="780" spans="2:129" ht="15.75" customHeight="1" x14ac:dyDescent="0.2">
      <c r="B780" s="32"/>
      <c r="C780" s="32"/>
      <c r="AF780" s="32"/>
      <c r="BL780" s="32"/>
      <c r="BX780" s="32"/>
      <c r="CC780" s="32"/>
      <c r="CK780" s="32"/>
      <c r="CM780" s="32"/>
      <c r="DJ780" s="32"/>
      <c r="DT780" s="32"/>
      <c r="DY780" s="32"/>
    </row>
    <row r="781" spans="2:129" ht="15.75" customHeight="1" x14ac:dyDescent="0.2">
      <c r="B781" s="32"/>
      <c r="C781" s="32"/>
      <c r="AF781" s="32"/>
      <c r="BL781" s="32"/>
      <c r="BX781" s="32"/>
      <c r="CC781" s="32"/>
      <c r="CK781" s="32"/>
      <c r="CM781" s="32"/>
      <c r="DJ781" s="32"/>
      <c r="DT781" s="32"/>
      <c r="DY781" s="32"/>
    </row>
    <row r="782" spans="2:129" ht="15.75" customHeight="1" x14ac:dyDescent="0.2">
      <c r="B782" s="32"/>
      <c r="C782" s="32"/>
      <c r="AF782" s="32"/>
      <c r="BL782" s="32"/>
      <c r="BX782" s="32"/>
      <c r="CC782" s="32"/>
      <c r="CK782" s="32"/>
      <c r="CM782" s="32"/>
      <c r="DJ782" s="32"/>
      <c r="DT782" s="32"/>
      <c r="DY782" s="32"/>
    </row>
    <row r="783" spans="2:129" ht="15.75" customHeight="1" x14ac:dyDescent="0.2">
      <c r="B783" s="32"/>
      <c r="C783" s="32"/>
      <c r="AF783" s="32"/>
      <c r="BL783" s="32"/>
      <c r="BX783" s="32"/>
      <c r="CC783" s="32"/>
      <c r="CK783" s="32"/>
      <c r="CM783" s="32"/>
      <c r="DJ783" s="32"/>
      <c r="DT783" s="32"/>
      <c r="DY783" s="32"/>
    </row>
    <row r="784" spans="2:129" ht="15.75" customHeight="1" x14ac:dyDescent="0.2">
      <c r="B784" s="32"/>
      <c r="C784" s="32"/>
      <c r="AF784" s="32"/>
      <c r="BL784" s="32"/>
      <c r="BX784" s="32"/>
      <c r="CC784" s="32"/>
      <c r="CK784" s="32"/>
      <c r="CM784" s="32"/>
      <c r="DJ784" s="32"/>
      <c r="DT784" s="32"/>
      <c r="DY784" s="32"/>
    </row>
    <row r="785" spans="2:129" ht="15.75" customHeight="1" x14ac:dyDescent="0.2">
      <c r="B785" s="32"/>
      <c r="C785" s="32"/>
      <c r="AF785" s="32"/>
      <c r="BL785" s="32"/>
      <c r="BX785" s="32"/>
      <c r="CC785" s="32"/>
      <c r="CK785" s="32"/>
      <c r="CM785" s="32"/>
      <c r="DJ785" s="32"/>
      <c r="DT785" s="32"/>
      <c r="DY785" s="32"/>
    </row>
    <row r="786" spans="2:129" ht="15.75" customHeight="1" x14ac:dyDescent="0.2">
      <c r="B786" s="32"/>
      <c r="C786" s="32"/>
      <c r="AF786" s="32"/>
      <c r="BL786" s="32"/>
      <c r="BX786" s="32"/>
      <c r="CC786" s="32"/>
      <c r="CK786" s="32"/>
      <c r="CM786" s="32"/>
      <c r="DJ786" s="32"/>
      <c r="DT786" s="32"/>
      <c r="DY786" s="32"/>
    </row>
    <row r="787" spans="2:129" ht="15.75" customHeight="1" x14ac:dyDescent="0.2">
      <c r="B787" s="32"/>
      <c r="C787" s="32"/>
      <c r="AF787" s="32"/>
      <c r="BL787" s="32"/>
      <c r="BX787" s="32"/>
      <c r="CC787" s="32"/>
      <c r="CK787" s="32"/>
      <c r="CM787" s="32"/>
      <c r="DJ787" s="32"/>
      <c r="DT787" s="32"/>
      <c r="DY787" s="32"/>
    </row>
    <row r="788" spans="2:129" ht="15.75" customHeight="1" x14ac:dyDescent="0.2">
      <c r="B788" s="32"/>
      <c r="C788" s="32"/>
      <c r="AF788" s="32"/>
      <c r="BL788" s="32"/>
      <c r="BX788" s="32"/>
      <c r="CC788" s="32"/>
      <c r="CK788" s="32"/>
      <c r="CM788" s="32"/>
      <c r="DJ788" s="32"/>
      <c r="DT788" s="32"/>
      <c r="DY788" s="32"/>
    </row>
    <row r="789" spans="2:129" ht="15.75" customHeight="1" x14ac:dyDescent="0.2">
      <c r="B789" s="32"/>
      <c r="C789" s="32"/>
      <c r="AF789" s="32"/>
      <c r="BL789" s="32"/>
      <c r="BX789" s="32"/>
      <c r="CC789" s="32"/>
      <c r="CK789" s="32"/>
      <c r="CM789" s="32"/>
      <c r="DJ789" s="32"/>
      <c r="DT789" s="32"/>
      <c r="DY789" s="32"/>
    </row>
    <row r="790" spans="2:129" ht="15.75" customHeight="1" x14ac:dyDescent="0.2">
      <c r="B790" s="32"/>
      <c r="C790" s="32"/>
      <c r="AF790" s="32"/>
      <c r="BL790" s="32"/>
      <c r="BX790" s="32"/>
      <c r="CC790" s="32"/>
      <c r="CK790" s="32"/>
      <c r="CM790" s="32"/>
      <c r="DJ790" s="32"/>
      <c r="DT790" s="32"/>
      <c r="DY790" s="32"/>
    </row>
    <row r="791" spans="2:129" ht="15.75" customHeight="1" x14ac:dyDescent="0.2">
      <c r="B791" s="32"/>
      <c r="C791" s="32"/>
      <c r="AF791" s="32"/>
      <c r="BL791" s="32"/>
      <c r="BX791" s="32"/>
      <c r="CC791" s="32"/>
      <c r="CK791" s="32"/>
      <c r="CM791" s="32"/>
      <c r="DJ791" s="32"/>
      <c r="DT791" s="32"/>
      <c r="DY791" s="32"/>
    </row>
    <row r="792" spans="2:129" ht="15.75" customHeight="1" x14ac:dyDescent="0.2">
      <c r="B792" s="32"/>
      <c r="C792" s="32"/>
      <c r="AF792" s="32"/>
      <c r="BL792" s="32"/>
      <c r="BX792" s="32"/>
      <c r="CC792" s="32"/>
      <c r="CK792" s="32"/>
      <c r="CM792" s="32"/>
      <c r="DJ792" s="32"/>
      <c r="DT792" s="32"/>
      <c r="DY792" s="32"/>
    </row>
    <row r="793" spans="2:129" ht="15.75" customHeight="1" x14ac:dyDescent="0.2">
      <c r="B793" s="32"/>
      <c r="C793" s="32"/>
      <c r="AF793" s="32"/>
      <c r="BL793" s="32"/>
      <c r="BX793" s="32"/>
      <c r="CC793" s="32"/>
      <c r="CK793" s="32"/>
      <c r="CM793" s="32"/>
      <c r="DJ793" s="32"/>
      <c r="DT793" s="32"/>
      <c r="DY793" s="32"/>
    </row>
    <row r="794" spans="2:129" ht="15.75" customHeight="1" x14ac:dyDescent="0.2">
      <c r="B794" s="32"/>
      <c r="C794" s="32"/>
      <c r="AF794" s="32"/>
      <c r="BL794" s="32"/>
      <c r="BX794" s="32"/>
      <c r="CC794" s="32"/>
      <c r="CK794" s="32"/>
      <c r="CM794" s="32"/>
      <c r="DJ794" s="32"/>
      <c r="DT794" s="32"/>
      <c r="DY794" s="32"/>
    </row>
    <row r="795" spans="2:129" ht="15.75" customHeight="1" x14ac:dyDescent="0.2">
      <c r="B795" s="32"/>
      <c r="C795" s="32"/>
      <c r="AF795" s="32"/>
      <c r="BL795" s="32"/>
      <c r="BX795" s="32"/>
      <c r="CC795" s="32"/>
      <c r="CK795" s="32"/>
      <c r="CM795" s="32"/>
      <c r="DJ795" s="32"/>
      <c r="DT795" s="32"/>
      <c r="DY795" s="32"/>
    </row>
    <row r="796" spans="2:129" ht="15.75" customHeight="1" x14ac:dyDescent="0.2">
      <c r="B796" s="32"/>
      <c r="C796" s="32"/>
      <c r="AF796" s="32"/>
      <c r="BL796" s="32"/>
      <c r="BX796" s="32"/>
      <c r="CC796" s="32"/>
      <c r="CK796" s="32"/>
      <c r="CM796" s="32"/>
      <c r="DJ796" s="32"/>
      <c r="DT796" s="32"/>
      <c r="DY796" s="32"/>
    </row>
    <row r="797" spans="2:129" ht="15.75" customHeight="1" x14ac:dyDescent="0.2">
      <c r="B797" s="32"/>
      <c r="C797" s="32"/>
      <c r="AF797" s="32"/>
      <c r="BL797" s="32"/>
      <c r="BX797" s="32"/>
      <c r="CC797" s="32"/>
      <c r="CK797" s="32"/>
      <c r="CM797" s="32"/>
      <c r="DJ797" s="32"/>
      <c r="DT797" s="32"/>
      <c r="DY797" s="32"/>
    </row>
    <row r="798" spans="2:129" ht="15.75" customHeight="1" x14ac:dyDescent="0.2">
      <c r="B798" s="32"/>
      <c r="C798" s="32"/>
      <c r="AF798" s="32"/>
      <c r="BL798" s="32"/>
      <c r="BX798" s="32"/>
      <c r="CC798" s="32"/>
      <c r="CK798" s="32"/>
      <c r="CM798" s="32"/>
      <c r="DJ798" s="32"/>
      <c r="DT798" s="32"/>
      <c r="DY798" s="32"/>
    </row>
    <row r="799" spans="2:129" ht="15.75" customHeight="1" x14ac:dyDescent="0.2">
      <c r="B799" s="32"/>
      <c r="C799" s="32"/>
      <c r="AF799" s="32"/>
      <c r="BL799" s="32"/>
      <c r="BX799" s="32"/>
      <c r="CC799" s="32"/>
      <c r="CK799" s="32"/>
      <c r="CM799" s="32"/>
      <c r="DJ799" s="32"/>
      <c r="DT799" s="32"/>
      <c r="DY799" s="32"/>
    </row>
    <row r="800" spans="2:129" ht="15.75" customHeight="1" x14ac:dyDescent="0.2">
      <c r="B800" s="32"/>
      <c r="C800" s="32"/>
      <c r="AF800" s="32"/>
      <c r="BL800" s="32"/>
      <c r="BX800" s="32"/>
      <c r="CC800" s="32"/>
      <c r="CK800" s="32"/>
      <c r="CM800" s="32"/>
      <c r="DJ800" s="32"/>
      <c r="DT800" s="32"/>
      <c r="DY800" s="32"/>
    </row>
    <row r="801" spans="2:129" ht="15.75" customHeight="1" x14ac:dyDescent="0.2">
      <c r="B801" s="32"/>
      <c r="C801" s="32"/>
      <c r="AF801" s="32"/>
      <c r="BL801" s="32"/>
      <c r="BX801" s="32"/>
      <c r="CC801" s="32"/>
      <c r="CK801" s="32"/>
      <c r="CM801" s="32"/>
      <c r="DJ801" s="32"/>
      <c r="DT801" s="32"/>
      <c r="DY801" s="32"/>
    </row>
    <row r="802" spans="2:129" ht="15.75" customHeight="1" x14ac:dyDescent="0.2">
      <c r="B802" s="32"/>
      <c r="C802" s="32"/>
      <c r="AF802" s="32"/>
      <c r="BL802" s="32"/>
      <c r="BX802" s="32"/>
      <c r="CC802" s="32"/>
      <c r="CK802" s="32"/>
      <c r="CM802" s="32"/>
      <c r="DJ802" s="32"/>
      <c r="DT802" s="32"/>
      <c r="DY802" s="32"/>
    </row>
    <row r="803" spans="2:129" ht="15.75" customHeight="1" x14ac:dyDescent="0.2">
      <c r="B803" s="32"/>
      <c r="C803" s="32"/>
      <c r="AF803" s="32"/>
      <c r="BL803" s="32"/>
      <c r="BX803" s="32"/>
      <c r="CC803" s="32"/>
      <c r="CK803" s="32"/>
      <c r="CM803" s="32"/>
      <c r="DJ803" s="32"/>
      <c r="DT803" s="32"/>
      <c r="DY803" s="32"/>
    </row>
    <row r="804" spans="2:129" ht="15.75" customHeight="1" x14ac:dyDescent="0.2">
      <c r="B804" s="32"/>
      <c r="C804" s="32"/>
      <c r="AF804" s="32"/>
      <c r="BL804" s="32"/>
      <c r="BX804" s="32"/>
      <c r="CC804" s="32"/>
      <c r="CK804" s="32"/>
      <c r="CM804" s="32"/>
      <c r="DJ804" s="32"/>
      <c r="DT804" s="32"/>
      <c r="DY804" s="32"/>
    </row>
    <row r="805" spans="2:129" ht="15.75" customHeight="1" x14ac:dyDescent="0.2">
      <c r="B805" s="32"/>
      <c r="C805" s="32"/>
      <c r="AF805" s="32"/>
      <c r="BL805" s="32"/>
      <c r="BX805" s="32"/>
      <c r="CC805" s="32"/>
      <c r="CK805" s="32"/>
      <c r="CM805" s="32"/>
      <c r="DJ805" s="32"/>
      <c r="DT805" s="32"/>
      <c r="DY805" s="32"/>
    </row>
    <row r="806" spans="2:129" ht="15.75" customHeight="1" x14ac:dyDescent="0.2">
      <c r="B806" s="32"/>
      <c r="C806" s="32"/>
      <c r="AF806" s="32"/>
      <c r="BL806" s="32"/>
      <c r="BX806" s="32"/>
      <c r="CC806" s="32"/>
      <c r="CK806" s="32"/>
      <c r="CM806" s="32"/>
      <c r="DJ806" s="32"/>
      <c r="DT806" s="32"/>
      <c r="DY806" s="32"/>
    </row>
    <row r="807" spans="2:129" ht="15.75" customHeight="1" x14ac:dyDescent="0.2">
      <c r="B807" s="32"/>
      <c r="C807" s="32"/>
      <c r="AF807" s="32"/>
      <c r="BL807" s="32"/>
      <c r="BX807" s="32"/>
      <c r="CC807" s="32"/>
      <c r="CK807" s="32"/>
      <c r="CM807" s="32"/>
      <c r="DJ807" s="32"/>
      <c r="DT807" s="32"/>
      <c r="DY807" s="32"/>
    </row>
    <row r="808" spans="2:129" ht="15.75" customHeight="1" x14ac:dyDescent="0.2">
      <c r="B808" s="32"/>
      <c r="C808" s="32"/>
      <c r="AF808" s="32"/>
      <c r="BL808" s="32"/>
      <c r="BX808" s="32"/>
      <c r="CC808" s="32"/>
      <c r="CK808" s="32"/>
      <c r="CM808" s="32"/>
      <c r="DJ808" s="32"/>
      <c r="DT808" s="32"/>
      <c r="DY808" s="32"/>
    </row>
    <row r="809" spans="2:129" ht="15.75" customHeight="1" x14ac:dyDescent="0.2">
      <c r="B809" s="32"/>
      <c r="C809" s="32"/>
      <c r="AF809" s="32"/>
      <c r="BL809" s="32"/>
      <c r="BX809" s="32"/>
      <c r="CC809" s="32"/>
      <c r="CK809" s="32"/>
      <c r="CM809" s="32"/>
      <c r="DJ809" s="32"/>
      <c r="DT809" s="32"/>
      <c r="DY809" s="32"/>
    </row>
    <row r="810" spans="2:129" ht="15.75" customHeight="1" x14ac:dyDescent="0.2">
      <c r="B810" s="32"/>
      <c r="C810" s="32"/>
      <c r="AF810" s="32"/>
      <c r="BL810" s="32"/>
      <c r="BX810" s="32"/>
      <c r="CC810" s="32"/>
      <c r="CK810" s="32"/>
      <c r="CM810" s="32"/>
      <c r="DJ810" s="32"/>
      <c r="DT810" s="32"/>
      <c r="DY810" s="32"/>
    </row>
    <row r="811" spans="2:129" ht="15.75" customHeight="1" x14ac:dyDescent="0.2">
      <c r="B811" s="32"/>
      <c r="C811" s="32"/>
      <c r="AF811" s="32"/>
      <c r="BL811" s="32"/>
      <c r="BX811" s="32"/>
      <c r="CC811" s="32"/>
      <c r="CK811" s="32"/>
      <c r="CM811" s="32"/>
      <c r="DJ811" s="32"/>
      <c r="DT811" s="32"/>
      <c r="DY811" s="32"/>
    </row>
    <row r="812" spans="2:129" ht="15.75" customHeight="1" x14ac:dyDescent="0.2">
      <c r="B812" s="32"/>
      <c r="C812" s="32"/>
      <c r="AF812" s="32"/>
      <c r="BL812" s="32"/>
      <c r="BX812" s="32"/>
      <c r="CC812" s="32"/>
      <c r="CK812" s="32"/>
      <c r="CM812" s="32"/>
      <c r="DJ812" s="32"/>
      <c r="DT812" s="32"/>
      <c r="DY812" s="32"/>
    </row>
    <row r="813" spans="2:129" ht="15.75" customHeight="1" x14ac:dyDescent="0.2">
      <c r="B813" s="32"/>
      <c r="C813" s="32"/>
      <c r="AF813" s="32"/>
      <c r="BL813" s="32"/>
      <c r="BX813" s="32"/>
      <c r="CC813" s="32"/>
      <c r="CK813" s="32"/>
      <c r="CM813" s="32"/>
      <c r="DJ813" s="32"/>
      <c r="DT813" s="32"/>
      <c r="DY813" s="32"/>
    </row>
    <row r="814" spans="2:129" ht="15.75" customHeight="1" x14ac:dyDescent="0.2">
      <c r="B814" s="32"/>
      <c r="C814" s="32"/>
      <c r="AF814" s="32"/>
      <c r="BL814" s="32"/>
      <c r="BX814" s="32"/>
      <c r="CC814" s="32"/>
      <c r="CK814" s="32"/>
      <c r="CM814" s="32"/>
      <c r="DJ814" s="32"/>
      <c r="DT814" s="32"/>
      <c r="DY814" s="32"/>
    </row>
    <row r="815" spans="2:129" ht="15.75" customHeight="1" x14ac:dyDescent="0.2">
      <c r="B815" s="32"/>
      <c r="C815" s="32"/>
      <c r="AF815" s="32"/>
      <c r="BL815" s="32"/>
      <c r="BX815" s="32"/>
      <c r="CC815" s="32"/>
      <c r="CK815" s="32"/>
      <c r="CM815" s="32"/>
      <c r="DJ815" s="32"/>
      <c r="DT815" s="32"/>
      <c r="DY815" s="32"/>
    </row>
    <row r="816" spans="2:129" ht="15.75" customHeight="1" x14ac:dyDescent="0.2">
      <c r="B816" s="32"/>
      <c r="C816" s="32"/>
      <c r="AF816" s="32"/>
      <c r="BL816" s="32"/>
      <c r="BX816" s="32"/>
      <c r="CC816" s="32"/>
      <c r="CK816" s="32"/>
      <c r="CM816" s="32"/>
      <c r="DJ816" s="32"/>
      <c r="DT816" s="32"/>
      <c r="DY816" s="32"/>
    </row>
    <row r="817" spans="2:129" ht="15.75" customHeight="1" x14ac:dyDescent="0.2">
      <c r="B817" s="32"/>
      <c r="C817" s="32"/>
      <c r="AF817" s="32"/>
      <c r="BL817" s="32"/>
      <c r="BX817" s="32"/>
      <c r="CC817" s="32"/>
      <c r="CK817" s="32"/>
      <c r="CM817" s="32"/>
      <c r="DJ817" s="32"/>
      <c r="DT817" s="32"/>
      <c r="DY817" s="32"/>
    </row>
    <row r="818" spans="2:129" ht="15.75" customHeight="1" x14ac:dyDescent="0.2">
      <c r="B818" s="32"/>
      <c r="C818" s="32"/>
      <c r="AF818" s="32"/>
      <c r="BL818" s="32"/>
      <c r="BX818" s="32"/>
      <c r="CC818" s="32"/>
      <c r="CK818" s="32"/>
      <c r="CM818" s="32"/>
      <c r="DJ818" s="32"/>
      <c r="DT818" s="32"/>
      <c r="DY818" s="32"/>
    </row>
    <row r="819" spans="2:129" ht="15.75" customHeight="1" x14ac:dyDescent="0.2">
      <c r="B819" s="32"/>
      <c r="C819" s="32"/>
      <c r="AF819" s="32"/>
      <c r="BL819" s="32"/>
      <c r="BX819" s="32"/>
      <c r="CC819" s="32"/>
      <c r="CK819" s="32"/>
      <c r="CM819" s="32"/>
      <c r="DJ819" s="32"/>
      <c r="DT819" s="32"/>
      <c r="DY819" s="32"/>
    </row>
    <row r="820" spans="2:129" ht="15.75" customHeight="1" x14ac:dyDescent="0.2">
      <c r="B820" s="32"/>
      <c r="C820" s="32"/>
      <c r="AF820" s="32"/>
      <c r="BL820" s="32"/>
      <c r="BX820" s="32"/>
      <c r="CC820" s="32"/>
      <c r="CK820" s="32"/>
      <c r="CM820" s="32"/>
      <c r="DJ820" s="32"/>
      <c r="DT820" s="32"/>
      <c r="DY820" s="32"/>
    </row>
    <row r="821" spans="2:129" ht="15.75" customHeight="1" x14ac:dyDescent="0.2">
      <c r="B821" s="32"/>
      <c r="C821" s="32"/>
      <c r="AF821" s="32"/>
      <c r="BL821" s="32"/>
      <c r="BX821" s="32"/>
      <c r="CC821" s="32"/>
      <c r="CK821" s="32"/>
      <c r="CM821" s="32"/>
      <c r="DJ821" s="32"/>
      <c r="DT821" s="32"/>
      <c r="DY821" s="32"/>
    </row>
    <row r="822" spans="2:129" ht="15.75" customHeight="1" x14ac:dyDescent="0.2">
      <c r="B822" s="32"/>
      <c r="C822" s="32"/>
      <c r="AF822" s="32"/>
      <c r="BL822" s="32"/>
      <c r="BX822" s="32"/>
      <c r="CC822" s="32"/>
      <c r="CK822" s="32"/>
      <c r="CM822" s="32"/>
      <c r="DJ822" s="32"/>
      <c r="DT822" s="32"/>
      <c r="DY822" s="32"/>
    </row>
    <row r="823" spans="2:129" ht="15.75" customHeight="1" x14ac:dyDescent="0.2">
      <c r="B823" s="32"/>
      <c r="C823" s="32"/>
      <c r="AF823" s="32"/>
      <c r="BL823" s="32"/>
      <c r="BX823" s="32"/>
      <c r="CC823" s="32"/>
      <c r="CK823" s="32"/>
      <c r="CM823" s="32"/>
      <c r="DJ823" s="32"/>
      <c r="DT823" s="32"/>
      <c r="DY823" s="32"/>
    </row>
    <row r="824" spans="2:129" ht="15.75" customHeight="1" x14ac:dyDescent="0.2">
      <c r="B824" s="32"/>
      <c r="C824" s="32"/>
      <c r="AF824" s="32"/>
      <c r="BL824" s="32"/>
      <c r="BX824" s="32"/>
      <c r="CC824" s="32"/>
      <c r="CK824" s="32"/>
      <c r="CM824" s="32"/>
      <c r="DJ824" s="32"/>
      <c r="DT824" s="32"/>
      <c r="DY824" s="32"/>
    </row>
    <row r="825" spans="2:129" ht="15.75" customHeight="1" x14ac:dyDescent="0.2">
      <c r="B825" s="32"/>
      <c r="C825" s="32"/>
      <c r="AF825" s="32"/>
      <c r="BL825" s="32"/>
      <c r="BX825" s="32"/>
      <c r="CC825" s="32"/>
      <c r="CK825" s="32"/>
      <c r="CM825" s="32"/>
      <c r="DJ825" s="32"/>
      <c r="DT825" s="32"/>
      <c r="DY825" s="32"/>
    </row>
    <row r="826" spans="2:129" ht="15.75" customHeight="1" x14ac:dyDescent="0.2">
      <c r="B826" s="32"/>
      <c r="C826" s="32"/>
      <c r="AF826" s="32"/>
      <c r="BL826" s="32"/>
      <c r="BX826" s="32"/>
      <c r="CC826" s="32"/>
      <c r="CK826" s="32"/>
      <c r="CM826" s="32"/>
      <c r="DJ826" s="32"/>
      <c r="DT826" s="32"/>
      <c r="DY826" s="32"/>
    </row>
    <row r="827" spans="2:129" ht="15.75" customHeight="1" x14ac:dyDescent="0.2">
      <c r="B827" s="32"/>
      <c r="C827" s="32"/>
      <c r="AF827" s="32"/>
      <c r="BL827" s="32"/>
      <c r="BX827" s="32"/>
      <c r="CC827" s="32"/>
      <c r="CK827" s="32"/>
      <c r="CM827" s="32"/>
      <c r="DJ827" s="32"/>
      <c r="DT827" s="32"/>
      <c r="DY827" s="32"/>
    </row>
    <row r="828" spans="2:129" ht="15.75" customHeight="1" x14ac:dyDescent="0.2">
      <c r="B828" s="32"/>
      <c r="C828" s="32"/>
      <c r="AF828" s="32"/>
      <c r="BL828" s="32"/>
      <c r="BX828" s="32"/>
      <c r="CC828" s="32"/>
      <c r="CK828" s="32"/>
      <c r="CM828" s="32"/>
      <c r="DJ828" s="32"/>
      <c r="DT828" s="32"/>
      <c r="DY828" s="32"/>
    </row>
    <row r="829" spans="2:129" ht="15.75" customHeight="1" x14ac:dyDescent="0.2">
      <c r="B829" s="32"/>
      <c r="C829" s="32"/>
      <c r="AF829" s="32"/>
      <c r="BL829" s="32"/>
      <c r="BX829" s="32"/>
      <c r="CC829" s="32"/>
      <c r="CK829" s="32"/>
      <c r="CM829" s="32"/>
      <c r="DJ829" s="32"/>
      <c r="DT829" s="32"/>
      <c r="DY829" s="32"/>
    </row>
    <row r="830" spans="2:129" ht="15.75" customHeight="1" x14ac:dyDescent="0.2">
      <c r="B830" s="32"/>
      <c r="C830" s="32"/>
      <c r="AF830" s="32"/>
      <c r="BL830" s="32"/>
      <c r="BX830" s="32"/>
      <c r="CC830" s="32"/>
      <c r="CK830" s="32"/>
      <c r="CM830" s="32"/>
      <c r="DJ830" s="32"/>
      <c r="DT830" s="32"/>
      <c r="DY830" s="32"/>
    </row>
    <row r="831" spans="2:129" ht="15.75" customHeight="1" x14ac:dyDescent="0.2">
      <c r="B831" s="32"/>
      <c r="C831" s="32"/>
      <c r="AF831" s="32"/>
      <c r="BL831" s="32"/>
      <c r="BX831" s="32"/>
      <c r="CC831" s="32"/>
      <c r="CK831" s="32"/>
      <c r="CM831" s="32"/>
      <c r="DJ831" s="32"/>
      <c r="DT831" s="32"/>
      <c r="DY831" s="32"/>
    </row>
    <row r="832" spans="2:129" ht="15.75" customHeight="1" x14ac:dyDescent="0.2">
      <c r="B832" s="32"/>
      <c r="C832" s="32"/>
      <c r="AF832" s="32"/>
      <c r="BL832" s="32"/>
      <c r="BX832" s="32"/>
      <c r="CC832" s="32"/>
      <c r="CK832" s="32"/>
      <c r="CM832" s="32"/>
      <c r="DJ832" s="32"/>
      <c r="DT832" s="32"/>
      <c r="DY832" s="32"/>
    </row>
    <row r="833" spans="2:129" ht="15.75" customHeight="1" x14ac:dyDescent="0.2">
      <c r="B833" s="32"/>
      <c r="C833" s="32"/>
      <c r="AF833" s="32"/>
      <c r="BL833" s="32"/>
      <c r="BX833" s="32"/>
      <c r="CC833" s="32"/>
      <c r="CK833" s="32"/>
      <c r="CM833" s="32"/>
      <c r="DJ833" s="32"/>
      <c r="DT833" s="32"/>
      <c r="DY833" s="32"/>
    </row>
    <row r="834" spans="2:129" ht="15.75" customHeight="1" x14ac:dyDescent="0.2">
      <c r="B834" s="32"/>
      <c r="C834" s="32"/>
      <c r="AF834" s="32"/>
      <c r="BL834" s="32"/>
      <c r="BX834" s="32"/>
      <c r="CC834" s="32"/>
      <c r="CK834" s="32"/>
      <c r="CM834" s="32"/>
      <c r="DJ834" s="32"/>
      <c r="DT834" s="32"/>
      <c r="DY834" s="32"/>
    </row>
    <row r="835" spans="2:129" ht="15.75" customHeight="1" x14ac:dyDescent="0.2">
      <c r="B835" s="32"/>
      <c r="C835" s="32"/>
      <c r="AF835" s="32"/>
      <c r="BL835" s="32"/>
      <c r="BX835" s="32"/>
      <c r="CC835" s="32"/>
      <c r="CK835" s="32"/>
      <c r="CM835" s="32"/>
      <c r="DJ835" s="32"/>
      <c r="DT835" s="32"/>
      <c r="DY835" s="32"/>
    </row>
    <row r="836" spans="2:129" ht="15.75" customHeight="1" x14ac:dyDescent="0.2">
      <c r="B836" s="32"/>
      <c r="C836" s="32"/>
      <c r="AF836" s="32"/>
      <c r="BL836" s="32"/>
      <c r="BX836" s="32"/>
      <c r="CC836" s="32"/>
      <c r="CK836" s="32"/>
      <c r="CM836" s="32"/>
      <c r="DJ836" s="32"/>
      <c r="DT836" s="32"/>
      <c r="DY836" s="32"/>
    </row>
    <row r="837" spans="2:129" ht="15.75" customHeight="1" x14ac:dyDescent="0.2">
      <c r="B837" s="32"/>
      <c r="C837" s="32"/>
      <c r="AF837" s="32"/>
      <c r="BL837" s="32"/>
      <c r="BX837" s="32"/>
      <c r="CC837" s="32"/>
      <c r="CK837" s="32"/>
      <c r="CM837" s="32"/>
      <c r="DJ837" s="32"/>
      <c r="DT837" s="32"/>
      <c r="DY837" s="32"/>
    </row>
    <row r="838" spans="2:129" ht="15.75" customHeight="1" x14ac:dyDescent="0.2">
      <c r="B838" s="32"/>
      <c r="C838" s="32"/>
      <c r="AF838" s="32"/>
      <c r="BL838" s="32"/>
      <c r="BX838" s="32"/>
      <c r="CC838" s="32"/>
      <c r="CK838" s="32"/>
      <c r="CM838" s="32"/>
      <c r="DJ838" s="32"/>
      <c r="DT838" s="32"/>
      <c r="DY838" s="32"/>
    </row>
    <row r="839" spans="2:129" ht="15.75" customHeight="1" x14ac:dyDescent="0.2">
      <c r="B839" s="32"/>
      <c r="C839" s="32"/>
      <c r="AF839" s="32"/>
      <c r="BL839" s="32"/>
      <c r="BX839" s="32"/>
      <c r="CC839" s="32"/>
      <c r="CK839" s="32"/>
      <c r="CM839" s="32"/>
      <c r="DJ839" s="32"/>
      <c r="DT839" s="32"/>
      <c r="DY839" s="32"/>
    </row>
    <row r="840" spans="2:129" ht="15.75" customHeight="1" x14ac:dyDescent="0.2">
      <c r="B840" s="32"/>
      <c r="C840" s="32"/>
      <c r="AF840" s="32"/>
      <c r="BL840" s="32"/>
      <c r="BX840" s="32"/>
      <c r="CC840" s="32"/>
      <c r="CK840" s="32"/>
      <c r="CM840" s="32"/>
      <c r="DJ840" s="32"/>
      <c r="DT840" s="32"/>
      <c r="DY840" s="32"/>
    </row>
    <row r="841" spans="2:129" ht="15.75" customHeight="1" x14ac:dyDescent="0.2">
      <c r="B841" s="32"/>
      <c r="C841" s="32"/>
      <c r="AF841" s="32"/>
      <c r="BL841" s="32"/>
      <c r="BX841" s="32"/>
      <c r="CC841" s="32"/>
      <c r="CK841" s="32"/>
      <c r="CM841" s="32"/>
      <c r="DJ841" s="32"/>
      <c r="DT841" s="32"/>
      <c r="DY841" s="32"/>
    </row>
    <row r="842" spans="2:129" ht="15.75" customHeight="1" x14ac:dyDescent="0.2">
      <c r="B842" s="32"/>
      <c r="C842" s="32"/>
      <c r="AF842" s="32"/>
      <c r="BL842" s="32"/>
      <c r="BX842" s="32"/>
      <c r="CC842" s="32"/>
      <c r="CK842" s="32"/>
      <c r="CM842" s="32"/>
      <c r="DJ842" s="32"/>
      <c r="DT842" s="32"/>
      <c r="DY842" s="32"/>
    </row>
    <row r="843" spans="2:129" ht="15.75" customHeight="1" x14ac:dyDescent="0.2">
      <c r="B843" s="32"/>
      <c r="C843" s="32"/>
      <c r="AF843" s="32"/>
      <c r="BL843" s="32"/>
      <c r="BX843" s="32"/>
      <c r="CC843" s="32"/>
      <c r="CK843" s="32"/>
      <c r="CM843" s="32"/>
      <c r="DJ843" s="32"/>
      <c r="DT843" s="32"/>
      <c r="DY843" s="32"/>
    </row>
    <row r="844" spans="2:129" ht="15.75" customHeight="1" x14ac:dyDescent="0.2">
      <c r="B844" s="32"/>
      <c r="C844" s="32"/>
      <c r="AF844" s="32"/>
      <c r="BL844" s="32"/>
      <c r="BX844" s="32"/>
      <c r="CC844" s="32"/>
      <c r="CK844" s="32"/>
      <c r="CM844" s="32"/>
      <c r="DJ844" s="32"/>
      <c r="DT844" s="32"/>
      <c r="DY844" s="32"/>
    </row>
    <row r="845" spans="2:129" ht="15.75" customHeight="1" x14ac:dyDescent="0.2">
      <c r="B845" s="32"/>
      <c r="C845" s="32"/>
      <c r="AF845" s="32"/>
      <c r="BL845" s="32"/>
      <c r="BX845" s="32"/>
      <c r="CC845" s="32"/>
      <c r="CK845" s="32"/>
      <c r="CM845" s="32"/>
      <c r="DJ845" s="32"/>
      <c r="DT845" s="32"/>
      <c r="DY845" s="32"/>
    </row>
    <row r="846" spans="2:129" ht="15.75" customHeight="1" x14ac:dyDescent="0.2">
      <c r="B846" s="32"/>
      <c r="C846" s="32"/>
      <c r="AF846" s="32"/>
      <c r="BL846" s="32"/>
      <c r="BX846" s="32"/>
      <c r="CC846" s="32"/>
      <c r="CK846" s="32"/>
      <c r="CM846" s="32"/>
      <c r="DJ846" s="32"/>
      <c r="DT846" s="32"/>
      <c r="DY846" s="32"/>
    </row>
    <row r="847" spans="2:129" ht="15.75" customHeight="1" x14ac:dyDescent="0.2">
      <c r="B847" s="32"/>
      <c r="C847" s="32"/>
      <c r="AF847" s="32"/>
      <c r="BL847" s="32"/>
      <c r="BX847" s="32"/>
      <c r="CC847" s="32"/>
      <c r="CK847" s="32"/>
      <c r="CM847" s="32"/>
      <c r="DJ847" s="32"/>
      <c r="DT847" s="32"/>
      <c r="DY847" s="32"/>
    </row>
    <row r="848" spans="2:129" ht="15.75" customHeight="1" x14ac:dyDescent="0.2">
      <c r="B848" s="32"/>
      <c r="C848" s="32"/>
      <c r="AF848" s="32"/>
      <c r="BL848" s="32"/>
      <c r="BX848" s="32"/>
      <c r="CC848" s="32"/>
      <c r="CK848" s="32"/>
      <c r="CM848" s="32"/>
      <c r="DJ848" s="32"/>
      <c r="DT848" s="32"/>
      <c r="DY848" s="32"/>
    </row>
    <row r="849" spans="2:129" ht="15.75" customHeight="1" x14ac:dyDescent="0.2">
      <c r="B849" s="32"/>
      <c r="C849" s="32"/>
      <c r="AF849" s="32"/>
      <c r="BL849" s="32"/>
      <c r="BX849" s="32"/>
      <c r="CC849" s="32"/>
      <c r="CK849" s="32"/>
      <c r="CM849" s="32"/>
      <c r="DJ849" s="32"/>
      <c r="DT849" s="32"/>
      <c r="DY849" s="32"/>
    </row>
    <row r="850" spans="2:129" ht="15.75" customHeight="1" x14ac:dyDescent="0.2">
      <c r="B850" s="32"/>
      <c r="C850" s="32"/>
      <c r="AF850" s="32"/>
      <c r="BL850" s="32"/>
      <c r="BX850" s="32"/>
      <c r="CC850" s="32"/>
      <c r="CK850" s="32"/>
      <c r="CM850" s="32"/>
      <c r="DJ850" s="32"/>
      <c r="DT850" s="32"/>
      <c r="DY850" s="32"/>
    </row>
    <row r="851" spans="2:129" ht="15.75" customHeight="1" x14ac:dyDescent="0.2">
      <c r="B851" s="32"/>
      <c r="C851" s="32"/>
      <c r="AF851" s="32"/>
      <c r="BL851" s="32"/>
      <c r="BX851" s="32"/>
      <c r="CC851" s="32"/>
      <c r="CK851" s="32"/>
      <c r="CM851" s="32"/>
      <c r="DJ851" s="32"/>
      <c r="DT851" s="32"/>
      <c r="DY851" s="32"/>
    </row>
    <row r="852" spans="2:129" ht="15.75" customHeight="1" x14ac:dyDescent="0.2">
      <c r="B852" s="32"/>
      <c r="C852" s="32"/>
      <c r="AF852" s="32"/>
      <c r="BL852" s="32"/>
      <c r="BX852" s="32"/>
      <c r="CC852" s="32"/>
      <c r="CK852" s="32"/>
      <c r="CM852" s="32"/>
      <c r="DJ852" s="32"/>
      <c r="DT852" s="32"/>
      <c r="DY852" s="32"/>
    </row>
    <row r="853" spans="2:129" ht="15.75" customHeight="1" x14ac:dyDescent="0.2">
      <c r="B853" s="32"/>
      <c r="C853" s="32"/>
      <c r="AF853" s="32"/>
      <c r="BL853" s="32"/>
      <c r="BX853" s="32"/>
      <c r="CC853" s="32"/>
      <c r="CK853" s="32"/>
      <c r="CM853" s="32"/>
      <c r="DJ853" s="32"/>
      <c r="DT853" s="32"/>
      <c r="DY853" s="32"/>
    </row>
    <row r="854" spans="2:129" ht="15.75" customHeight="1" x14ac:dyDescent="0.2">
      <c r="B854" s="32"/>
      <c r="C854" s="32"/>
      <c r="AF854" s="32"/>
      <c r="BL854" s="32"/>
      <c r="BX854" s="32"/>
      <c r="CC854" s="32"/>
      <c r="CK854" s="32"/>
      <c r="CM854" s="32"/>
      <c r="DJ854" s="32"/>
      <c r="DT854" s="32"/>
      <c r="DY854" s="32"/>
    </row>
    <row r="855" spans="2:129" ht="15.75" customHeight="1" x14ac:dyDescent="0.2">
      <c r="B855" s="32"/>
      <c r="C855" s="32"/>
      <c r="AF855" s="32"/>
      <c r="BL855" s="32"/>
      <c r="BX855" s="32"/>
      <c r="CC855" s="32"/>
      <c r="CK855" s="32"/>
      <c r="CM855" s="32"/>
      <c r="DJ855" s="32"/>
      <c r="DT855" s="32"/>
      <c r="DY855" s="32"/>
    </row>
    <row r="856" spans="2:129" ht="15.75" customHeight="1" x14ac:dyDescent="0.2">
      <c r="B856" s="32"/>
      <c r="C856" s="32"/>
      <c r="AF856" s="32"/>
      <c r="BL856" s="32"/>
      <c r="BX856" s="32"/>
      <c r="CC856" s="32"/>
      <c r="CK856" s="32"/>
      <c r="CM856" s="32"/>
      <c r="DJ856" s="32"/>
      <c r="DT856" s="32"/>
      <c r="DY856" s="32"/>
    </row>
    <row r="857" spans="2:129" ht="15.75" customHeight="1" x14ac:dyDescent="0.2">
      <c r="B857" s="32"/>
      <c r="C857" s="32"/>
      <c r="AF857" s="32"/>
      <c r="BL857" s="32"/>
      <c r="BX857" s="32"/>
      <c r="CC857" s="32"/>
      <c r="CK857" s="32"/>
      <c r="CM857" s="32"/>
      <c r="DJ857" s="32"/>
      <c r="DT857" s="32"/>
      <c r="DY857" s="32"/>
    </row>
    <row r="858" spans="2:129" ht="15.75" customHeight="1" x14ac:dyDescent="0.2">
      <c r="B858" s="32"/>
      <c r="C858" s="32"/>
      <c r="AF858" s="32"/>
      <c r="BL858" s="32"/>
      <c r="BX858" s="32"/>
      <c r="CC858" s="32"/>
      <c r="CK858" s="32"/>
      <c r="CM858" s="32"/>
      <c r="DJ858" s="32"/>
      <c r="DT858" s="32"/>
      <c r="DY858" s="32"/>
    </row>
    <row r="859" spans="2:129" ht="15.75" customHeight="1" x14ac:dyDescent="0.2">
      <c r="B859" s="32"/>
      <c r="C859" s="32"/>
      <c r="AF859" s="32"/>
      <c r="BL859" s="32"/>
      <c r="BX859" s="32"/>
      <c r="CC859" s="32"/>
      <c r="CK859" s="32"/>
      <c r="CM859" s="32"/>
      <c r="DJ859" s="32"/>
      <c r="DT859" s="32"/>
      <c r="DY859" s="32"/>
    </row>
    <row r="860" spans="2:129" ht="15.75" customHeight="1" x14ac:dyDescent="0.2">
      <c r="B860" s="32"/>
      <c r="C860" s="32"/>
      <c r="AF860" s="32"/>
      <c r="BL860" s="32"/>
      <c r="BX860" s="32"/>
      <c r="CC860" s="32"/>
      <c r="CK860" s="32"/>
      <c r="CM860" s="32"/>
      <c r="DJ860" s="32"/>
      <c r="DT860" s="32"/>
      <c r="DY860" s="32"/>
    </row>
    <row r="861" spans="2:129" ht="15.75" customHeight="1" x14ac:dyDescent="0.2">
      <c r="B861" s="32"/>
      <c r="C861" s="32"/>
      <c r="AF861" s="32"/>
      <c r="BL861" s="32"/>
      <c r="BX861" s="32"/>
      <c r="CC861" s="32"/>
      <c r="CK861" s="32"/>
      <c r="CM861" s="32"/>
      <c r="DJ861" s="32"/>
      <c r="DT861" s="32"/>
      <c r="DY861" s="32"/>
    </row>
    <row r="862" spans="2:129" ht="15.75" customHeight="1" x14ac:dyDescent="0.2">
      <c r="B862" s="32"/>
      <c r="C862" s="32"/>
      <c r="AF862" s="32"/>
      <c r="BL862" s="32"/>
      <c r="BX862" s="32"/>
      <c r="CC862" s="32"/>
      <c r="CK862" s="32"/>
      <c r="CM862" s="32"/>
      <c r="DJ862" s="32"/>
      <c r="DT862" s="32"/>
      <c r="DY862" s="32"/>
    </row>
    <row r="863" spans="2:129" ht="15.75" customHeight="1" x14ac:dyDescent="0.2">
      <c r="B863" s="32"/>
      <c r="C863" s="32"/>
      <c r="AF863" s="32"/>
      <c r="BL863" s="32"/>
      <c r="BX863" s="32"/>
      <c r="CC863" s="32"/>
      <c r="CK863" s="32"/>
      <c r="CM863" s="32"/>
      <c r="DJ863" s="32"/>
      <c r="DT863" s="32"/>
      <c r="DY863" s="32"/>
    </row>
    <row r="864" spans="2:129" ht="15.75" customHeight="1" x14ac:dyDescent="0.2">
      <c r="B864" s="32"/>
      <c r="C864" s="32"/>
      <c r="AF864" s="32"/>
      <c r="BL864" s="32"/>
      <c r="BX864" s="32"/>
      <c r="CC864" s="32"/>
      <c r="CK864" s="32"/>
      <c r="CM864" s="32"/>
      <c r="DJ864" s="32"/>
      <c r="DT864" s="32"/>
      <c r="DY864" s="32"/>
    </row>
    <row r="865" spans="2:129" ht="15.75" customHeight="1" x14ac:dyDescent="0.2">
      <c r="B865" s="32"/>
      <c r="C865" s="32"/>
      <c r="AF865" s="32"/>
      <c r="BL865" s="32"/>
      <c r="BX865" s="32"/>
      <c r="CC865" s="32"/>
      <c r="CK865" s="32"/>
      <c r="CM865" s="32"/>
      <c r="DJ865" s="32"/>
      <c r="DT865" s="32"/>
      <c r="DY865" s="32"/>
    </row>
    <row r="866" spans="2:129" ht="15.75" customHeight="1" x14ac:dyDescent="0.2">
      <c r="B866" s="32"/>
      <c r="C866" s="32"/>
      <c r="AF866" s="32"/>
      <c r="BL866" s="32"/>
      <c r="BX866" s="32"/>
      <c r="CC866" s="32"/>
      <c r="CK866" s="32"/>
      <c r="CM866" s="32"/>
      <c r="DJ866" s="32"/>
      <c r="DT866" s="32"/>
      <c r="DY866" s="32"/>
    </row>
    <row r="867" spans="2:129" ht="15.75" customHeight="1" x14ac:dyDescent="0.2">
      <c r="B867" s="32"/>
      <c r="C867" s="32"/>
      <c r="AF867" s="32"/>
      <c r="BL867" s="32"/>
      <c r="BX867" s="32"/>
      <c r="CC867" s="32"/>
      <c r="CK867" s="32"/>
      <c r="CM867" s="32"/>
      <c r="DJ867" s="32"/>
      <c r="DT867" s="32"/>
      <c r="DY867" s="32"/>
    </row>
    <row r="868" spans="2:129" ht="15.75" customHeight="1" x14ac:dyDescent="0.2">
      <c r="B868" s="32"/>
      <c r="C868" s="32"/>
      <c r="AF868" s="32"/>
      <c r="BL868" s="32"/>
      <c r="BX868" s="32"/>
      <c r="CC868" s="32"/>
      <c r="CK868" s="32"/>
      <c r="CM868" s="32"/>
      <c r="DJ868" s="32"/>
      <c r="DT868" s="32"/>
      <c r="DY868" s="32"/>
    </row>
    <row r="869" spans="2:129" ht="15.75" customHeight="1" x14ac:dyDescent="0.2">
      <c r="B869" s="32"/>
      <c r="C869" s="32"/>
      <c r="AF869" s="32"/>
      <c r="BL869" s="32"/>
      <c r="BX869" s="32"/>
      <c r="CC869" s="32"/>
      <c r="CK869" s="32"/>
      <c r="CM869" s="32"/>
      <c r="DJ869" s="32"/>
      <c r="DT869" s="32"/>
      <c r="DY869" s="32"/>
    </row>
    <row r="870" spans="2:129" ht="15.75" customHeight="1" x14ac:dyDescent="0.2">
      <c r="B870" s="32"/>
      <c r="C870" s="32"/>
      <c r="AF870" s="32"/>
      <c r="BL870" s="32"/>
      <c r="BX870" s="32"/>
      <c r="CC870" s="32"/>
      <c r="CK870" s="32"/>
      <c r="CM870" s="32"/>
      <c r="DJ870" s="32"/>
      <c r="DT870" s="32"/>
      <c r="DY870" s="32"/>
    </row>
    <row r="871" spans="2:129" ht="15.75" customHeight="1" x14ac:dyDescent="0.2">
      <c r="B871" s="32"/>
      <c r="C871" s="32"/>
      <c r="AF871" s="32"/>
      <c r="BL871" s="32"/>
      <c r="BX871" s="32"/>
      <c r="CC871" s="32"/>
      <c r="CK871" s="32"/>
      <c r="CM871" s="32"/>
      <c r="DJ871" s="32"/>
      <c r="DT871" s="32"/>
      <c r="DY871" s="32"/>
    </row>
    <row r="872" spans="2:129" ht="15.75" customHeight="1" x14ac:dyDescent="0.2">
      <c r="B872" s="32"/>
      <c r="C872" s="32"/>
      <c r="AF872" s="32"/>
      <c r="BL872" s="32"/>
      <c r="BX872" s="32"/>
      <c r="CC872" s="32"/>
      <c r="CK872" s="32"/>
      <c r="CM872" s="32"/>
      <c r="DJ872" s="32"/>
      <c r="DT872" s="32"/>
      <c r="DY872" s="32"/>
    </row>
    <row r="873" spans="2:129" ht="15.75" customHeight="1" x14ac:dyDescent="0.2">
      <c r="B873" s="32"/>
      <c r="C873" s="32"/>
      <c r="AF873" s="32"/>
      <c r="BL873" s="32"/>
      <c r="BX873" s="32"/>
      <c r="CC873" s="32"/>
      <c r="CK873" s="32"/>
      <c r="CM873" s="32"/>
      <c r="DJ873" s="32"/>
      <c r="DT873" s="32"/>
      <c r="DY873" s="32"/>
    </row>
    <row r="874" spans="2:129" ht="15.75" customHeight="1" x14ac:dyDescent="0.2">
      <c r="B874" s="32"/>
      <c r="C874" s="32"/>
      <c r="AF874" s="32"/>
      <c r="BL874" s="32"/>
      <c r="BX874" s="32"/>
      <c r="CC874" s="32"/>
      <c r="CK874" s="32"/>
      <c r="CM874" s="32"/>
      <c r="DJ874" s="32"/>
      <c r="DT874" s="32"/>
      <c r="DY874" s="32"/>
    </row>
    <row r="875" spans="2:129" ht="15.75" customHeight="1" x14ac:dyDescent="0.2">
      <c r="B875" s="32"/>
      <c r="C875" s="32"/>
      <c r="AF875" s="32"/>
      <c r="BL875" s="32"/>
      <c r="BX875" s="32"/>
      <c r="CC875" s="32"/>
      <c r="CK875" s="32"/>
      <c r="CM875" s="32"/>
      <c r="DJ875" s="32"/>
      <c r="DT875" s="32"/>
      <c r="DY875" s="32"/>
    </row>
    <row r="876" spans="2:129" ht="15.75" customHeight="1" x14ac:dyDescent="0.2">
      <c r="B876" s="32"/>
      <c r="C876" s="32"/>
      <c r="AF876" s="32"/>
      <c r="BL876" s="32"/>
      <c r="BX876" s="32"/>
      <c r="CC876" s="32"/>
      <c r="CK876" s="32"/>
      <c r="CM876" s="32"/>
      <c r="DJ876" s="32"/>
      <c r="DT876" s="32"/>
      <c r="DY876" s="32"/>
    </row>
    <row r="877" spans="2:129" ht="15.75" customHeight="1" x14ac:dyDescent="0.2">
      <c r="B877" s="32"/>
      <c r="C877" s="32"/>
      <c r="AF877" s="32"/>
      <c r="BL877" s="32"/>
      <c r="BX877" s="32"/>
      <c r="CC877" s="32"/>
      <c r="CK877" s="32"/>
      <c r="CM877" s="32"/>
      <c r="DJ877" s="32"/>
      <c r="DT877" s="32"/>
      <c r="DY877" s="32"/>
    </row>
    <row r="878" spans="2:129" ht="15.75" customHeight="1" x14ac:dyDescent="0.2">
      <c r="B878" s="32"/>
      <c r="C878" s="32"/>
      <c r="AF878" s="32"/>
      <c r="BL878" s="32"/>
      <c r="BX878" s="32"/>
      <c r="CC878" s="32"/>
      <c r="CK878" s="32"/>
      <c r="CM878" s="32"/>
      <c r="DJ878" s="32"/>
      <c r="DT878" s="32"/>
      <c r="DY878" s="32"/>
    </row>
    <row r="879" spans="2:129" ht="15.75" customHeight="1" x14ac:dyDescent="0.2">
      <c r="B879" s="32"/>
      <c r="C879" s="32"/>
      <c r="AF879" s="32"/>
      <c r="BL879" s="32"/>
      <c r="BX879" s="32"/>
      <c r="CC879" s="32"/>
      <c r="CK879" s="32"/>
      <c r="CM879" s="32"/>
      <c r="DJ879" s="32"/>
      <c r="DT879" s="32"/>
      <c r="DY879" s="32"/>
    </row>
    <row r="880" spans="2:129" ht="15.75" customHeight="1" x14ac:dyDescent="0.2">
      <c r="B880" s="32"/>
      <c r="C880" s="32"/>
      <c r="AF880" s="32"/>
      <c r="BL880" s="32"/>
      <c r="BX880" s="32"/>
      <c r="CC880" s="32"/>
      <c r="CK880" s="32"/>
      <c r="CM880" s="32"/>
      <c r="DJ880" s="32"/>
      <c r="DT880" s="32"/>
      <c r="DY880" s="32"/>
    </row>
    <row r="881" spans="2:129" ht="15.75" customHeight="1" x14ac:dyDescent="0.2">
      <c r="B881" s="32"/>
      <c r="C881" s="32"/>
      <c r="AF881" s="32"/>
      <c r="BL881" s="32"/>
      <c r="BX881" s="32"/>
      <c r="CC881" s="32"/>
      <c r="CK881" s="32"/>
      <c r="CM881" s="32"/>
      <c r="DJ881" s="32"/>
      <c r="DT881" s="32"/>
      <c r="DY881" s="32"/>
    </row>
    <row r="882" spans="2:129" ht="15.75" customHeight="1" x14ac:dyDescent="0.2">
      <c r="B882" s="32"/>
      <c r="C882" s="32"/>
      <c r="AF882" s="32"/>
      <c r="BL882" s="32"/>
      <c r="BX882" s="32"/>
      <c r="CC882" s="32"/>
      <c r="CK882" s="32"/>
      <c r="CM882" s="32"/>
      <c r="DJ882" s="32"/>
      <c r="DT882" s="32"/>
      <c r="DY882" s="32"/>
    </row>
    <row r="883" spans="2:129" ht="15.75" customHeight="1" x14ac:dyDescent="0.2">
      <c r="B883" s="32"/>
      <c r="C883" s="32"/>
      <c r="AF883" s="32"/>
      <c r="BL883" s="32"/>
      <c r="BX883" s="32"/>
      <c r="CC883" s="32"/>
      <c r="CK883" s="32"/>
      <c r="CM883" s="32"/>
      <c r="DJ883" s="32"/>
      <c r="DT883" s="32"/>
      <c r="DY883" s="32"/>
    </row>
    <row r="884" spans="2:129" ht="15.75" customHeight="1" x14ac:dyDescent="0.2">
      <c r="B884" s="32"/>
      <c r="C884" s="32"/>
      <c r="AF884" s="32"/>
      <c r="BL884" s="32"/>
      <c r="BX884" s="32"/>
      <c r="CC884" s="32"/>
      <c r="CK884" s="32"/>
      <c r="CM884" s="32"/>
      <c r="DJ884" s="32"/>
      <c r="DT884" s="32"/>
      <c r="DY884" s="32"/>
    </row>
    <row r="885" spans="2:129" ht="15.75" customHeight="1" x14ac:dyDescent="0.2">
      <c r="B885" s="32"/>
      <c r="C885" s="32"/>
      <c r="AF885" s="32"/>
      <c r="BL885" s="32"/>
      <c r="BX885" s="32"/>
      <c r="CC885" s="32"/>
      <c r="CK885" s="32"/>
      <c r="CM885" s="32"/>
      <c r="DJ885" s="32"/>
      <c r="DT885" s="32"/>
      <c r="DY885" s="32"/>
    </row>
    <row r="886" spans="2:129" ht="15.75" customHeight="1" x14ac:dyDescent="0.2">
      <c r="B886" s="32"/>
      <c r="C886" s="32"/>
      <c r="AF886" s="32"/>
      <c r="BL886" s="32"/>
      <c r="BX886" s="32"/>
      <c r="CC886" s="32"/>
      <c r="CK886" s="32"/>
      <c r="CM886" s="32"/>
      <c r="DJ886" s="32"/>
      <c r="DT886" s="32"/>
      <c r="DY886" s="32"/>
    </row>
    <row r="887" spans="2:129" ht="15.75" customHeight="1" x14ac:dyDescent="0.2">
      <c r="B887" s="32"/>
      <c r="C887" s="32"/>
      <c r="AF887" s="32"/>
      <c r="BL887" s="32"/>
      <c r="BX887" s="32"/>
      <c r="CC887" s="32"/>
      <c r="CK887" s="32"/>
      <c r="CM887" s="32"/>
      <c r="DJ887" s="32"/>
      <c r="DT887" s="32"/>
      <c r="DY887" s="32"/>
    </row>
    <row r="888" spans="2:129" ht="15.75" customHeight="1" x14ac:dyDescent="0.2">
      <c r="B888" s="32"/>
      <c r="C888" s="32"/>
      <c r="AF888" s="32"/>
      <c r="BL888" s="32"/>
      <c r="BX888" s="32"/>
      <c r="CC888" s="32"/>
      <c r="CK888" s="32"/>
      <c r="CM888" s="32"/>
      <c r="DJ888" s="32"/>
      <c r="DT888" s="32"/>
      <c r="DY888" s="32"/>
    </row>
    <row r="889" spans="2:129" ht="15.75" customHeight="1" x14ac:dyDescent="0.2">
      <c r="B889" s="32"/>
      <c r="C889" s="32"/>
      <c r="AF889" s="32"/>
      <c r="BL889" s="32"/>
      <c r="BX889" s="32"/>
      <c r="CC889" s="32"/>
      <c r="CK889" s="32"/>
      <c r="CM889" s="32"/>
      <c r="DJ889" s="32"/>
      <c r="DT889" s="32"/>
      <c r="DY889" s="32"/>
    </row>
    <row r="890" spans="2:129" ht="15.75" customHeight="1" x14ac:dyDescent="0.2">
      <c r="B890" s="32"/>
      <c r="C890" s="32"/>
      <c r="AF890" s="32"/>
      <c r="BL890" s="32"/>
      <c r="BX890" s="32"/>
      <c r="CC890" s="32"/>
      <c r="CK890" s="32"/>
      <c r="CM890" s="32"/>
      <c r="DJ890" s="32"/>
      <c r="DT890" s="32"/>
      <c r="DY890" s="32"/>
    </row>
    <row r="891" spans="2:129" ht="15.75" customHeight="1" x14ac:dyDescent="0.2">
      <c r="B891" s="32"/>
      <c r="C891" s="32"/>
      <c r="AF891" s="32"/>
      <c r="BL891" s="32"/>
      <c r="BX891" s="32"/>
      <c r="CC891" s="32"/>
      <c r="CK891" s="32"/>
      <c r="CM891" s="32"/>
      <c r="DJ891" s="32"/>
      <c r="DT891" s="32"/>
      <c r="DY891" s="32"/>
    </row>
    <row r="892" spans="2:129" ht="15.75" customHeight="1" x14ac:dyDescent="0.2">
      <c r="B892" s="32"/>
      <c r="C892" s="32"/>
      <c r="AF892" s="32"/>
      <c r="BL892" s="32"/>
      <c r="BX892" s="32"/>
      <c r="CC892" s="32"/>
      <c r="CK892" s="32"/>
      <c r="CM892" s="32"/>
      <c r="DJ892" s="32"/>
      <c r="DT892" s="32"/>
      <c r="DY892" s="32"/>
    </row>
    <row r="893" spans="2:129" ht="15.75" customHeight="1" x14ac:dyDescent="0.2">
      <c r="B893" s="32"/>
      <c r="C893" s="32"/>
      <c r="AF893" s="32"/>
      <c r="BL893" s="32"/>
      <c r="BX893" s="32"/>
      <c r="CC893" s="32"/>
      <c r="CK893" s="32"/>
      <c r="CM893" s="32"/>
      <c r="DJ893" s="32"/>
      <c r="DT893" s="32"/>
      <c r="DY893" s="32"/>
    </row>
    <row r="894" spans="2:129" ht="15.75" customHeight="1" x14ac:dyDescent="0.2">
      <c r="B894" s="32"/>
      <c r="C894" s="32"/>
      <c r="AF894" s="32"/>
      <c r="BL894" s="32"/>
      <c r="BX894" s="32"/>
      <c r="CC894" s="32"/>
      <c r="CK894" s="32"/>
      <c r="CM894" s="32"/>
      <c r="DJ894" s="32"/>
      <c r="DT894" s="32"/>
      <c r="DY894" s="32"/>
    </row>
    <row r="895" spans="2:129" ht="15.75" customHeight="1" x14ac:dyDescent="0.2">
      <c r="B895" s="32"/>
      <c r="C895" s="32"/>
      <c r="AF895" s="32"/>
      <c r="BL895" s="32"/>
      <c r="BX895" s="32"/>
      <c r="CC895" s="32"/>
      <c r="CK895" s="32"/>
      <c r="CM895" s="32"/>
      <c r="DJ895" s="32"/>
      <c r="DT895" s="32"/>
      <c r="DY895" s="32"/>
    </row>
    <row r="896" spans="2:129" ht="15.75" customHeight="1" x14ac:dyDescent="0.2">
      <c r="B896" s="32"/>
      <c r="C896" s="32"/>
      <c r="AF896" s="32"/>
      <c r="BL896" s="32"/>
      <c r="BX896" s="32"/>
      <c r="CC896" s="32"/>
      <c r="CK896" s="32"/>
      <c r="CM896" s="32"/>
      <c r="DJ896" s="32"/>
      <c r="DT896" s="32"/>
      <c r="DY896" s="32"/>
    </row>
    <row r="897" spans="2:129" ht="15.75" customHeight="1" x14ac:dyDescent="0.2">
      <c r="B897" s="32"/>
      <c r="C897" s="32"/>
      <c r="AF897" s="32"/>
      <c r="BL897" s="32"/>
      <c r="BX897" s="32"/>
      <c r="CC897" s="32"/>
      <c r="CK897" s="32"/>
      <c r="CM897" s="32"/>
      <c r="DJ897" s="32"/>
      <c r="DT897" s="32"/>
      <c r="DY897" s="32"/>
    </row>
    <row r="898" spans="2:129" ht="15.75" customHeight="1" x14ac:dyDescent="0.2">
      <c r="B898" s="32"/>
      <c r="C898" s="32"/>
      <c r="AF898" s="32"/>
      <c r="BL898" s="32"/>
      <c r="BX898" s="32"/>
      <c r="CC898" s="32"/>
      <c r="CK898" s="32"/>
      <c r="CM898" s="32"/>
      <c r="DJ898" s="32"/>
      <c r="DT898" s="32"/>
      <c r="DY898" s="32"/>
    </row>
    <row r="899" spans="2:129" ht="15.75" customHeight="1" x14ac:dyDescent="0.2">
      <c r="B899" s="32"/>
      <c r="C899" s="32"/>
      <c r="AF899" s="32"/>
      <c r="BL899" s="32"/>
      <c r="BX899" s="32"/>
      <c r="CC899" s="32"/>
      <c r="CK899" s="32"/>
      <c r="CM899" s="32"/>
      <c r="DJ899" s="32"/>
      <c r="DT899" s="32"/>
      <c r="DY899" s="32"/>
    </row>
    <row r="900" spans="2:129" ht="15.75" customHeight="1" x14ac:dyDescent="0.2">
      <c r="B900" s="32"/>
      <c r="C900" s="32"/>
      <c r="AF900" s="32"/>
      <c r="BL900" s="32"/>
      <c r="BX900" s="32"/>
      <c r="CC900" s="32"/>
      <c r="CK900" s="32"/>
      <c r="CM900" s="32"/>
      <c r="DJ900" s="32"/>
      <c r="DT900" s="32"/>
      <c r="DY900" s="32"/>
    </row>
    <row r="901" spans="2:129" ht="15.75" customHeight="1" x14ac:dyDescent="0.2">
      <c r="B901" s="32"/>
      <c r="C901" s="32"/>
      <c r="AF901" s="32"/>
      <c r="BL901" s="32"/>
      <c r="BX901" s="32"/>
      <c r="CC901" s="32"/>
      <c r="CK901" s="32"/>
      <c r="CM901" s="32"/>
      <c r="DJ901" s="32"/>
      <c r="DT901" s="32"/>
      <c r="DY901" s="32"/>
    </row>
    <row r="902" spans="2:129" ht="15.75" customHeight="1" x14ac:dyDescent="0.2">
      <c r="B902" s="32"/>
      <c r="C902" s="32"/>
      <c r="AF902" s="32"/>
      <c r="BL902" s="32"/>
      <c r="BX902" s="32"/>
      <c r="CC902" s="32"/>
      <c r="CK902" s="32"/>
      <c r="CM902" s="32"/>
      <c r="DJ902" s="32"/>
      <c r="DT902" s="32"/>
      <c r="DY902" s="32"/>
    </row>
    <row r="903" spans="2:129" ht="15.75" customHeight="1" x14ac:dyDescent="0.2">
      <c r="B903" s="32"/>
      <c r="C903" s="32"/>
      <c r="AF903" s="32"/>
      <c r="BL903" s="32"/>
      <c r="BX903" s="32"/>
      <c r="CC903" s="32"/>
      <c r="CK903" s="32"/>
      <c r="CM903" s="32"/>
      <c r="DJ903" s="32"/>
      <c r="DT903" s="32"/>
      <c r="DY903" s="32"/>
    </row>
    <row r="904" spans="2:129" ht="15.75" customHeight="1" x14ac:dyDescent="0.2">
      <c r="B904" s="32"/>
      <c r="C904" s="32"/>
      <c r="AF904" s="32"/>
      <c r="BL904" s="32"/>
      <c r="BX904" s="32"/>
      <c r="CC904" s="32"/>
      <c r="CK904" s="32"/>
      <c r="CM904" s="32"/>
      <c r="DJ904" s="32"/>
      <c r="DT904" s="32"/>
      <c r="DY904" s="32"/>
    </row>
    <row r="905" spans="2:129" ht="15.75" customHeight="1" x14ac:dyDescent="0.2">
      <c r="B905" s="32"/>
      <c r="C905" s="32"/>
      <c r="AF905" s="32"/>
      <c r="BL905" s="32"/>
      <c r="BX905" s="32"/>
      <c r="CC905" s="32"/>
      <c r="CK905" s="32"/>
      <c r="CM905" s="32"/>
      <c r="DJ905" s="32"/>
      <c r="DT905" s="32"/>
      <c r="DY905" s="32"/>
    </row>
    <row r="906" spans="2:129" ht="15.75" customHeight="1" x14ac:dyDescent="0.2">
      <c r="B906" s="32"/>
      <c r="C906" s="32"/>
      <c r="AF906" s="32"/>
      <c r="BL906" s="32"/>
      <c r="BX906" s="32"/>
      <c r="CC906" s="32"/>
      <c r="CK906" s="32"/>
      <c r="CM906" s="32"/>
      <c r="DJ906" s="32"/>
      <c r="DT906" s="32"/>
      <c r="DY906" s="32"/>
    </row>
    <row r="907" spans="2:129" ht="15.75" customHeight="1" x14ac:dyDescent="0.2">
      <c r="B907" s="32"/>
      <c r="C907" s="32"/>
      <c r="AF907" s="32"/>
      <c r="BL907" s="32"/>
      <c r="BX907" s="32"/>
      <c r="CC907" s="32"/>
      <c r="CK907" s="32"/>
      <c r="CM907" s="32"/>
      <c r="DJ907" s="32"/>
      <c r="DT907" s="32"/>
      <c r="DY907" s="32"/>
    </row>
    <row r="908" spans="2:129" ht="15.75" customHeight="1" x14ac:dyDescent="0.2">
      <c r="B908" s="32"/>
      <c r="C908" s="32"/>
      <c r="AF908" s="32"/>
      <c r="BL908" s="32"/>
      <c r="BX908" s="32"/>
      <c r="CC908" s="32"/>
      <c r="CK908" s="32"/>
      <c r="CM908" s="32"/>
      <c r="DJ908" s="32"/>
      <c r="DT908" s="32"/>
      <c r="DY908" s="32"/>
    </row>
    <row r="909" spans="2:129" ht="15.75" customHeight="1" x14ac:dyDescent="0.2">
      <c r="B909" s="32"/>
      <c r="C909" s="32"/>
      <c r="AF909" s="32"/>
      <c r="BL909" s="32"/>
      <c r="BX909" s="32"/>
      <c r="CC909" s="32"/>
      <c r="CK909" s="32"/>
      <c r="CM909" s="32"/>
      <c r="DJ909" s="32"/>
      <c r="DT909" s="32"/>
      <c r="DY909" s="32"/>
    </row>
    <row r="910" spans="2:129" ht="15.75" customHeight="1" x14ac:dyDescent="0.2">
      <c r="B910" s="32"/>
      <c r="C910" s="32"/>
      <c r="AF910" s="32"/>
      <c r="BL910" s="32"/>
      <c r="BX910" s="32"/>
      <c r="CC910" s="32"/>
      <c r="CK910" s="32"/>
      <c r="CM910" s="32"/>
      <c r="DJ910" s="32"/>
      <c r="DT910" s="32"/>
      <c r="DY910" s="32"/>
    </row>
    <row r="911" spans="2:129" ht="15.75" customHeight="1" x14ac:dyDescent="0.2">
      <c r="B911" s="32"/>
      <c r="C911" s="32"/>
      <c r="AF911" s="32"/>
      <c r="BL911" s="32"/>
      <c r="BX911" s="32"/>
      <c r="CC911" s="32"/>
      <c r="CK911" s="32"/>
      <c r="CM911" s="32"/>
      <c r="DJ911" s="32"/>
      <c r="DT911" s="32"/>
      <c r="DY911" s="32"/>
    </row>
    <row r="912" spans="2:129" ht="15.75" customHeight="1" x14ac:dyDescent="0.2">
      <c r="B912" s="32"/>
      <c r="C912" s="32"/>
      <c r="AF912" s="32"/>
      <c r="BL912" s="32"/>
      <c r="BX912" s="32"/>
      <c r="CC912" s="32"/>
      <c r="CK912" s="32"/>
      <c r="CM912" s="32"/>
      <c r="DJ912" s="32"/>
      <c r="DT912" s="32"/>
      <c r="DY912" s="32"/>
    </row>
    <row r="913" spans="2:129" ht="15.75" customHeight="1" x14ac:dyDescent="0.2">
      <c r="B913" s="32"/>
      <c r="C913" s="32"/>
      <c r="AF913" s="32"/>
      <c r="BL913" s="32"/>
      <c r="BX913" s="32"/>
      <c r="CC913" s="32"/>
      <c r="CK913" s="32"/>
      <c r="CM913" s="32"/>
      <c r="DJ913" s="32"/>
      <c r="DT913" s="32"/>
      <c r="DY913" s="32"/>
    </row>
    <row r="914" spans="2:129" ht="15.75" customHeight="1" x14ac:dyDescent="0.2">
      <c r="B914" s="32"/>
      <c r="C914" s="32"/>
      <c r="AF914" s="32"/>
      <c r="BL914" s="32"/>
      <c r="BX914" s="32"/>
      <c r="CC914" s="32"/>
      <c r="CK914" s="32"/>
      <c r="CM914" s="32"/>
      <c r="DJ914" s="32"/>
      <c r="DT914" s="32"/>
      <c r="DY914" s="32"/>
    </row>
    <row r="915" spans="2:129" ht="15.75" customHeight="1" x14ac:dyDescent="0.2">
      <c r="B915" s="32"/>
      <c r="C915" s="32"/>
      <c r="AF915" s="32"/>
      <c r="BL915" s="32"/>
      <c r="BX915" s="32"/>
      <c r="CC915" s="32"/>
      <c r="CK915" s="32"/>
      <c r="CM915" s="32"/>
      <c r="DJ915" s="32"/>
      <c r="DT915" s="32"/>
      <c r="DY915" s="32"/>
    </row>
    <row r="916" spans="2:129" ht="15.75" customHeight="1" x14ac:dyDescent="0.2">
      <c r="B916" s="32"/>
      <c r="C916" s="32"/>
      <c r="AF916" s="32"/>
      <c r="BL916" s="32"/>
      <c r="BX916" s="32"/>
      <c r="CC916" s="32"/>
      <c r="CK916" s="32"/>
      <c r="CM916" s="32"/>
      <c r="DJ916" s="32"/>
      <c r="DT916" s="32"/>
      <c r="DY916" s="32"/>
    </row>
    <row r="917" spans="2:129" ht="15.75" customHeight="1" x14ac:dyDescent="0.2">
      <c r="B917" s="32"/>
      <c r="C917" s="32"/>
      <c r="AF917" s="32"/>
      <c r="BL917" s="32"/>
      <c r="BX917" s="32"/>
      <c r="CC917" s="32"/>
      <c r="CK917" s="32"/>
      <c r="CM917" s="32"/>
      <c r="DJ917" s="32"/>
      <c r="DT917" s="32"/>
      <c r="DY917" s="32"/>
    </row>
    <row r="918" spans="2:129" ht="15.75" customHeight="1" x14ac:dyDescent="0.2">
      <c r="B918" s="32"/>
      <c r="C918" s="32"/>
      <c r="AF918" s="32"/>
      <c r="BL918" s="32"/>
      <c r="BX918" s="32"/>
      <c r="CC918" s="32"/>
      <c r="CK918" s="32"/>
      <c r="CM918" s="32"/>
      <c r="DJ918" s="32"/>
      <c r="DT918" s="32"/>
      <c r="DY918" s="32"/>
    </row>
    <row r="919" spans="2:129" ht="15.75" customHeight="1" x14ac:dyDescent="0.2">
      <c r="B919" s="32"/>
      <c r="C919" s="32"/>
      <c r="AF919" s="32"/>
      <c r="BL919" s="32"/>
      <c r="BX919" s="32"/>
      <c r="CC919" s="32"/>
      <c r="CK919" s="32"/>
      <c r="CM919" s="32"/>
      <c r="DJ919" s="32"/>
      <c r="DT919" s="32"/>
      <c r="DY919" s="32"/>
    </row>
    <row r="920" spans="2:129" ht="15.75" customHeight="1" x14ac:dyDescent="0.2">
      <c r="B920" s="32"/>
      <c r="C920" s="32"/>
      <c r="AF920" s="32"/>
      <c r="BL920" s="32"/>
      <c r="BX920" s="32"/>
      <c r="CC920" s="32"/>
      <c r="CK920" s="32"/>
      <c r="CM920" s="32"/>
      <c r="DJ920" s="32"/>
      <c r="DT920" s="32"/>
      <c r="DY920" s="32"/>
    </row>
    <row r="921" spans="2:129" ht="15.75" customHeight="1" x14ac:dyDescent="0.2">
      <c r="B921" s="32"/>
      <c r="C921" s="32"/>
      <c r="AF921" s="32"/>
      <c r="BL921" s="32"/>
      <c r="BX921" s="32"/>
      <c r="CC921" s="32"/>
      <c r="CK921" s="32"/>
      <c r="CM921" s="32"/>
      <c r="DJ921" s="32"/>
      <c r="DT921" s="32"/>
      <c r="DY921" s="32"/>
    </row>
    <row r="922" spans="2:129" ht="15.75" customHeight="1" x14ac:dyDescent="0.2">
      <c r="B922" s="32"/>
      <c r="C922" s="32"/>
      <c r="AF922" s="32"/>
      <c r="BL922" s="32"/>
      <c r="BX922" s="32"/>
      <c r="CC922" s="32"/>
      <c r="CK922" s="32"/>
      <c r="CM922" s="32"/>
      <c r="DJ922" s="32"/>
      <c r="DT922" s="32"/>
      <c r="DY922" s="32"/>
    </row>
    <row r="923" spans="2:129" ht="15.75" customHeight="1" x14ac:dyDescent="0.2">
      <c r="B923" s="32"/>
      <c r="C923" s="32"/>
      <c r="AF923" s="32"/>
      <c r="BL923" s="32"/>
      <c r="BX923" s="32"/>
      <c r="CC923" s="32"/>
      <c r="CK923" s="32"/>
      <c r="CM923" s="32"/>
      <c r="DJ923" s="32"/>
      <c r="DT923" s="32"/>
      <c r="DY923" s="32"/>
    </row>
    <row r="924" spans="2:129" ht="15.75" customHeight="1" x14ac:dyDescent="0.2">
      <c r="B924" s="32"/>
      <c r="C924" s="32"/>
      <c r="AF924" s="32"/>
      <c r="BL924" s="32"/>
      <c r="BX924" s="32"/>
      <c r="CC924" s="32"/>
      <c r="CK924" s="32"/>
      <c r="CM924" s="32"/>
      <c r="DJ924" s="32"/>
      <c r="DT924" s="32"/>
      <c r="DY924" s="32"/>
    </row>
    <row r="925" spans="2:129" ht="15.75" customHeight="1" x14ac:dyDescent="0.2">
      <c r="B925" s="32"/>
      <c r="C925" s="32"/>
      <c r="AF925" s="32"/>
      <c r="BL925" s="32"/>
      <c r="BX925" s="32"/>
      <c r="CC925" s="32"/>
      <c r="CK925" s="32"/>
      <c r="CM925" s="32"/>
      <c r="DJ925" s="32"/>
      <c r="DT925" s="32"/>
      <c r="DY925" s="32"/>
    </row>
    <row r="926" spans="2:129" ht="15.75" customHeight="1" x14ac:dyDescent="0.2">
      <c r="B926" s="32"/>
      <c r="C926" s="32"/>
      <c r="AF926" s="32"/>
      <c r="BL926" s="32"/>
      <c r="BX926" s="32"/>
      <c r="CC926" s="32"/>
      <c r="CK926" s="32"/>
      <c r="CM926" s="32"/>
      <c r="DJ926" s="32"/>
      <c r="DT926" s="32"/>
      <c r="DY926" s="32"/>
    </row>
    <row r="927" spans="2:129" ht="15.75" customHeight="1" x14ac:dyDescent="0.2">
      <c r="B927" s="32"/>
      <c r="C927" s="32"/>
      <c r="AF927" s="32"/>
      <c r="BL927" s="32"/>
      <c r="BX927" s="32"/>
      <c r="CC927" s="32"/>
      <c r="CK927" s="32"/>
      <c r="CM927" s="32"/>
      <c r="DJ927" s="32"/>
      <c r="DT927" s="32"/>
      <c r="DY927" s="32"/>
    </row>
    <row r="928" spans="2:129" ht="15.75" customHeight="1" x14ac:dyDescent="0.2">
      <c r="B928" s="32"/>
      <c r="C928" s="32"/>
      <c r="AF928" s="32"/>
      <c r="BL928" s="32"/>
      <c r="BX928" s="32"/>
      <c r="CC928" s="32"/>
      <c r="CK928" s="32"/>
      <c r="CM928" s="32"/>
      <c r="DJ928" s="32"/>
      <c r="DT928" s="32"/>
      <c r="DY928" s="32"/>
    </row>
    <row r="929" spans="2:129" ht="15.75" customHeight="1" x14ac:dyDescent="0.2">
      <c r="B929" s="32"/>
      <c r="C929" s="32"/>
      <c r="AF929" s="32"/>
      <c r="BL929" s="32"/>
      <c r="BX929" s="32"/>
      <c r="CC929" s="32"/>
      <c r="CK929" s="32"/>
      <c r="CM929" s="32"/>
      <c r="DJ929" s="32"/>
      <c r="DT929" s="32"/>
      <c r="DY929" s="32"/>
    </row>
    <row r="930" spans="2:129" ht="15.75" customHeight="1" x14ac:dyDescent="0.2">
      <c r="B930" s="32"/>
      <c r="C930" s="32"/>
      <c r="AF930" s="32"/>
      <c r="BL930" s="32"/>
      <c r="BX930" s="32"/>
      <c r="CC930" s="32"/>
      <c r="CK930" s="32"/>
      <c r="CM930" s="32"/>
      <c r="DJ930" s="32"/>
      <c r="DT930" s="32"/>
      <c r="DY930" s="32"/>
    </row>
    <row r="931" spans="2:129" ht="15.75" customHeight="1" x14ac:dyDescent="0.2">
      <c r="B931" s="32"/>
      <c r="C931" s="32"/>
      <c r="AF931" s="32"/>
      <c r="BL931" s="32"/>
      <c r="BX931" s="32"/>
      <c r="CC931" s="32"/>
      <c r="CK931" s="32"/>
      <c r="CM931" s="32"/>
      <c r="DJ931" s="32"/>
      <c r="DT931" s="32"/>
      <c r="DY931" s="32"/>
    </row>
    <row r="932" spans="2:129" ht="15.75" customHeight="1" x14ac:dyDescent="0.2">
      <c r="B932" s="32"/>
      <c r="C932" s="32"/>
      <c r="AF932" s="32"/>
      <c r="BL932" s="32"/>
      <c r="BX932" s="32"/>
      <c r="CC932" s="32"/>
      <c r="CK932" s="32"/>
      <c r="CM932" s="32"/>
      <c r="DJ932" s="32"/>
      <c r="DT932" s="32"/>
      <c r="DY932" s="32"/>
    </row>
    <row r="933" spans="2:129" ht="15.75" customHeight="1" x14ac:dyDescent="0.2">
      <c r="B933" s="32"/>
      <c r="C933" s="32"/>
      <c r="AF933" s="32"/>
      <c r="BL933" s="32"/>
      <c r="BX933" s="32"/>
      <c r="CC933" s="32"/>
      <c r="CK933" s="32"/>
      <c r="CM933" s="32"/>
      <c r="DJ933" s="32"/>
      <c r="DT933" s="32"/>
      <c r="DY933" s="32"/>
    </row>
    <row r="934" spans="2:129" ht="15.75" customHeight="1" x14ac:dyDescent="0.2">
      <c r="B934" s="32"/>
      <c r="C934" s="32"/>
      <c r="AF934" s="32"/>
      <c r="BL934" s="32"/>
      <c r="BX934" s="32"/>
      <c r="CC934" s="32"/>
      <c r="CK934" s="32"/>
      <c r="CM934" s="32"/>
      <c r="DJ934" s="32"/>
      <c r="DT934" s="32"/>
      <c r="DY934" s="32"/>
    </row>
    <row r="935" spans="2:129" ht="15.75" customHeight="1" x14ac:dyDescent="0.2">
      <c r="B935" s="32"/>
      <c r="C935" s="32"/>
      <c r="AF935" s="32"/>
      <c r="BL935" s="32"/>
      <c r="BX935" s="32"/>
      <c r="CC935" s="32"/>
      <c r="CK935" s="32"/>
      <c r="CM935" s="32"/>
      <c r="DJ935" s="32"/>
      <c r="DT935" s="32"/>
      <c r="DY935" s="32"/>
    </row>
    <row r="936" spans="2:129" ht="15.75" customHeight="1" x14ac:dyDescent="0.2">
      <c r="B936" s="32"/>
      <c r="C936" s="32"/>
      <c r="AF936" s="32"/>
      <c r="BL936" s="32"/>
      <c r="BX936" s="32"/>
      <c r="CC936" s="32"/>
      <c r="CK936" s="32"/>
      <c r="CM936" s="32"/>
      <c r="DJ936" s="32"/>
      <c r="DT936" s="32"/>
      <c r="DY936" s="32"/>
    </row>
    <row r="937" spans="2:129" ht="15.75" customHeight="1" x14ac:dyDescent="0.2">
      <c r="B937" s="32"/>
      <c r="C937" s="32"/>
      <c r="AF937" s="32"/>
      <c r="BL937" s="32"/>
      <c r="BX937" s="32"/>
      <c r="CC937" s="32"/>
      <c r="CK937" s="32"/>
      <c r="CM937" s="32"/>
      <c r="DJ937" s="32"/>
      <c r="DT937" s="32"/>
      <c r="DY937" s="32"/>
    </row>
    <row r="938" spans="2:129" ht="15.75" customHeight="1" x14ac:dyDescent="0.2">
      <c r="B938" s="32"/>
      <c r="C938" s="32"/>
      <c r="AF938" s="32"/>
      <c r="BL938" s="32"/>
      <c r="BX938" s="32"/>
      <c r="CC938" s="32"/>
      <c r="CK938" s="32"/>
      <c r="CM938" s="32"/>
      <c r="DJ938" s="32"/>
      <c r="DT938" s="32"/>
      <c r="DY938" s="32"/>
    </row>
    <row r="939" spans="2:129" ht="15.75" customHeight="1" x14ac:dyDescent="0.2">
      <c r="B939" s="32"/>
      <c r="C939" s="32"/>
      <c r="AF939" s="32"/>
      <c r="BL939" s="32"/>
      <c r="BX939" s="32"/>
      <c r="CC939" s="32"/>
      <c r="CK939" s="32"/>
      <c r="CM939" s="32"/>
      <c r="DJ939" s="32"/>
      <c r="DT939" s="32"/>
      <c r="DY939" s="32"/>
    </row>
    <row r="940" spans="2:129" ht="15.75" customHeight="1" x14ac:dyDescent="0.2">
      <c r="B940" s="32"/>
      <c r="C940" s="32"/>
      <c r="AF940" s="32"/>
      <c r="BL940" s="32"/>
      <c r="BX940" s="32"/>
      <c r="CC940" s="32"/>
      <c r="CK940" s="32"/>
      <c r="CM940" s="32"/>
      <c r="DJ940" s="32"/>
      <c r="DT940" s="32"/>
      <c r="DY940" s="32"/>
    </row>
    <row r="941" spans="2:129" ht="15.75" customHeight="1" x14ac:dyDescent="0.2">
      <c r="B941" s="32"/>
      <c r="C941" s="32"/>
      <c r="AF941" s="32"/>
      <c r="BL941" s="32"/>
      <c r="BX941" s="32"/>
      <c r="CC941" s="32"/>
      <c r="CK941" s="32"/>
      <c r="CM941" s="32"/>
      <c r="DJ941" s="32"/>
      <c r="DT941" s="32"/>
      <c r="DY941" s="32"/>
    </row>
    <row r="942" spans="2:129" ht="15.75" customHeight="1" x14ac:dyDescent="0.2">
      <c r="B942" s="32"/>
      <c r="C942" s="32"/>
      <c r="AF942" s="32"/>
      <c r="BL942" s="32"/>
      <c r="BX942" s="32"/>
      <c r="CC942" s="32"/>
      <c r="CK942" s="32"/>
      <c r="CM942" s="32"/>
      <c r="DJ942" s="32"/>
      <c r="DT942" s="32"/>
      <c r="DY942" s="32"/>
    </row>
    <row r="943" spans="2:129" ht="15.75" customHeight="1" x14ac:dyDescent="0.2">
      <c r="B943" s="32"/>
      <c r="C943" s="32"/>
      <c r="AF943" s="32"/>
      <c r="BL943" s="32"/>
      <c r="BX943" s="32"/>
      <c r="CC943" s="32"/>
      <c r="CK943" s="32"/>
      <c r="CM943" s="32"/>
      <c r="DJ943" s="32"/>
      <c r="DT943" s="32"/>
      <c r="DY943" s="32"/>
    </row>
    <row r="944" spans="2:129" ht="15.75" customHeight="1" x14ac:dyDescent="0.2">
      <c r="B944" s="32"/>
      <c r="C944" s="32"/>
      <c r="AF944" s="32"/>
      <c r="BL944" s="32"/>
      <c r="BX944" s="32"/>
      <c r="CC944" s="32"/>
      <c r="CK944" s="32"/>
      <c r="CM944" s="32"/>
      <c r="DJ944" s="32"/>
      <c r="DT944" s="32"/>
      <c r="DY944" s="32"/>
    </row>
    <row r="945" spans="2:129" ht="15.75" customHeight="1" x14ac:dyDescent="0.2">
      <c r="B945" s="32"/>
      <c r="C945" s="32"/>
      <c r="AF945" s="32"/>
      <c r="BL945" s="32"/>
      <c r="BX945" s="32"/>
      <c r="CC945" s="32"/>
      <c r="CK945" s="32"/>
      <c r="CM945" s="32"/>
      <c r="DJ945" s="32"/>
      <c r="DT945" s="32"/>
      <c r="DY945" s="32"/>
    </row>
    <row r="946" spans="2:129" ht="15.75" customHeight="1" x14ac:dyDescent="0.2">
      <c r="B946" s="32"/>
      <c r="C946" s="32"/>
      <c r="AF946" s="32"/>
      <c r="BL946" s="32"/>
      <c r="BX946" s="32"/>
      <c r="CC946" s="32"/>
      <c r="CK946" s="32"/>
      <c r="CM946" s="32"/>
      <c r="DJ946" s="32"/>
      <c r="DT946" s="32"/>
      <c r="DY946" s="32"/>
    </row>
    <row r="947" spans="2:129" ht="15.75" customHeight="1" x14ac:dyDescent="0.2">
      <c r="B947" s="32"/>
      <c r="C947" s="32"/>
      <c r="AF947" s="32"/>
      <c r="BL947" s="32"/>
      <c r="BX947" s="32"/>
      <c r="CC947" s="32"/>
      <c r="CK947" s="32"/>
      <c r="CM947" s="32"/>
      <c r="DJ947" s="32"/>
      <c r="DT947" s="32"/>
      <c r="DY947" s="32"/>
    </row>
    <row r="948" spans="2:129" ht="15.75" customHeight="1" x14ac:dyDescent="0.2">
      <c r="B948" s="32"/>
      <c r="C948" s="32"/>
      <c r="AF948" s="32"/>
      <c r="BL948" s="32"/>
      <c r="BX948" s="32"/>
      <c r="CC948" s="32"/>
      <c r="CK948" s="32"/>
      <c r="CM948" s="32"/>
      <c r="DJ948" s="32"/>
      <c r="DT948" s="32"/>
      <c r="DY948" s="32"/>
    </row>
    <row r="949" spans="2:129" ht="15.75" customHeight="1" x14ac:dyDescent="0.2">
      <c r="B949" s="32"/>
      <c r="C949" s="32"/>
      <c r="AF949" s="32"/>
      <c r="BL949" s="32"/>
      <c r="BX949" s="32"/>
      <c r="CC949" s="32"/>
      <c r="CK949" s="32"/>
      <c r="CM949" s="32"/>
      <c r="DJ949" s="32"/>
      <c r="DT949" s="32"/>
      <c r="DY949" s="32"/>
    </row>
    <row r="950" spans="2:129" ht="15.75" customHeight="1" x14ac:dyDescent="0.2">
      <c r="B950" s="32"/>
      <c r="C950" s="32"/>
      <c r="AF950" s="32"/>
      <c r="BL950" s="32"/>
      <c r="BX950" s="32"/>
      <c r="CC950" s="32"/>
      <c r="CK950" s="32"/>
      <c r="CM950" s="32"/>
      <c r="DJ950" s="32"/>
      <c r="DT950" s="32"/>
      <c r="DY950" s="32"/>
    </row>
    <row r="951" spans="2:129" ht="15.75" customHeight="1" x14ac:dyDescent="0.2">
      <c r="B951" s="32"/>
      <c r="C951" s="32"/>
      <c r="AF951" s="32"/>
      <c r="BL951" s="32"/>
      <c r="BX951" s="32"/>
      <c r="CC951" s="32"/>
      <c r="CK951" s="32"/>
      <c r="CM951" s="32"/>
      <c r="DJ951" s="32"/>
      <c r="DT951" s="32"/>
      <c r="DY951" s="32"/>
    </row>
    <row r="952" spans="2:129" ht="15.75" customHeight="1" x14ac:dyDescent="0.2">
      <c r="B952" s="32"/>
      <c r="C952" s="32"/>
      <c r="AF952" s="32"/>
      <c r="BL952" s="32"/>
      <c r="BX952" s="32"/>
      <c r="CC952" s="32"/>
      <c r="CK952" s="32"/>
      <c r="CM952" s="32"/>
      <c r="DJ952" s="32"/>
      <c r="DT952" s="32"/>
      <c r="DY952" s="32"/>
    </row>
    <row r="953" spans="2:129" ht="15.75" customHeight="1" x14ac:dyDescent="0.2">
      <c r="B953" s="32"/>
      <c r="C953" s="32"/>
      <c r="AF953" s="32"/>
      <c r="BL953" s="32"/>
      <c r="BX953" s="32"/>
      <c r="CC953" s="32"/>
      <c r="CK953" s="32"/>
      <c r="CM953" s="32"/>
      <c r="DJ953" s="32"/>
      <c r="DT953" s="32"/>
      <c r="DY953" s="32"/>
    </row>
    <row r="954" spans="2:129" ht="15.75" customHeight="1" x14ac:dyDescent="0.2">
      <c r="B954" s="32"/>
      <c r="C954" s="32"/>
      <c r="AF954" s="32"/>
      <c r="BL954" s="32"/>
      <c r="BX954" s="32"/>
      <c r="CC954" s="32"/>
      <c r="CK954" s="32"/>
      <c r="CM954" s="32"/>
      <c r="DJ954" s="32"/>
      <c r="DT954" s="32"/>
      <c r="DY954" s="32"/>
    </row>
    <row r="955" spans="2:129" ht="15.75" customHeight="1" x14ac:dyDescent="0.2">
      <c r="B955" s="32"/>
      <c r="C955" s="32"/>
      <c r="AF955" s="32"/>
      <c r="BL955" s="32"/>
      <c r="BX955" s="32"/>
      <c r="CC955" s="32"/>
      <c r="CK955" s="32"/>
      <c r="CM955" s="32"/>
      <c r="DJ955" s="32"/>
      <c r="DT955" s="32"/>
      <c r="DY955" s="32"/>
    </row>
    <row r="956" spans="2:129" ht="15.75" customHeight="1" x14ac:dyDescent="0.2">
      <c r="B956" s="32"/>
      <c r="C956" s="32"/>
      <c r="AF956" s="32"/>
      <c r="BL956" s="32"/>
      <c r="BX956" s="32"/>
      <c r="CC956" s="32"/>
      <c r="CK956" s="32"/>
      <c r="CM956" s="32"/>
      <c r="DJ956" s="32"/>
      <c r="DT956" s="32"/>
      <c r="DY956" s="32"/>
    </row>
    <row r="957" spans="2:129" ht="15.75" customHeight="1" x14ac:dyDescent="0.2">
      <c r="B957" s="32"/>
      <c r="C957" s="32"/>
      <c r="AF957" s="32"/>
      <c r="BL957" s="32"/>
      <c r="BX957" s="32"/>
      <c r="CC957" s="32"/>
      <c r="CK957" s="32"/>
      <c r="CM957" s="32"/>
      <c r="DJ957" s="32"/>
      <c r="DT957" s="32"/>
      <c r="DY957" s="32"/>
    </row>
    <row r="958" spans="2:129" ht="15.75" customHeight="1" x14ac:dyDescent="0.2">
      <c r="B958" s="32"/>
      <c r="C958" s="32"/>
      <c r="AF958" s="32"/>
      <c r="BL958" s="32"/>
      <c r="BX958" s="32"/>
      <c r="CC958" s="32"/>
      <c r="CK958" s="32"/>
      <c r="CM958" s="32"/>
      <c r="DJ958" s="32"/>
      <c r="DT958" s="32"/>
      <c r="DY958" s="32"/>
    </row>
    <row r="959" spans="2:129" ht="15.75" customHeight="1" x14ac:dyDescent="0.2">
      <c r="B959" s="32"/>
      <c r="C959" s="32"/>
      <c r="AF959" s="32"/>
      <c r="BL959" s="32"/>
      <c r="BX959" s="32"/>
      <c r="CC959" s="32"/>
      <c r="CK959" s="32"/>
      <c r="CM959" s="32"/>
      <c r="DJ959" s="32"/>
      <c r="DT959" s="32"/>
      <c r="DY959" s="32"/>
    </row>
    <row r="960" spans="2:129" ht="15.75" customHeight="1" x14ac:dyDescent="0.2">
      <c r="B960" s="32"/>
      <c r="C960" s="32"/>
      <c r="AF960" s="32"/>
      <c r="BL960" s="32"/>
      <c r="BX960" s="32"/>
      <c r="CC960" s="32"/>
      <c r="CK960" s="32"/>
      <c r="CM960" s="32"/>
      <c r="DJ960" s="32"/>
      <c r="DT960" s="32"/>
      <c r="DY960" s="32"/>
    </row>
    <row r="961" spans="2:129" ht="15.75" customHeight="1" x14ac:dyDescent="0.2">
      <c r="B961" s="32"/>
      <c r="C961" s="32"/>
      <c r="AF961" s="32"/>
      <c r="BL961" s="32"/>
      <c r="BX961" s="32"/>
      <c r="CC961" s="32"/>
      <c r="CK961" s="32"/>
      <c r="CM961" s="32"/>
      <c r="DJ961" s="32"/>
      <c r="DT961" s="32"/>
      <c r="DY961" s="32"/>
    </row>
    <row r="962" spans="2:129" ht="15.75" customHeight="1" x14ac:dyDescent="0.2">
      <c r="B962" s="32"/>
      <c r="C962" s="32"/>
      <c r="AF962" s="32"/>
      <c r="BL962" s="32"/>
      <c r="BX962" s="32"/>
      <c r="CC962" s="32"/>
      <c r="CK962" s="32"/>
      <c r="CM962" s="32"/>
      <c r="DJ962" s="32"/>
      <c r="DT962" s="32"/>
      <c r="DY962" s="32"/>
    </row>
    <row r="963" spans="2:129" ht="15.75" customHeight="1" x14ac:dyDescent="0.2">
      <c r="B963" s="32"/>
      <c r="C963" s="32"/>
      <c r="AF963" s="32"/>
      <c r="BL963" s="32"/>
      <c r="BX963" s="32"/>
      <c r="CC963" s="32"/>
      <c r="CK963" s="32"/>
      <c r="CM963" s="32"/>
      <c r="DJ963" s="32"/>
      <c r="DT963" s="32"/>
      <c r="DY963" s="32"/>
    </row>
    <row r="964" spans="2:129" ht="15.75" customHeight="1" x14ac:dyDescent="0.2">
      <c r="B964" s="32"/>
      <c r="C964" s="32"/>
      <c r="AF964" s="32"/>
      <c r="BL964" s="32"/>
      <c r="BX964" s="32"/>
      <c r="CC964" s="32"/>
      <c r="CK964" s="32"/>
      <c r="CM964" s="32"/>
      <c r="DJ964" s="32"/>
      <c r="DT964" s="32"/>
      <c r="DY964" s="32"/>
    </row>
    <row r="965" spans="2:129" ht="15.75" customHeight="1" x14ac:dyDescent="0.2">
      <c r="B965" s="32"/>
      <c r="C965" s="32"/>
      <c r="AF965" s="32"/>
      <c r="BL965" s="32"/>
      <c r="BX965" s="32"/>
      <c r="CC965" s="32"/>
      <c r="CK965" s="32"/>
      <c r="CM965" s="32"/>
      <c r="DJ965" s="32"/>
      <c r="DT965" s="32"/>
      <c r="DY965" s="32"/>
    </row>
    <row r="966" spans="2:129" ht="15.75" customHeight="1" x14ac:dyDescent="0.2">
      <c r="B966" s="32"/>
      <c r="C966" s="32"/>
      <c r="AF966" s="32"/>
      <c r="BL966" s="32"/>
      <c r="BX966" s="32"/>
      <c r="CC966" s="32"/>
      <c r="CK966" s="32"/>
      <c r="CM966" s="32"/>
      <c r="DJ966" s="32"/>
      <c r="DT966" s="32"/>
      <c r="DY966" s="32"/>
    </row>
    <row r="967" spans="2:129" ht="15.75" customHeight="1" x14ac:dyDescent="0.2">
      <c r="B967" s="32"/>
      <c r="C967" s="32"/>
      <c r="AF967" s="32"/>
      <c r="BL967" s="32"/>
      <c r="BX967" s="32"/>
      <c r="CC967" s="32"/>
      <c r="CK967" s="32"/>
      <c r="CM967" s="32"/>
      <c r="DJ967" s="32"/>
      <c r="DT967" s="32"/>
      <c r="DY967" s="32"/>
    </row>
    <row r="968" spans="2:129" ht="15.75" customHeight="1" x14ac:dyDescent="0.2">
      <c r="B968" s="32"/>
      <c r="C968" s="32"/>
      <c r="AF968" s="32"/>
      <c r="BL968" s="32"/>
      <c r="BX968" s="32"/>
      <c r="CC968" s="32"/>
      <c r="CK968" s="32"/>
      <c r="CM968" s="32"/>
      <c r="DJ968" s="32"/>
      <c r="DT968" s="32"/>
      <c r="DY968" s="32"/>
    </row>
    <row r="969" spans="2:129" ht="15.75" customHeight="1" x14ac:dyDescent="0.2">
      <c r="B969" s="32"/>
      <c r="C969" s="32"/>
      <c r="AF969" s="32"/>
      <c r="BL969" s="32"/>
      <c r="BX969" s="32"/>
      <c r="CC969" s="32"/>
      <c r="CK969" s="32"/>
      <c r="CM969" s="32"/>
      <c r="DJ969" s="32"/>
      <c r="DT969" s="32"/>
      <c r="DY969" s="32"/>
    </row>
    <row r="970" spans="2:129" ht="15.75" customHeight="1" x14ac:dyDescent="0.2">
      <c r="B970" s="32"/>
      <c r="C970" s="32"/>
      <c r="AF970" s="32"/>
      <c r="BL970" s="32"/>
      <c r="BX970" s="32"/>
      <c r="CC970" s="32"/>
      <c r="CK970" s="32"/>
      <c r="CM970" s="32"/>
      <c r="DJ970" s="32"/>
      <c r="DT970" s="32"/>
      <c r="DY970" s="32"/>
    </row>
    <row r="971" spans="2:129" ht="15.75" customHeight="1" x14ac:dyDescent="0.2">
      <c r="B971" s="32"/>
      <c r="C971" s="32"/>
      <c r="AF971" s="32"/>
      <c r="BL971" s="32"/>
      <c r="BX971" s="32"/>
      <c r="CC971" s="32"/>
      <c r="CK971" s="32"/>
      <c r="CM971" s="32"/>
      <c r="DJ971" s="32"/>
      <c r="DT971" s="32"/>
      <c r="DY971" s="32"/>
    </row>
    <row r="972" spans="2:129" ht="15.75" customHeight="1" x14ac:dyDescent="0.2">
      <c r="B972" s="32"/>
      <c r="C972" s="32"/>
      <c r="AF972" s="32"/>
      <c r="BL972" s="32"/>
      <c r="BX972" s="32"/>
      <c r="CC972" s="32"/>
      <c r="CK972" s="32"/>
      <c r="CM972" s="32"/>
      <c r="DJ972" s="32"/>
      <c r="DT972" s="32"/>
      <c r="DY972" s="32"/>
    </row>
    <row r="973" spans="2:129" ht="15.75" customHeight="1" x14ac:dyDescent="0.2">
      <c r="B973" s="32"/>
      <c r="C973" s="32"/>
      <c r="AF973" s="32"/>
      <c r="BL973" s="32"/>
      <c r="BX973" s="32"/>
      <c r="CC973" s="32"/>
      <c r="CK973" s="32"/>
      <c r="CM973" s="32"/>
      <c r="DJ973" s="32"/>
      <c r="DT973" s="32"/>
      <c r="DY973" s="32"/>
    </row>
    <row r="974" spans="2:129" ht="15.75" customHeight="1" x14ac:dyDescent="0.2">
      <c r="B974" s="32"/>
      <c r="C974" s="32"/>
      <c r="AF974" s="32"/>
      <c r="BL974" s="32"/>
      <c r="BX974" s="32"/>
      <c r="CC974" s="32"/>
      <c r="CK974" s="32"/>
      <c r="CM974" s="32"/>
      <c r="DJ974" s="32"/>
      <c r="DT974" s="32"/>
      <c r="DY974" s="32"/>
    </row>
    <row r="975" spans="2:129" ht="15.75" customHeight="1" x14ac:dyDescent="0.2">
      <c r="B975" s="32"/>
      <c r="C975" s="32"/>
      <c r="AF975" s="32"/>
      <c r="BL975" s="32"/>
      <c r="BX975" s="32"/>
      <c r="CC975" s="32"/>
      <c r="CK975" s="32"/>
      <c r="CM975" s="32"/>
      <c r="DJ975" s="32"/>
      <c r="DT975" s="32"/>
      <c r="DY975" s="32"/>
    </row>
    <row r="976" spans="2:129" ht="15.75" customHeight="1" x14ac:dyDescent="0.2">
      <c r="B976" s="32"/>
      <c r="C976" s="32"/>
      <c r="AF976" s="32"/>
      <c r="BL976" s="32"/>
      <c r="BX976" s="32"/>
      <c r="CC976" s="32"/>
      <c r="CK976" s="32"/>
      <c r="CM976" s="32"/>
      <c r="DJ976" s="32"/>
      <c r="DT976" s="32"/>
      <c r="DY976" s="32"/>
    </row>
    <row r="977" spans="2:129" ht="15.75" customHeight="1" x14ac:dyDescent="0.2">
      <c r="B977" s="32"/>
      <c r="C977" s="32"/>
      <c r="AF977" s="32"/>
      <c r="BL977" s="32"/>
      <c r="BX977" s="32"/>
      <c r="CC977" s="32"/>
      <c r="CK977" s="32"/>
      <c r="CM977" s="32"/>
      <c r="DJ977" s="32"/>
      <c r="DT977" s="32"/>
      <c r="DY977" s="32"/>
    </row>
    <row r="978" spans="2:129" ht="15.75" customHeight="1" x14ac:dyDescent="0.2">
      <c r="B978" s="32"/>
      <c r="C978" s="32"/>
      <c r="AF978" s="32"/>
      <c r="BL978" s="32"/>
      <c r="BX978" s="32"/>
      <c r="CC978" s="32"/>
      <c r="CK978" s="32"/>
      <c r="CM978" s="32"/>
      <c r="DJ978" s="32"/>
      <c r="DT978" s="32"/>
      <c r="DY978" s="32"/>
    </row>
    <row r="979" spans="2:129" ht="15.75" customHeight="1" x14ac:dyDescent="0.2">
      <c r="B979" s="32"/>
      <c r="C979" s="32"/>
      <c r="AF979" s="32"/>
      <c r="BL979" s="32"/>
      <c r="BX979" s="32"/>
      <c r="CC979" s="32"/>
      <c r="CK979" s="32"/>
      <c r="CM979" s="32"/>
      <c r="DJ979" s="32"/>
      <c r="DT979" s="32"/>
      <c r="DY979" s="32"/>
    </row>
    <row r="980" spans="2:129" ht="15.75" customHeight="1" x14ac:dyDescent="0.2">
      <c r="B980" s="32"/>
      <c r="C980" s="32"/>
      <c r="AF980" s="32"/>
      <c r="BL980" s="32"/>
      <c r="BX980" s="32"/>
      <c r="CC980" s="32"/>
      <c r="CK980" s="32"/>
      <c r="CM980" s="32"/>
      <c r="DJ980" s="32"/>
      <c r="DT980" s="32"/>
      <c r="DY980" s="32"/>
    </row>
    <row r="981" spans="2:129" ht="15.75" customHeight="1" x14ac:dyDescent="0.2">
      <c r="B981" s="32"/>
      <c r="C981" s="32"/>
      <c r="AF981" s="32"/>
      <c r="BL981" s="32"/>
      <c r="BX981" s="32"/>
      <c r="CC981" s="32"/>
      <c r="CK981" s="32"/>
      <c r="CM981" s="32"/>
      <c r="DJ981" s="32"/>
      <c r="DT981" s="32"/>
      <c r="DY981" s="32"/>
    </row>
    <row r="982" spans="2:129" ht="15.75" customHeight="1" x14ac:dyDescent="0.2">
      <c r="B982" s="32"/>
      <c r="C982" s="32"/>
      <c r="AF982" s="32"/>
      <c r="BL982" s="32"/>
      <c r="BX982" s="32"/>
      <c r="CC982" s="32"/>
      <c r="CK982" s="32"/>
      <c r="CM982" s="32"/>
      <c r="DJ982" s="32"/>
      <c r="DT982" s="32"/>
      <c r="DY982" s="32"/>
    </row>
    <row r="983" spans="2:129" ht="15.75" customHeight="1" x14ac:dyDescent="0.2">
      <c r="B983" s="32"/>
      <c r="C983" s="32"/>
      <c r="AF983" s="32"/>
      <c r="BL983" s="32"/>
      <c r="BX983" s="32"/>
      <c r="CC983" s="32"/>
      <c r="CK983" s="32"/>
      <c r="CM983" s="32"/>
      <c r="DJ983" s="32"/>
      <c r="DT983" s="32"/>
      <c r="DY983" s="32"/>
    </row>
    <row r="984" spans="2:129" ht="15.75" customHeight="1" x14ac:dyDescent="0.2">
      <c r="B984" s="32"/>
      <c r="C984" s="32"/>
      <c r="AF984" s="32"/>
      <c r="BL984" s="32"/>
      <c r="BX984" s="32"/>
      <c r="CC984" s="32"/>
      <c r="CK984" s="32"/>
      <c r="CM984" s="32"/>
      <c r="DJ984" s="32"/>
      <c r="DT984" s="32"/>
      <c r="DY984" s="32"/>
    </row>
    <row r="985" spans="2:129" ht="15.75" customHeight="1" x14ac:dyDescent="0.2">
      <c r="B985" s="32"/>
      <c r="C985" s="32"/>
      <c r="AF985" s="32"/>
      <c r="BL985" s="32"/>
      <c r="BX985" s="32"/>
      <c r="CC985" s="32"/>
      <c r="CK985" s="32"/>
      <c r="CM985" s="32"/>
      <c r="DJ985" s="32"/>
      <c r="DT985" s="32"/>
      <c r="DY985" s="32"/>
    </row>
    <row r="986" spans="2:129" ht="15.75" customHeight="1" x14ac:dyDescent="0.2">
      <c r="B986" s="32"/>
      <c r="C986" s="32"/>
      <c r="AF986" s="32"/>
      <c r="BL986" s="32"/>
      <c r="BX986" s="32"/>
      <c r="CC986" s="32"/>
      <c r="CK986" s="32"/>
      <c r="CM986" s="32"/>
      <c r="DJ986" s="32"/>
      <c r="DT986" s="32"/>
      <c r="DY986" s="32"/>
    </row>
    <row r="987" spans="2:129" ht="15.75" customHeight="1" x14ac:dyDescent="0.2">
      <c r="B987" s="32"/>
      <c r="C987" s="32"/>
      <c r="AF987" s="32"/>
      <c r="BL987" s="32"/>
      <c r="BX987" s="32"/>
      <c r="CC987" s="32"/>
      <c r="CK987" s="32"/>
      <c r="CM987" s="32"/>
      <c r="DJ987" s="32"/>
      <c r="DT987" s="32"/>
      <c r="DY987" s="32"/>
    </row>
    <row r="988" spans="2:129" ht="15.75" customHeight="1" x14ac:dyDescent="0.2">
      <c r="B988" s="32"/>
      <c r="C988" s="32"/>
      <c r="AF988" s="32"/>
      <c r="BL988" s="32"/>
      <c r="BX988" s="32"/>
      <c r="CC988" s="32"/>
      <c r="CK988" s="32"/>
      <c r="CM988" s="32"/>
      <c r="DJ988" s="32"/>
      <c r="DT988" s="32"/>
      <c r="DY988" s="32"/>
    </row>
    <row r="989" spans="2:129" ht="15.75" customHeight="1" x14ac:dyDescent="0.2">
      <c r="B989" s="32"/>
      <c r="C989" s="32"/>
      <c r="AF989" s="32"/>
      <c r="BL989" s="32"/>
      <c r="BX989" s="32"/>
      <c r="CC989" s="32"/>
      <c r="CK989" s="32"/>
      <c r="CM989" s="32"/>
      <c r="DJ989" s="32"/>
      <c r="DT989" s="32"/>
      <c r="DY989" s="32"/>
    </row>
    <row r="990" spans="2:129" ht="15.75" customHeight="1" x14ac:dyDescent="0.2">
      <c r="B990" s="32"/>
      <c r="C990" s="32"/>
      <c r="AF990" s="32"/>
      <c r="BL990" s="32"/>
      <c r="BX990" s="32"/>
      <c r="CC990" s="32"/>
      <c r="CK990" s="32"/>
      <c r="CM990" s="32"/>
      <c r="DJ990" s="32"/>
      <c r="DT990" s="32"/>
      <c r="DY990" s="32"/>
    </row>
    <row r="991" spans="2:129" ht="15.75" customHeight="1" x14ac:dyDescent="0.2">
      <c r="B991" s="32"/>
      <c r="C991" s="32"/>
      <c r="AF991" s="32"/>
      <c r="BL991" s="32"/>
      <c r="BX991" s="32"/>
      <c r="CC991" s="32"/>
      <c r="CK991" s="32"/>
      <c r="CM991" s="32"/>
      <c r="DJ991" s="32"/>
      <c r="DT991" s="32"/>
      <c r="DY991" s="32"/>
    </row>
    <row r="992" spans="2:129" ht="15.75" customHeight="1" x14ac:dyDescent="0.2">
      <c r="B992" s="32"/>
      <c r="C992" s="32"/>
      <c r="AF992" s="32"/>
      <c r="BL992" s="32"/>
      <c r="BX992" s="32"/>
      <c r="CC992" s="32"/>
      <c r="CK992" s="32"/>
      <c r="CM992" s="32"/>
      <c r="DJ992" s="32"/>
      <c r="DT992" s="32"/>
      <c r="DY992" s="32"/>
    </row>
    <row r="993" spans="2:129" ht="15.75" customHeight="1" x14ac:dyDescent="0.2">
      <c r="B993" s="32"/>
      <c r="C993" s="32"/>
      <c r="AF993" s="32"/>
      <c r="BL993" s="32"/>
      <c r="BX993" s="32"/>
      <c r="CC993" s="32"/>
      <c r="CK993" s="32"/>
      <c r="CM993" s="32"/>
      <c r="DJ993" s="32"/>
      <c r="DT993" s="32"/>
      <c r="DY993" s="32"/>
    </row>
    <row r="994" spans="2:129" ht="15.75" customHeight="1" x14ac:dyDescent="0.2">
      <c r="B994" s="32"/>
      <c r="C994" s="32"/>
      <c r="AF994" s="32"/>
      <c r="BL994" s="32"/>
      <c r="BX994" s="32"/>
      <c r="CC994" s="32"/>
      <c r="CK994" s="32"/>
      <c r="CM994" s="32"/>
      <c r="DJ994" s="32"/>
      <c r="DT994" s="32"/>
      <c r="DY994" s="32"/>
    </row>
    <row r="995" spans="2:129" ht="15.75" customHeight="1" x14ac:dyDescent="0.2">
      <c r="B995" s="32"/>
      <c r="C995" s="32"/>
      <c r="AF995" s="32"/>
      <c r="BL995" s="32"/>
      <c r="BX995" s="32"/>
      <c r="CC995" s="32"/>
      <c r="CK995" s="32"/>
      <c r="CM995" s="32"/>
      <c r="DJ995" s="32"/>
      <c r="DT995" s="32"/>
      <c r="DY995" s="32"/>
    </row>
    <row r="996" spans="2:129" ht="15.75" customHeight="1" x14ac:dyDescent="0.2">
      <c r="B996" s="32"/>
      <c r="C996" s="32"/>
      <c r="AF996" s="32"/>
      <c r="BL996" s="32"/>
      <c r="BX996" s="32"/>
      <c r="CC996" s="32"/>
      <c r="CK996" s="32"/>
      <c r="CM996" s="32"/>
      <c r="DJ996" s="32"/>
      <c r="DT996" s="32"/>
      <c r="DY996" s="32"/>
    </row>
    <row r="997" spans="2:129" ht="15.75" customHeight="1" x14ac:dyDescent="0.2">
      <c r="B997" s="32"/>
      <c r="C997" s="32"/>
      <c r="AF997" s="32"/>
      <c r="BL997" s="32"/>
      <c r="BX997" s="32"/>
      <c r="CC997" s="32"/>
      <c r="CK997" s="32"/>
      <c r="CM997" s="32"/>
      <c r="DJ997" s="32"/>
      <c r="DT997" s="32"/>
      <c r="DY997" s="32"/>
    </row>
    <row r="998" spans="2:129" ht="15.75" customHeight="1" x14ac:dyDescent="0.2">
      <c r="B998" s="32"/>
      <c r="C998" s="32"/>
      <c r="AF998" s="32"/>
      <c r="BL998" s="32"/>
      <c r="BX998" s="32"/>
      <c r="CC998" s="32"/>
      <c r="CK998" s="32"/>
      <c r="CM998" s="32"/>
      <c r="DJ998" s="32"/>
      <c r="DT998" s="32"/>
      <c r="DY998" s="32"/>
    </row>
    <row r="999" spans="2:129" ht="15.75" customHeight="1" x14ac:dyDescent="0.2">
      <c r="B999" s="32"/>
      <c r="C999" s="32"/>
      <c r="AF999" s="32"/>
      <c r="BL999" s="32"/>
      <c r="BX999" s="32"/>
      <c r="CC999" s="32"/>
      <c r="CK999" s="32"/>
      <c r="CM999" s="32"/>
      <c r="DJ999" s="32"/>
      <c r="DT999" s="32"/>
      <c r="DY999" s="32"/>
    </row>
    <row r="1000" spans="2:129" ht="15.75" customHeight="1" x14ac:dyDescent="0.2">
      <c r="B1000" s="32"/>
      <c r="C1000" s="32"/>
      <c r="AF1000" s="32"/>
      <c r="BL1000" s="32"/>
      <c r="BX1000" s="32"/>
      <c r="CC1000" s="32"/>
      <c r="CK1000" s="32"/>
      <c r="CM1000" s="32"/>
      <c r="DJ1000" s="32"/>
      <c r="DT1000" s="32"/>
      <c r="DY1000" s="32"/>
    </row>
    <row r="1001" spans="2:129" ht="15.75" customHeight="1" x14ac:dyDescent="0.2">
      <c r="B1001" s="32"/>
      <c r="C1001" s="32"/>
      <c r="AF1001" s="32"/>
      <c r="BL1001" s="32"/>
      <c r="BX1001" s="32"/>
      <c r="CC1001" s="32"/>
      <c r="CK1001" s="32"/>
      <c r="CM1001" s="32"/>
      <c r="DJ1001" s="32"/>
      <c r="DT1001" s="32"/>
      <c r="DY1001" s="32"/>
    </row>
    <row r="1002" spans="2:129" ht="15.75" customHeight="1" x14ac:dyDescent="0.2">
      <c r="B1002" s="32"/>
      <c r="C1002" s="32"/>
      <c r="AF1002" s="32"/>
      <c r="BL1002" s="32"/>
      <c r="BX1002" s="32"/>
      <c r="CC1002" s="32"/>
      <c r="CK1002" s="32"/>
      <c r="CM1002" s="32"/>
      <c r="DJ1002" s="32"/>
      <c r="DT1002" s="32"/>
      <c r="DY1002" s="32"/>
    </row>
    <row r="1003" spans="2:129" ht="15.75" customHeight="1" x14ac:dyDescent="0.2">
      <c r="B1003" s="32"/>
      <c r="C1003" s="32"/>
      <c r="AF1003" s="32"/>
      <c r="BL1003" s="32"/>
      <c r="BX1003" s="32"/>
      <c r="CC1003" s="32"/>
      <c r="CK1003" s="32"/>
      <c r="CM1003" s="32"/>
      <c r="DJ1003" s="32"/>
      <c r="DT1003" s="32"/>
      <c r="DY1003" s="32"/>
    </row>
    <row r="1004" spans="2:129" ht="15.75" customHeight="1" x14ac:dyDescent="0.2">
      <c r="B1004" s="32"/>
      <c r="C1004" s="32"/>
      <c r="AF1004" s="32"/>
      <c r="BL1004" s="32"/>
      <c r="BX1004" s="32"/>
      <c r="CC1004" s="32"/>
      <c r="CK1004" s="32"/>
      <c r="CM1004" s="32"/>
      <c r="DJ1004" s="32"/>
      <c r="DT1004" s="32"/>
      <c r="DY1004" s="32"/>
    </row>
    <row r="1005" spans="2:129" ht="15.75" customHeight="1" x14ac:dyDescent="0.2">
      <c r="B1005" s="32"/>
      <c r="C1005" s="32"/>
      <c r="AF1005" s="32"/>
      <c r="BL1005" s="32"/>
      <c r="BX1005" s="32"/>
      <c r="CC1005" s="32"/>
      <c r="CK1005" s="32"/>
      <c r="CM1005" s="32"/>
      <c r="DJ1005" s="32"/>
      <c r="DT1005" s="32"/>
      <c r="DY1005" s="32"/>
    </row>
    <row r="1006" spans="2:129" ht="15.75" customHeight="1" x14ac:dyDescent="0.2">
      <c r="B1006" s="32"/>
      <c r="C1006" s="32"/>
      <c r="AF1006" s="32"/>
      <c r="BL1006" s="32"/>
      <c r="BX1006" s="32"/>
      <c r="CC1006" s="32"/>
      <c r="CK1006" s="32"/>
      <c r="CM1006" s="32"/>
      <c r="DJ1006" s="32"/>
      <c r="DT1006" s="32"/>
      <c r="DY1006" s="32"/>
    </row>
    <row r="1007" spans="2:129" ht="15.75" customHeight="1" x14ac:dyDescent="0.2">
      <c r="B1007" s="32"/>
      <c r="C1007" s="32"/>
      <c r="AF1007" s="32"/>
      <c r="BL1007" s="32"/>
      <c r="BX1007" s="32"/>
      <c r="CC1007" s="32"/>
      <c r="CK1007" s="32"/>
      <c r="CM1007" s="32"/>
      <c r="DJ1007" s="32"/>
      <c r="DT1007" s="32"/>
      <c r="DY1007" s="32"/>
    </row>
    <row r="1008" spans="2:129" ht="15.75" customHeight="1" x14ac:dyDescent="0.2">
      <c r="B1008" s="32"/>
      <c r="C1008" s="32"/>
      <c r="AF1008" s="32"/>
      <c r="BL1008" s="32"/>
      <c r="BX1008" s="32"/>
      <c r="CC1008" s="32"/>
      <c r="CK1008" s="32"/>
      <c r="CM1008" s="32"/>
      <c r="DJ1008" s="32"/>
      <c r="DT1008" s="32"/>
      <c r="DY1008" s="32"/>
    </row>
    <row r="1009" spans="2:129" ht="15.75" customHeight="1" x14ac:dyDescent="0.2">
      <c r="B1009" s="32"/>
      <c r="C1009" s="32"/>
      <c r="AF1009" s="32"/>
      <c r="BL1009" s="32"/>
      <c r="BX1009" s="32"/>
      <c r="CC1009" s="32"/>
      <c r="CK1009" s="32"/>
      <c r="CM1009" s="32"/>
      <c r="DJ1009" s="32"/>
      <c r="DT1009" s="32"/>
      <c r="DY1009" s="32"/>
    </row>
    <row r="1010" spans="2:129" ht="15.75" customHeight="1" x14ac:dyDescent="0.2">
      <c r="B1010" s="32"/>
      <c r="C1010" s="32"/>
      <c r="AF1010" s="32"/>
      <c r="BL1010" s="32"/>
      <c r="BX1010" s="32"/>
      <c r="CC1010" s="32"/>
      <c r="CK1010" s="32"/>
      <c r="CM1010" s="32"/>
      <c r="DJ1010" s="32"/>
      <c r="DT1010" s="32"/>
      <c r="DY1010" s="32"/>
    </row>
    <row r="1011" spans="2:129" ht="15.75" customHeight="1" x14ac:dyDescent="0.2">
      <c r="B1011" s="32"/>
      <c r="C1011" s="32"/>
      <c r="AF1011" s="32"/>
      <c r="BL1011" s="32"/>
      <c r="BX1011" s="32"/>
      <c r="CC1011" s="32"/>
      <c r="CK1011" s="32"/>
      <c r="CM1011" s="32"/>
      <c r="DJ1011" s="32"/>
      <c r="DT1011" s="32"/>
      <c r="DY1011" s="32"/>
    </row>
    <row r="1012" spans="2:129" ht="15.75" customHeight="1" x14ac:dyDescent="0.2">
      <c r="B1012" s="32"/>
      <c r="C1012" s="32"/>
      <c r="AF1012" s="32"/>
      <c r="BL1012" s="32"/>
      <c r="BX1012" s="32"/>
      <c r="CC1012" s="32"/>
      <c r="CK1012" s="32"/>
      <c r="CM1012" s="32"/>
      <c r="DJ1012" s="32"/>
      <c r="DT1012" s="32"/>
      <c r="DY1012" s="32"/>
    </row>
    <row r="1013" spans="2:129" ht="15.75" customHeight="1" x14ac:dyDescent="0.2">
      <c r="B1013" s="32"/>
      <c r="C1013" s="32"/>
      <c r="AF1013" s="32"/>
      <c r="BL1013" s="32"/>
      <c r="BX1013" s="32"/>
      <c r="CC1013" s="32"/>
      <c r="CK1013" s="32"/>
      <c r="CM1013" s="32"/>
      <c r="DJ1013" s="32"/>
      <c r="DT1013" s="32"/>
      <c r="DY1013" s="32"/>
    </row>
    <row r="1014" spans="2:129" ht="15.75" customHeight="1" x14ac:dyDescent="0.2">
      <c r="B1014" s="32"/>
      <c r="C1014" s="32"/>
      <c r="AF1014" s="32"/>
      <c r="BL1014" s="32"/>
      <c r="BX1014" s="32"/>
      <c r="CC1014" s="32"/>
      <c r="CK1014" s="32"/>
      <c r="CM1014" s="32"/>
      <c r="DJ1014" s="32"/>
      <c r="DT1014" s="32"/>
      <c r="DY1014" s="32"/>
    </row>
    <row r="1015" spans="2:129" ht="15.75" customHeight="1" x14ac:dyDescent="0.2">
      <c r="B1015" s="32"/>
      <c r="C1015" s="32"/>
      <c r="AF1015" s="32"/>
      <c r="BL1015" s="32"/>
      <c r="BX1015" s="32"/>
      <c r="CC1015" s="32"/>
      <c r="CK1015" s="32"/>
      <c r="CM1015" s="32"/>
      <c r="DJ1015" s="32"/>
      <c r="DT1015" s="32"/>
      <c r="DY1015" s="32"/>
    </row>
    <row r="1016" spans="2:129" ht="15.75" customHeight="1" x14ac:dyDescent="0.2">
      <c r="B1016" s="32"/>
      <c r="C1016" s="32"/>
      <c r="AF1016" s="32"/>
      <c r="BL1016" s="32"/>
      <c r="BX1016" s="32"/>
      <c r="CC1016" s="32"/>
      <c r="CK1016" s="32"/>
      <c r="CM1016" s="32"/>
      <c r="DJ1016" s="32"/>
      <c r="DT1016" s="32"/>
      <c r="DY1016" s="32"/>
    </row>
    <row r="1017" spans="2:129" ht="15.75" customHeight="1" x14ac:dyDescent="0.2">
      <c r="B1017" s="32"/>
      <c r="C1017" s="32"/>
      <c r="AF1017" s="32"/>
      <c r="BL1017" s="32"/>
      <c r="BX1017" s="32"/>
      <c r="CC1017" s="32"/>
      <c r="CK1017" s="32"/>
      <c r="CM1017" s="32"/>
      <c r="DJ1017" s="32"/>
      <c r="DT1017" s="32"/>
      <c r="DY1017" s="32"/>
    </row>
    <row r="1018" spans="2:129" ht="15.75" customHeight="1" x14ac:dyDescent="0.2">
      <c r="B1018" s="32"/>
      <c r="C1018" s="32"/>
      <c r="AF1018" s="32"/>
      <c r="BL1018" s="32"/>
      <c r="BX1018" s="32"/>
      <c r="CC1018" s="32"/>
      <c r="CK1018" s="32"/>
      <c r="CM1018" s="32"/>
      <c r="DJ1018" s="32"/>
      <c r="DT1018" s="32"/>
      <c r="DY1018" s="32"/>
    </row>
    <row r="1019" spans="2:129" ht="15.75" customHeight="1" x14ac:dyDescent="0.2">
      <c r="B1019" s="32"/>
      <c r="C1019" s="32"/>
      <c r="AF1019" s="32"/>
      <c r="BL1019" s="32"/>
      <c r="BX1019" s="32"/>
      <c r="CC1019" s="32"/>
      <c r="CK1019" s="32"/>
      <c r="CM1019" s="32"/>
      <c r="DJ1019" s="32"/>
      <c r="DT1019" s="32"/>
      <c r="DY1019" s="32"/>
    </row>
    <row r="1020" spans="2:129" ht="15.75" customHeight="1" x14ac:dyDescent="0.2">
      <c r="B1020" s="32"/>
      <c r="C1020" s="32"/>
      <c r="AF1020" s="32"/>
      <c r="BL1020" s="32"/>
      <c r="BX1020" s="32"/>
      <c r="CC1020" s="32"/>
      <c r="CK1020" s="32"/>
      <c r="CM1020" s="32"/>
      <c r="DJ1020" s="32"/>
      <c r="DT1020" s="32"/>
      <c r="DY1020" s="32"/>
    </row>
    <row r="1021" spans="2:129" ht="15.75" customHeight="1" x14ac:dyDescent="0.2">
      <c r="B1021" s="32"/>
      <c r="C1021" s="32"/>
      <c r="AF1021" s="32"/>
      <c r="BL1021" s="32"/>
      <c r="BX1021" s="32"/>
      <c r="CC1021" s="32"/>
      <c r="CK1021" s="32"/>
      <c r="CM1021" s="32"/>
      <c r="DJ1021" s="32"/>
      <c r="DT1021" s="32"/>
      <c r="DY1021" s="32"/>
    </row>
    <row r="1022" spans="2:129" ht="15.75" customHeight="1" x14ac:dyDescent="0.2">
      <c r="B1022" s="32"/>
      <c r="C1022" s="32"/>
      <c r="AF1022" s="32"/>
      <c r="BL1022" s="32"/>
      <c r="BX1022" s="32"/>
      <c r="CC1022" s="32"/>
      <c r="CK1022" s="32"/>
      <c r="CM1022" s="32"/>
      <c r="DJ1022" s="32"/>
      <c r="DT1022" s="32"/>
      <c r="DY1022" s="32"/>
    </row>
    <row r="1023" spans="2:129" ht="15.75" customHeight="1" x14ac:dyDescent="0.2">
      <c r="B1023" s="32"/>
      <c r="C1023" s="32"/>
      <c r="AF1023" s="32"/>
      <c r="BL1023" s="32"/>
      <c r="BX1023" s="32"/>
      <c r="CC1023" s="32"/>
      <c r="CK1023" s="32"/>
      <c r="CM1023" s="32"/>
      <c r="DJ1023" s="32"/>
      <c r="DT1023" s="32"/>
      <c r="DY1023" s="32"/>
    </row>
    <row r="1024" spans="2:129" ht="15.75" customHeight="1" x14ac:dyDescent="0.2">
      <c r="B1024" s="32"/>
      <c r="C1024" s="32"/>
      <c r="AF1024" s="32"/>
      <c r="BL1024" s="32"/>
      <c r="BX1024" s="32"/>
      <c r="CC1024" s="32"/>
      <c r="CK1024" s="32"/>
      <c r="CM1024" s="32"/>
      <c r="DJ1024" s="32"/>
      <c r="DT1024" s="32"/>
      <c r="DY1024" s="32"/>
    </row>
    <row r="1025" spans="2:129" ht="15.75" customHeight="1" x14ac:dyDescent="0.2">
      <c r="B1025" s="32"/>
      <c r="C1025" s="32"/>
      <c r="AF1025" s="32"/>
      <c r="BL1025" s="32"/>
      <c r="BX1025" s="32"/>
      <c r="CC1025" s="32"/>
      <c r="CK1025" s="32"/>
      <c r="CM1025" s="32"/>
      <c r="DJ1025" s="32"/>
      <c r="DT1025" s="32"/>
      <c r="DY1025" s="32"/>
    </row>
    <row r="1026" spans="2:129" ht="15.75" customHeight="1" x14ac:dyDescent="0.2">
      <c r="B1026" s="32"/>
      <c r="C1026" s="32"/>
      <c r="AF1026" s="32"/>
      <c r="BL1026" s="32"/>
      <c r="BX1026" s="32"/>
      <c r="CC1026" s="32"/>
      <c r="CK1026" s="32"/>
      <c r="CM1026" s="32"/>
      <c r="DJ1026" s="32"/>
      <c r="DT1026" s="32"/>
      <c r="DY1026" s="32"/>
    </row>
    <row r="1027" spans="2:129" ht="15.75" customHeight="1" x14ac:dyDescent="0.2">
      <c r="B1027" s="32"/>
      <c r="C1027" s="32"/>
      <c r="AF1027" s="32"/>
      <c r="BL1027" s="32"/>
      <c r="BX1027" s="32"/>
      <c r="CC1027" s="32"/>
      <c r="CK1027" s="32"/>
      <c r="CM1027" s="32"/>
      <c r="DJ1027" s="32"/>
      <c r="DT1027" s="32"/>
      <c r="DY1027" s="32"/>
    </row>
    <row r="1028" spans="2:129" ht="15.75" customHeight="1" x14ac:dyDescent="0.2">
      <c r="B1028" s="32"/>
      <c r="C1028" s="32"/>
      <c r="AF1028" s="32"/>
      <c r="BL1028" s="32"/>
      <c r="BX1028" s="32"/>
      <c r="CC1028" s="32"/>
      <c r="CK1028" s="32"/>
      <c r="CM1028" s="32"/>
      <c r="DJ1028" s="32"/>
      <c r="DT1028" s="32"/>
      <c r="DY1028" s="32"/>
    </row>
    <row r="1029" spans="2:129" ht="15.75" customHeight="1" x14ac:dyDescent="0.2">
      <c r="B1029" s="32"/>
      <c r="C1029" s="32"/>
      <c r="AF1029" s="32"/>
      <c r="BL1029" s="32"/>
      <c r="BX1029" s="32"/>
      <c r="CC1029" s="32"/>
      <c r="CK1029" s="32"/>
      <c r="CM1029" s="32"/>
      <c r="DJ1029" s="32"/>
      <c r="DT1029" s="32"/>
      <c r="DY1029" s="32"/>
    </row>
    <row r="1030" spans="2:129" ht="15.75" customHeight="1" x14ac:dyDescent="0.2">
      <c r="B1030" s="32"/>
      <c r="C1030" s="32"/>
      <c r="AF1030" s="32"/>
      <c r="BL1030" s="32"/>
      <c r="BX1030" s="32"/>
      <c r="CC1030" s="32"/>
      <c r="CK1030" s="32"/>
      <c r="CM1030" s="32"/>
      <c r="DJ1030" s="32"/>
      <c r="DT1030" s="32"/>
      <c r="DY1030" s="32"/>
    </row>
    <row r="1031" spans="2:129" ht="15.75" customHeight="1" x14ac:dyDescent="0.2">
      <c r="B1031" s="32"/>
      <c r="C1031" s="32"/>
      <c r="AF1031" s="32"/>
      <c r="BL1031" s="32"/>
      <c r="BX1031" s="32"/>
      <c r="CC1031" s="32"/>
      <c r="CK1031" s="32"/>
      <c r="CM1031" s="32"/>
      <c r="DJ1031" s="32"/>
      <c r="DT1031" s="32"/>
      <c r="DY1031" s="32"/>
    </row>
    <row r="1032" spans="2:129" ht="15.75" customHeight="1" x14ac:dyDescent="0.2">
      <c r="B1032" s="32"/>
      <c r="C1032" s="32"/>
      <c r="AF1032" s="32"/>
      <c r="BL1032" s="32"/>
      <c r="BX1032" s="32"/>
      <c r="CC1032" s="32"/>
      <c r="CK1032" s="32"/>
      <c r="CM1032" s="32"/>
      <c r="DJ1032" s="32"/>
      <c r="DT1032" s="32"/>
      <c r="DY1032" s="32"/>
    </row>
    <row r="1033" spans="2:129" ht="15.75" customHeight="1" x14ac:dyDescent="0.2">
      <c r="B1033" s="32"/>
      <c r="C1033" s="32"/>
      <c r="AF1033" s="32"/>
      <c r="BL1033" s="32"/>
      <c r="BX1033" s="32"/>
      <c r="CC1033" s="32"/>
      <c r="CK1033" s="32"/>
      <c r="CM1033" s="32"/>
      <c r="DJ1033" s="32"/>
      <c r="DT1033" s="32"/>
      <c r="DY1033" s="32"/>
    </row>
    <row r="1034" spans="2:129" ht="15.75" customHeight="1" x14ac:dyDescent="0.2">
      <c r="B1034" s="32"/>
      <c r="C1034" s="32"/>
      <c r="AF1034" s="32"/>
      <c r="BL1034" s="32"/>
      <c r="BX1034" s="32"/>
      <c r="CC1034" s="32"/>
      <c r="CK1034" s="32"/>
      <c r="CM1034" s="32"/>
      <c r="DJ1034" s="32"/>
      <c r="DT1034" s="32"/>
      <c r="DY1034" s="32"/>
    </row>
    <row r="1035" spans="2:129" ht="15.75" customHeight="1" x14ac:dyDescent="0.2">
      <c r="B1035" s="32"/>
      <c r="C1035" s="32"/>
      <c r="AF1035" s="32"/>
      <c r="BL1035" s="32"/>
      <c r="BX1035" s="32"/>
      <c r="CC1035" s="32"/>
      <c r="CK1035" s="32"/>
      <c r="CM1035" s="32"/>
      <c r="DJ1035" s="32"/>
      <c r="DT1035" s="32"/>
      <c r="DY1035" s="32"/>
    </row>
    <row r="1036" spans="2:129" ht="15.75" customHeight="1" x14ac:dyDescent="0.2">
      <c r="B1036" s="32"/>
      <c r="C1036" s="32"/>
      <c r="AF1036" s="32"/>
      <c r="BL1036" s="32"/>
      <c r="BX1036" s="32"/>
      <c r="CC1036" s="32"/>
      <c r="CK1036" s="32"/>
      <c r="CM1036" s="32"/>
      <c r="DJ1036" s="32"/>
      <c r="DT1036" s="32"/>
      <c r="DY1036" s="32"/>
    </row>
    <row r="1037" spans="2:129" ht="15.75" customHeight="1" x14ac:dyDescent="0.2">
      <c r="B1037" s="32"/>
      <c r="C1037" s="32"/>
      <c r="AF1037" s="32"/>
      <c r="BL1037" s="32"/>
      <c r="BX1037" s="32"/>
      <c r="CC1037" s="32"/>
      <c r="CK1037" s="32"/>
      <c r="CM1037" s="32"/>
      <c r="DJ1037" s="32"/>
      <c r="DT1037" s="32"/>
      <c r="DY1037" s="32"/>
    </row>
    <row r="1038" spans="2:129" ht="15.75" customHeight="1" x14ac:dyDescent="0.2">
      <c r="B1038" s="32"/>
      <c r="C1038" s="32"/>
      <c r="AF1038" s="32"/>
      <c r="BL1038" s="32"/>
      <c r="BX1038" s="32"/>
      <c r="CC1038" s="32"/>
      <c r="CK1038" s="32"/>
      <c r="CM1038" s="32"/>
      <c r="DJ1038" s="32"/>
      <c r="DT1038" s="32"/>
      <c r="DY1038" s="32"/>
    </row>
    <row r="1039" spans="2:129" ht="15.75" customHeight="1" x14ac:dyDescent="0.2">
      <c r="B1039" s="32"/>
      <c r="C1039" s="32"/>
      <c r="AF1039" s="32"/>
      <c r="BL1039" s="32"/>
      <c r="BX1039" s="32"/>
      <c r="CC1039" s="32"/>
      <c r="CK1039" s="32"/>
      <c r="CM1039" s="32"/>
      <c r="DJ1039" s="32"/>
      <c r="DT1039" s="32"/>
      <c r="DY1039" s="32"/>
    </row>
    <row r="1040" spans="2:129" ht="15.75" customHeight="1" x14ac:dyDescent="0.2">
      <c r="B1040" s="32"/>
      <c r="C1040" s="32"/>
      <c r="AF1040" s="32"/>
      <c r="BL1040" s="32"/>
      <c r="BX1040" s="32"/>
      <c r="CC1040" s="32"/>
      <c r="CK1040" s="32"/>
      <c r="CM1040" s="32"/>
      <c r="DJ1040" s="32"/>
      <c r="DT1040" s="32"/>
      <c r="DY1040" s="32"/>
    </row>
    <row r="1041" spans="2:129" ht="15.75" customHeight="1" x14ac:dyDescent="0.2">
      <c r="B1041" s="32"/>
      <c r="C1041" s="32"/>
      <c r="AF1041" s="32"/>
      <c r="BL1041" s="32"/>
      <c r="BX1041" s="32"/>
      <c r="CC1041" s="32"/>
      <c r="CK1041" s="32"/>
      <c r="CM1041" s="32"/>
      <c r="DJ1041" s="32"/>
      <c r="DT1041" s="32"/>
      <c r="DY1041" s="32"/>
    </row>
    <row r="1042" spans="2:129" ht="15.75" customHeight="1" x14ac:dyDescent="0.2">
      <c r="B1042" s="32"/>
      <c r="C1042" s="32"/>
      <c r="AF1042" s="32"/>
      <c r="BL1042" s="32"/>
      <c r="BX1042" s="32"/>
      <c r="CC1042" s="32"/>
      <c r="CK1042" s="32"/>
      <c r="CM1042" s="32"/>
      <c r="DJ1042" s="32"/>
      <c r="DT1042" s="32"/>
      <c r="DY1042" s="32"/>
    </row>
    <row r="1043" spans="2:129" ht="15.75" customHeight="1" x14ac:dyDescent="0.2">
      <c r="B1043" s="32"/>
      <c r="C1043" s="32"/>
      <c r="AF1043" s="32"/>
      <c r="BL1043" s="32"/>
      <c r="BX1043" s="32"/>
      <c r="CC1043" s="32"/>
      <c r="CK1043" s="32"/>
      <c r="CM1043" s="32"/>
      <c r="DJ1043" s="32"/>
      <c r="DT1043" s="32"/>
      <c r="DY1043" s="32"/>
    </row>
    <row r="1044" spans="2:129" ht="15.75" customHeight="1" x14ac:dyDescent="0.2">
      <c r="B1044" s="32"/>
      <c r="C1044" s="32"/>
      <c r="AF1044" s="32"/>
      <c r="BL1044" s="32"/>
      <c r="BX1044" s="32"/>
      <c r="CC1044" s="32"/>
      <c r="CK1044" s="32"/>
      <c r="CM1044" s="32"/>
      <c r="DJ1044" s="32"/>
      <c r="DT1044" s="32"/>
      <c r="DY1044" s="32"/>
    </row>
    <row r="1045" spans="2:129" ht="15.75" customHeight="1" x14ac:dyDescent="0.2">
      <c r="B1045" s="32"/>
      <c r="C1045" s="32"/>
      <c r="AF1045" s="32"/>
      <c r="BL1045" s="32"/>
      <c r="BX1045" s="32"/>
      <c r="CC1045" s="32"/>
      <c r="CK1045" s="32"/>
      <c r="CM1045" s="32"/>
      <c r="DJ1045" s="32"/>
      <c r="DT1045" s="32"/>
      <c r="DY1045" s="32"/>
    </row>
    <row r="1046" spans="2:129" ht="15.75" customHeight="1" x14ac:dyDescent="0.2">
      <c r="B1046" s="32"/>
      <c r="C1046" s="32"/>
      <c r="AF1046" s="32"/>
      <c r="BL1046" s="32"/>
      <c r="BX1046" s="32"/>
      <c r="CC1046" s="32"/>
      <c r="CK1046" s="32"/>
      <c r="CM1046" s="32"/>
      <c r="DJ1046" s="32"/>
      <c r="DT1046" s="32"/>
      <c r="DY1046" s="32"/>
    </row>
    <row r="1047" spans="2:129" ht="15.75" customHeight="1" x14ac:dyDescent="0.2">
      <c r="B1047" s="32"/>
      <c r="C1047" s="32"/>
      <c r="AF1047" s="32"/>
      <c r="BL1047" s="32"/>
      <c r="BX1047" s="32"/>
      <c r="CC1047" s="32"/>
      <c r="CK1047" s="32"/>
      <c r="CM1047" s="32"/>
      <c r="DJ1047" s="32"/>
      <c r="DT1047" s="32"/>
      <c r="DY1047" s="32"/>
    </row>
    <row r="1048" spans="2:129" ht="15.75" customHeight="1" x14ac:dyDescent="0.2">
      <c r="B1048" s="32"/>
      <c r="C1048" s="32"/>
      <c r="AF1048" s="32"/>
      <c r="BL1048" s="32"/>
      <c r="BX1048" s="32"/>
      <c r="CC1048" s="32"/>
      <c r="CK1048" s="32"/>
      <c r="CM1048" s="32"/>
      <c r="DJ1048" s="32"/>
      <c r="DT1048" s="32"/>
      <c r="DY1048" s="32"/>
    </row>
    <row r="1049" spans="2:129" ht="15.75" customHeight="1" x14ac:dyDescent="0.2">
      <c r="B1049" s="32"/>
      <c r="C1049" s="32"/>
      <c r="AF1049" s="32"/>
      <c r="BL1049" s="32"/>
      <c r="BX1049" s="32"/>
      <c r="CC1049" s="32"/>
      <c r="CK1049" s="32"/>
      <c r="CM1049" s="32"/>
      <c r="DJ1049" s="32"/>
      <c r="DT1049" s="32"/>
      <c r="DY1049" s="32"/>
    </row>
    <row r="1050" spans="2:129" ht="15.75" customHeight="1" x14ac:dyDescent="0.2">
      <c r="B1050" s="32"/>
      <c r="C1050" s="32"/>
      <c r="AF1050" s="32"/>
      <c r="BL1050" s="32"/>
      <c r="BX1050" s="32"/>
      <c r="CC1050" s="32"/>
      <c r="CK1050" s="32"/>
      <c r="CM1050" s="32"/>
      <c r="DJ1050" s="32"/>
      <c r="DT1050" s="32"/>
      <c r="DY1050" s="32"/>
    </row>
    <row r="1051" spans="2:129" ht="15.75" customHeight="1" x14ac:dyDescent="0.2">
      <c r="B1051" s="32"/>
      <c r="C1051" s="32"/>
      <c r="AF1051" s="32"/>
      <c r="BL1051" s="32"/>
      <c r="BX1051" s="32"/>
      <c r="CC1051" s="32"/>
      <c r="CK1051" s="32"/>
      <c r="CM1051" s="32"/>
      <c r="DJ1051" s="32"/>
      <c r="DT1051" s="32"/>
      <c r="DY1051" s="32"/>
    </row>
    <row r="1052" spans="2:129" ht="15.75" customHeight="1" x14ac:dyDescent="0.2">
      <c r="B1052" s="32"/>
      <c r="C1052" s="32"/>
      <c r="AF1052" s="32"/>
      <c r="BL1052" s="32"/>
      <c r="BX1052" s="32"/>
      <c r="CC1052" s="32"/>
      <c r="CK1052" s="32"/>
      <c r="CM1052" s="32"/>
      <c r="DJ1052" s="32"/>
      <c r="DT1052" s="32"/>
      <c r="DY1052" s="32"/>
    </row>
    <row r="1053" spans="2:129" ht="15.75" customHeight="1" x14ac:dyDescent="0.2">
      <c r="B1053" s="32"/>
      <c r="C1053" s="32"/>
      <c r="AF1053" s="32"/>
      <c r="BL1053" s="32"/>
      <c r="BX1053" s="32"/>
      <c r="CC1053" s="32"/>
      <c r="CK1053" s="32"/>
      <c r="CM1053" s="32"/>
      <c r="DJ1053" s="32"/>
      <c r="DT1053" s="32"/>
      <c r="DY1053" s="32"/>
    </row>
    <row r="1054" spans="2:129" ht="15.75" customHeight="1" x14ac:dyDescent="0.2">
      <c r="B1054" s="32"/>
      <c r="C1054" s="32"/>
      <c r="AF1054" s="32"/>
      <c r="BL1054" s="32"/>
      <c r="BX1054" s="32"/>
      <c r="CC1054" s="32"/>
      <c r="CK1054" s="32"/>
      <c r="CM1054" s="32"/>
      <c r="DJ1054" s="32"/>
      <c r="DT1054" s="32"/>
      <c r="DY1054" s="32"/>
    </row>
    <row r="1055" spans="2:129" ht="15.75" customHeight="1" x14ac:dyDescent="0.2">
      <c r="B1055" s="32"/>
      <c r="C1055" s="32"/>
      <c r="AF1055" s="32"/>
      <c r="BL1055" s="32"/>
      <c r="BX1055" s="32"/>
      <c r="CC1055" s="32"/>
      <c r="CK1055" s="32"/>
      <c r="CM1055" s="32"/>
      <c r="DJ1055" s="32"/>
      <c r="DT1055" s="32"/>
      <c r="DY1055" s="32"/>
    </row>
    <row r="1056" spans="2:129" ht="15.75" customHeight="1" x14ac:dyDescent="0.2">
      <c r="B1056" s="32"/>
      <c r="C1056" s="32"/>
      <c r="AF1056" s="32"/>
      <c r="BL1056" s="32"/>
      <c r="BX1056" s="32"/>
      <c r="CC1056" s="32"/>
      <c r="CK1056" s="32"/>
      <c r="CM1056" s="32"/>
      <c r="DJ1056" s="32"/>
      <c r="DT1056" s="32"/>
      <c r="DY1056" s="32"/>
    </row>
    <row r="1057" spans="2:129" ht="15.75" customHeight="1" x14ac:dyDescent="0.2">
      <c r="B1057" s="32"/>
      <c r="C1057" s="32"/>
      <c r="AF1057" s="32"/>
      <c r="BL1057" s="32"/>
      <c r="BX1057" s="32"/>
      <c r="CC1057" s="32"/>
      <c r="CK1057" s="32"/>
      <c r="CM1057" s="32"/>
      <c r="DJ1057" s="32"/>
      <c r="DT1057" s="32"/>
      <c r="DY1057" s="32"/>
    </row>
    <row r="1058" spans="2:129" ht="15.75" customHeight="1" x14ac:dyDescent="0.2">
      <c r="B1058" s="32"/>
      <c r="C1058" s="32"/>
      <c r="AF1058" s="32"/>
      <c r="BL1058" s="32"/>
      <c r="BX1058" s="32"/>
      <c r="CC1058" s="32"/>
      <c r="CK1058" s="32"/>
      <c r="CM1058" s="32"/>
      <c r="DJ1058" s="32"/>
      <c r="DT1058" s="32"/>
      <c r="DY1058" s="32"/>
    </row>
    <row r="1059" spans="2:129" ht="15.75" customHeight="1" x14ac:dyDescent="0.2">
      <c r="B1059" s="32"/>
      <c r="C1059" s="32"/>
      <c r="AF1059" s="32"/>
      <c r="BL1059" s="32"/>
      <c r="BX1059" s="32"/>
      <c r="CC1059" s="32"/>
      <c r="CK1059" s="32"/>
      <c r="CM1059" s="32"/>
      <c r="DJ1059" s="32"/>
      <c r="DT1059" s="32"/>
      <c r="DY1059" s="32"/>
    </row>
    <row r="1060" spans="2:129" ht="15.75" customHeight="1" x14ac:dyDescent="0.2">
      <c r="B1060" s="32"/>
      <c r="C1060" s="32"/>
      <c r="AF1060" s="32"/>
      <c r="BL1060" s="32"/>
      <c r="BX1060" s="32"/>
      <c r="CC1060" s="32"/>
      <c r="CK1060" s="32"/>
      <c r="CM1060" s="32"/>
      <c r="DJ1060" s="32"/>
      <c r="DT1060" s="32"/>
      <c r="DY1060" s="32"/>
    </row>
    <row r="1061" spans="2:129" ht="15.75" customHeight="1" x14ac:dyDescent="0.2">
      <c r="B1061" s="32"/>
      <c r="C1061" s="32"/>
      <c r="AF1061" s="32"/>
      <c r="BL1061" s="32"/>
      <c r="BX1061" s="32"/>
      <c r="CC1061" s="32"/>
      <c r="CK1061" s="32"/>
      <c r="CM1061" s="32"/>
      <c r="DJ1061" s="32"/>
      <c r="DT1061" s="32"/>
      <c r="DY1061" s="32"/>
    </row>
    <row r="1062" spans="2:129" ht="15.75" customHeight="1" x14ac:dyDescent="0.2">
      <c r="B1062" s="32"/>
      <c r="C1062" s="32"/>
      <c r="AF1062" s="32"/>
      <c r="BL1062" s="32"/>
      <c r="BX1062" s="32"/>
      <c r="CC1062" s="32"/>
      <c r="CK1062" s="32"/>
      <c r="CM1062" s="32"/>
      <c r="DJ1062" s="32"/>
      <c r="DT1062" s="32"/>
      <c r="DY1062" s="32"/>
    </row>
    <row r="1063" spans="2:129" ht="15.75" customHeight="1" x14ac:dyDescent="0.2">
      <c r="B1063" s="32"/>
      <c r="C1063" s="32"/>
      <c r="AF1063" s="32"/>
      <c r="BL1063" s="32"/>
      <c r="BX1063" s="32"/>
      <c r="CC1063" s="32"/>
      <c r="CK1063" s="32"/>
      <c r="CM1063" s="32"/>
      <c r="DJ1063" s="32"/>
      <c r="DT1063" s="32"/>
      <c r="DY1063" s="32"/>
    </row>
    <row r="1064" spans="2:129" ht="15.75" customHeight="1" x14ac:dyDescent="0.2">
      <c r="B1064" s="32"/>
      <c r="C1064" s="32"/>
      <c r="AF1064" s="32"/>
      <c r="BL1064" s="32"/>
      <c r="BX1064" s="32"/>
      <c r="CC1064" s="32"/>
      <c r="CK1064" s="32"/>
      <c r="CM1064" s="32"/>
      <c r="DJ1064" s="32"/>
      <c r="DT1064" s="32"/>
      <c r="DY1064" s="32"/>
    </row>
    <row r="1065" spans="2:129" ht="15.75" customHeight="1" x14ac:dyDescent="0.2">
      <c r="B1065" s="32"/>
      <c r="C1065" s="32"/>
      <c r="AF1065" s="32"/>
      <c r="BL1065" s="32"/>
      <c r="BX1065" s="32"/>
      <c r="CC1065" s="32"/>
      <c r="CK1065" s="32"/>
      <c r="CM1065" s="32"/>
      <c r="DJ1065" s="32"/>
      <c r="DT1065" s="32"/>
      <c r="DY1065" s="32"/>
    </row>
    <row r="1066" spans="2:129" ht="15.75" customHeight="1" x14ac:dyDescent="0.2">
      <c r="B1066" s="32"/>
      <c r="C1066" s="32"/>
      <c r="AF1066" s="32"/>
      <c r="BL1066" s="32"/>
      <c r="BX1066" s="32"/>
      <c r="CC1066" s="32"/>
      <c r="CK1066" s="32"/>
      <c r="CM1066" s="32"/>
      <c r="DJ1066" s="32"/>
      <c r="DT1066" s="32"/>
      <c r="DY1066" s="32"/>
    </row>
    <row r="1067" spans="2:129" ht="15.75" customHeight="1" x14ac:dyDescent="0.2">
      <c r="B1067" s="32"/>
      <c r="C1067" s="32"/>
      <c r="AF1067" s="32"/>
      <c r="BL1067" s="32"/>
      <c r="BX1067" s="32"/>
      <c r="CC1067" s="32"/>
      <c r="CK1067" s="32"/>
      <c r="CM1067" s="32"/>
      <c r="DJ1067" s="32"/>
      <c r="DT1067" s="32"/>
      <c r="DY1067" s="32"/>
    </row>
    <row r="1068" spans="2:129" ht="15.75" customHeight="1" x14ac:dyDescent="0.2">
      <c r="B1068" s="32"/>
      <c r="C1068" s="32"/>
      <c r="AF1068" s="32"/>
      <c r="BL1068" s="32"/>
      <c r="BX1068" s="32"/>
      <c r="CC1068" s="32"/>
      <c r="CK1068" s="32"/>
      <c r="CM1068" s="32"/>
      <c r="DJ1068" s="32"/>
      <c r="DT1068" s="32"/>
      <c r="DY1068" s="32"/>
    </row>
    <row r="1069" spans="2:129" ht="15.75" customHeight="1" x14ac:dyDescent="0.2">
      <c r="B1069" s="32"/>
      <c r="C1069" s="32"/>
      <c r="AF1069" s="32"/>
      <c r="BL1069" s="32"/>
      <c r="BX1069" s="32"/>
      <c r="CC1069" s="32"/>
      <c r="CK1069" s="32"/>
      <c r="CM1069" s="32"/>
      <c r="DJ1069" s="32"/>
      <c r="DT1069" s="32"/>
      <c r="DY1069" s="32"/>
    </row>
    <row r="1070" spans="2:129" ht="15.75" customHeight="1" x14ac:dyDescent="0.2">
      <c r="B1070" s="32"/>
      <c r="C1070" s="32"/>
      <c r="AF1070" s="32"/>
      <c r="BL1070" s="32"/>
      <c r="BX1070" s="32"/>
      <c r="CC1070" s="32"/>
      <c r="CK1070" s="32"/>
      <c r="CM1070" s="32"/>
      <c r="DJ1070" s="32"/>
      <c r="DT1070" s="32"/>
      <c r="DY1070" s="32"/>
    </row>
    <row r="1071" spans="2:129" ht="15.75" customHeight="1" x14ac:dyDescent="0.2">
      <c r="B1071" s="32"/>
      <c r="C1071" s="32"/>
      <c r="AF1071" s="32"/>
      <c r="BL1071" s="32"/>
      <c r="BX1071" s="32"/>
      <c r="CC1071" s="32"/>
      <c r="CK1071" s="32"/>
      <c r="CM1071" s="32"/>
      <c r="DJ1071" s="32"/>
      <c r="DT1071" s="32"/>
      <c r="DY1071" s="32"/>
    </row>
    <row r="1072" spans="2:129" ht="15.75" customHeight="1" x14ac:dyDescent="0.2">
      <c r="B1072" s="32"/>
      <c r="C1072" s="32"/>
      <c r="AF1072" s="32"/>
      <c r="BL1072" s="32"/>
      <c r="BX1072" s="32"/>
      <c r="CC1072" s="32"/>
      <c r="CK1072" s="32"/>
      <c r="CM1072" s="32"/>
      <c r="DJ1072" s="32"/>
      <c r="DT1072" s="32"/>
      <c r="DY1072" s="32"/>
    </row>
    <row r="1073" spans="2:129" ht="15.75" customHeight="1" x14ac:dyDescent="0.2">
      <c r="B1073" s="32"/>
      <c r="C1073" s="32"/>
      <c r="AF1073" s="32"/>
      <c r="BL1073" s="32"/>
      <c r="BX1073" s="32"/>
      <c r="CC1073" s="32"/>
      <c r="CK1073" s="32"/>
      <c r="CM1073" s="32"/>
      <c r="DJ1073" s="32"/>
      <c r="DT1073" s="32"/>
      <c r="DY1073" s="32"/>
    </row>
    <row r="1074" spans="2:129" ht="15.75" customHeight="1" x14ac:dyDescent="0.2">
      <c r="B1074" s="32"/>
      <c r="C1074" s="32"/>
      <c r="AF1074" s="32"/>
      <c r="BL1074" s="32"/>
      <c r="BX1074" s="32"/>
      <c r="CC1074" s="32"/>
      <c r="CK1074" s="32"/>
      <c r="CM1074" s="32"/>
      <c r="DJ1074" s="32"/>
      <c r="DT1074" s="32"/>
      <c r="DY1074" s="32"/>
    </row>
    <row r="1075" spans="2:129" ht="15.75" customHeight="1" x14ac:dyDescent="0.2">
      <c r="B1075" s="32"/>
      <c r="C1075" s="32"/>
      <c r="AF1075" s="32"/>
      <c r="BL1075" s="32"/>
      <c r="BX1075" s="32"/>
      <c r="CC1075" s="32"/>
      <c r="CK1075" s="32"/>
      <c r="CM1075" s="32"/>
      <c r="DJ1075" s="32"/>
      <c r="DT1075" s="32"/>
      <c r="DY1075" s="32"/>
    </row>
    <row r="1076" spans="2:129" ht="15.75" customHeight="1" x14ac:dyDescent="0.2">
      <c r="B1076" s="32"/>
      <c r="C1076" s="32"/>
      <c r="AF1076" s="32"/>
      <c r="BL1076" s="32"/>
      <c r="BX1076" s="32"/>
      <c r="CC1076" s="32"/>
      <c r="CK1076" s="32"/>
      <c r="CM1076" s="32"/>
      <c r="DJ1076" s="32"/>
      <c r="DT1076" s="32"/>
      <c r="DY1076" s="32"/>
    </row>
    <row r="1077" spans="2:129" ht="15.75" customHeight="1" x14ac:dyDescent="0.2">
      <c r="B1077" s="32"/>
      <c r="C1077" s="32"/>
      <c r="AF1077" s="32"/>
      <c r="BL1077" s="32"/>
      <c r="BX1077" s="32"/>
      <c r="CC1077" s="32"/>
      <c r="CK1077" s="32"/>
      <c r="CM1077" s="32"/>
      <c r="DJ1077" s="32"/>
      <c r="DT1077" s="32"/>
      <c r="DY1077" s="32"/>
    </row>
    <row r="1078" spans="2:129" ht="15.75" customHeight="1" x14ac:dyDescent="0.2">
      <c r="B1078" s="32"/>
      <c r="C1078" s="32"/>
      <c r="AF1078" s="32"/>
      <c r="BL1078" s="32"/>
      <c r="BX1078" s="32"/>
      <c r="CC1078" s="32"/>
      <c r="CK1078" s="32"/>
      <c r="CM1078" s="32"/>
      <c r="DJ1078" s="32"/>
      <c r="DT1078" s="32"/>
      <c r="DY1078" s="32"/>
    </row>
    <row r="1079" spans="2:129" ht="15.75" customHeight="1" x14ac:dyDescent="0.2">
      <c r="B1079" s="32"/>
      <c r="C1079" s="32"/>
      <c r="AF1079" s="32"/>
      <c r="BL1079" s="32"/>
      <c r="BX1079" s="32"/>
      <c r="CC1079" s="32"/>
      <c r="CK1079" s="32"/>
      <c r="CM1079" s="32"/>
      <c r="DJ1079" s="32"/>
      <c r="DT1079" s="32"/>
      <c r="DY1079" s="32"/>
    </row>
    <row r="1080" spans="2:129" ht="15.75" customHeight="1" x14ac:dyDescent="0.2">
      <c r="B1080" s="32"/>
      <c r="C1080" s="32"/>
      <c r="AF1080" s="32"/>
      <c r="BL1080" s="32"/>
      <c r="BX1080" s="32"/>
      <c r="CC1080" s="32"/>
      <c r="CK1080" s="32"/>
      <c r="CM1080" s="32"/>
      <c r="DJ1080" s="32"/>
      <c r="DT1080" s="32"/>
      <c r="DY1080" s="32"/>
    </row>
    <row r="1081" spans="2:129" ht="15.75" customHeight="1" x14ac:dyDescent="0.2">
      <c r="B1081" s="32"/>
      <c r="C1081" s="32"/>
      <c r="AF1081" s="32"/>
      <c r="BL1081" s="32"/>
      <c r="BX1081" s="32"/>
      <c r="CC1081" s="32"/>
      <c r="CK1081" s="32"/>
      <c r="CM1081" s="32"/>
      <c r="DJ1081" s="32"/>
      <c r="DT1081" s="32"/>
      <c r="DY1081" s="32"/>
    </row>
    <row r="1082" spans="2:129" ht="15.75" customHeight="1" x14ac:dyDescent="0.2">
      <c r="B1082" s="32"/>
      <c r="C1082" s="32"/>
      <c r="AF1082" s="32"/>
      <c r="BL1082" s="32"/>
      <c r="BX1082" s="32"/>
      <c r="CC1082" s="32"/>
      <c r="CK1082" s="32"/>
      <c r="CM1082" s="32"/>
      <c r="DJ1082" s="32"/>
      <c r="DT1082" s="32"/>
      <c r="DY1082" s="32"/>
    </row>
    <row r="1083" spans="2:129" ht="15.75" customHeight="1" x14ac:dyDescent="0.2">
      <c r="B1083" s="32"/>
      <c r="C1083" s="32"/>
      <c r="AF1083" s="32"/>
      <c r="BL1083" s="32"/>
      <c r="BX1083" s="32"/>
      <c r="CC1083" s="32"/>
      <c r="CK1083" s="32"/>
      <c r="CM1083" s="32"/>
      <c r="DJ1083" s="32"/>
      <c r="DT1083" s="32"/>
      <c r="DY1083" s="32"/>
    </row>
    <row r="1084" spans="2:129" ht="15.75" customHeight="1" x14ac:dyDescent="0.2">
      <c r="B1084" s="32"/>
      <c r="C1084" s="32"/>
      <c r="AF1084" s="32"/>
      <c r="BL1084" s="32"/>
      <c r="BX1084" s="32"/>
      <c r="CC1084" s="32"/>
      <c r="CK1084" s="32"/>
      <c r="CM1084" s="32"/>
      <c r="DJ1084" s="32"/>
      <c r="DT1084" s="32"/>
      <c r="DY1084" s="32"/>
    </row>
    <row r="1085" spans="2:129" ht="15.75" customHeight="1" x14ac:dyDescent="0.2">
      <c r="B1085" s="32"/>
      <c r="C1085" s="32"/>
      <c r="AF1085" s="32"/>
      <c r="BL1085" s="32"/>
      <c r="BX1085" s="32"/>
      <c r="CC1085" s="32"/>
      <c r="CK1085" s="32"/>
      <c r="CM1085" s="32"/>
      <c r="DJ1085" s="32"/>
      <c r="DT1085" s="32"/>
      <c r="DY1085" s="32"/>
    </row>
    <row r="1086" spans="2:129" ht="15.75" customHeight="1" x14ac:dyDescent="0.2">
      <c r="B1086" s="32"/>
      <c r="C1086" s="32"/>
      <c r="AF1086" s="32"/>
      <c r="BL1086" s="32"/>
      <c r="BX1086" s="32"/>
      <c r="CC1086" s="32"/>
      <c r="CK1086" s="32"/>
      <c r="CM1086" s="32"/>
      <c r="DJ1086" s="32"/>
      <c r="DT1086" s="32"/>
      <c r="DY1086" s="32"/>
    </row>
    <row r="1087" spans="2:129" ht="15.75" customHeight="1" x14ac:dyDescent="0.2">
      <c r="B1087" s="32"/>
      <c r="C1087" s="32"/>
      <c r="AF1087" s="32"/>
      <c r="BL1087" s="32"/>
      <c r="BX1087" s="32"/>
      <c r="CC1087" s="32"/>
      <c r="CK1087" s="32"/>
      <c r="CM1087" s="32"/>
      <c r="DJ1087" s="32"/>
      <c r="DT1087" s="32"/>
      <c r="DY1087" s="32"/>
    </row>
    <row r="1088" spans="2:129" ht="15.75" customHeight="1" x14ac:dyDescent="0.2">
      <c r="B1088" s="32"/>
      <c r="C1088" s="32"/>
      <c r="AF1088" s="32"/>
      <c r="BL1088" s="32"/>
      <c r="BX1088" s="32"/>
      <c r="CC1088" s="32"/>
      <c r="CK1088" s="32"/>
      <c r="CM1088" s="32"/>
      <c r="DJ1088" s="32"/>
      <c r="DT1088" s="32"/>
      <c r="DY1088" s="32"/>
    </row>
    <row r="1089" spans="2:129" ht="15.75" customHeight="1" x14ac:dyDescent="0.2">
      <c r="B1089" s="32"/>
      <c r="C1089" s="32"/>
      <c r="AF1089" s="32"/>
      <c r="BL1089" s="32"/>
      <c r="BX1089" s="32"/>
      <c r="CC1089" s="32"/>
      <c r="CK1089" s="32"/>
      <c r="CM1089" s="32"/>
      <c r="DJ1089" s="32"/>
      <c r="DT1089" s="32"/>
      <c r="DY1089" s="32"/>
    </row>
    <row r="1090" spans="2:129" ht="15.75" customHeight="1" x14ac:dyDescent="0.2">
      <c r="B1090" s="32"/>
      <c r="C1090" s="32"/>
      <c r="AF1090" s="32"/>
      <c r="BL1090" s="32"/>
      <c r="BX1090" s="32"/>
      <c r="CC1090" s="32"/>
      <c r="CK1090" s="32"/>
      <c r="CM1090" s="32"/>
      <c r="DJ1090" s="32"/>
      <c r="DT1090" s="32"/>
      <c r="DY1090" s="32"/>
    </row>
    <row r="1091" spans="2:129" ht="15.75" customHeight="1" x14ac:dyDescent="0.2">
      <c r="B1091" s="32"/>
      <c r="C1091" s="32"/>
      <c r="AF1091" s="32"/>
      <c r="BL1091" s="32"/>
      <c r="BX1091" s="32"/>
      <c r="CC1091" s="32"/>
      <c r="CK1091" s="32"/>
      <c r="CM1091" s="32"/>
      <c r="DJ1091" s="32"/>
      <c r="DT1091" s="32"/>
      <c r="DY1091" s="32"/>
    </row>
    <row r="1092" spans="2:129" ht="15.75" customHeight="1" x14ac:dyDescent="0.2">
      <c r="B1092" s="32"/>
      <c r="C1092" s="32"/>
      <c r="AF1092" s="32"/>
      <c r="BL1092" s="32"/>
      <c r="BX1092" s="32"/>
      <c r="CC1092" s="32"/>
      <c r="CK1092" s="32"/>
      <c r="CM1092" s="32"/>
      <c r="DJ1092" s="32"/>
      <c r="DT1092" s="32"/>
      <c r="DY1092" s="32"/>
    </row>
    <row r="1093" spans="2:129" ht="15.75" customHeight="1" x14ac:dyDescent="0.2">
      <c r="B1093" s="32"/>
      <c r="C1093" s="32"/>
      <c r="AF1093" s="32"/>
      <c r="BL1093" s="32"/>
      <c r="BX1093" s="32"/>
      <c r="CC1093" s="32"/>
      <c r="CK1093" s="32"/>
      <c r="CM1093" s="32"/>
      <c r="DJ1093" s="32"/>
      <c r="DT1093" s="32"/>
      <c r="DY1093" s="32"/>
    </row>
    <row r="1094" spans="2:129" ht="15.75" customHeight="1" x14ac:dyDescent="0.2">
      <c r="B1094" s="32"/>
      <c r="C1094" s="32"/>
      <c r="AF1094" s="32"/>
      <c r="BL1094" s="32"/>
      <c r="BX1094" s="32"/>
      <c r="CC1094" s="32"/>
      <c r="CK1094" s="32"/>
      <c r="CM1094" s="32"/>
      <c r="DJ1094" s="32"/>
      <c r="DT1094" s="32"/>
      <c r="DY1094" s="32"/>
    </row>
    <row r="1095" spans="2:129" ht="15.75" customHeight="1" x14ac:dyDescent="0.2">
      <c r="B1095" s="32"/>
      <c r="C1095" s="32"/>
      <c r="AF1095" s="32"/>
      <c r="BL1095" s="32"/>
      <c r="BX1095" s="32"/>
      <c r="CC1095" s="32"/>
      <c r="CK1095" s="32"/>
      <c r="CM1095" s="32"/>
      <c r="DJ1095" s="32"/>
      <c r="DT1095" s="32"/>
      <c r="DY1095" s="32"/>
    </row>
    <row r="1096" spans="2:129" ht="15.75" customHeight="1" x14ac:dyDescent="0.2">
      <c r="B1096" s="32"/>
      <c r="C1096" s="32"/>
      <c r="AF1096" s="32"/>
      <c r="BL1096" s="32"/>
      <c r="BX1096" s="32"/>
      <c r="CC1096" s="32"/>
      <c r="CK1096" s="32"/>
      <c r="CM1096" s="32"/>
      <c r="DJ1096" s="32"/>
      <c r="DT1096" s="32"/>
      <c r="DY1096" s="32"/>
    </row>
    <row r="1097" spans="2:129" ht="15.75" customHeight="1" x14ac:dyDescent="0.2">
      <c r="B1097" s="32"/>
      <c r="C1097" s="32"/>
      <c r="AF1097" s="32"/>
      <c r="BL1097" s="32"/>
      <c r="BX1097" s="32"/>
      <c r="CC1097" s="32"/>
      <c r="CK1097" s="32"/>
      <c r="CM1097" s="32"/>
      <c r="DJ1097" s="32"/>
      <c r="DT1097" s="32"/>
      <c r="DY1097" s="32"/>
    </row>
    <row r="1098" spans="2:129" ht="15.75" customHeight="1" x14ac:dyDescent="0.2">
      <c r="B1098" s="32"/>
      <c r="C1098" s="32"/>
      <c r="AF1098" s="32"/>
      <c r="BL1098" s="32"/>
      <c r="BX1098" s="32"/>
      <c r="CC1098" s="32"/>
      <c r="CK1098" s="32"/>
      <c r="CM1098" s="32"/>
      <c r="DJ1098" s="32"/>
      <c r="DT1098" s="32"/>
      <c r="DY1098" s="32"/>
    </row>
    <row r="1099" spans="2:129" ht="15.75" customHeight="1" x14ac:dyDescent="0.2">
      <c r="B1099" s="32"/>
      <c r="C1099" s="32"/>
      <c r="AF1099" s="32"/>
      <c r="BL1099" s="32"/>
      <c r="BX1099" s="32"/>
      <c r="CC1099" s="32"/>
      <c r="CK1099" s="32"/>
      <c r="CM1099" s="32"/>
      <c r="DJ1099" s="32"/>
      <c r="DT1099" s="32"/>
      <c r="DY1099" s="32"/>
    </row>
    <row r="1100" spans="2:129" ht="15.75" customHeight="1" x14ac:dyDescent="0.2">
      <c r="B1100" s="32"/>
      <c r="C1100" s="32"/>
      <c r="AF1100" s="32"/>
      <c r="BL1100" s="32"/>
      <c r="BX1100" s="32"/>
      <c r="CC1100" s="32"/>
      <c r="CK1100" s="32"/>
      <c r="CM1100" s="32"/>
      <c r="DJ1100" s="32"/>
      <c r="DT1100" s="32"/>
      <c r="DY1100" s="32"/>
    </row>
    <row r="1101" spans="2:129" ht="15.75" customHeight="1" x14ac:dyDescent="0.2">
      <c r="B1101" s="32"/>
      <c r="C1101" s="32"/>
      <c r="AF1101" s="32"/>
      <c r="BL1101" s="32"/>
      <c r="BX1101" s="32"/>
      <c r="CC1101" s="32"/>
      <c r="CK1101" s="32"/>
      <c r="CM1101" s="32"/>
      <c r="DJ1101" s="32"/>
      <c r="DT1101" s="32"/>
      <c r="DY1101" s="32"/>
    </row>
    <row r="1102" spans="2:129" ht="15.75" customHeight="1" x14ac:dyDescent="0.2">
      <c r="B1102" s="32"/>
      <c r="C1102" s="32"/>
      <c r="AF1102" s="32"/>
      <c r="BL1102" s="32"/>
      <c r="BX1102" s="32"/>
      <c r="CC1102" s="32"/>
      <c r="CK1102" s="32"/>
      <c r="CM1102" s="32"/>
      <c r="DJ1102" s="32"/>
      <c r="DT1102" s="32"/>
      <c r="DY1102" s="32"/>
    </row>
    <row r="1103" spans="2:129" ht="15.75" customHeight="1" x14ac:dyDescent="0.2">
      <c r="B1103" s="32"/>
      <c r="C1103" s="32"/>
      <c r="AF1103" s="32"/>
      <c r="BL1103" s="32"/>
      <c r="BX1103" s="32"/>
      <c r="CC1103" s="32"/>
      <c r="CK1103" s="32"/>
      <c r="CM1103" s="32"/>
      <c r="DJ1103" s="32"/>
      <c r="DT1103" s="32"/>
      <c r="DY1103" s="32"/>
    </row>
    <row r="1104" spans="2:129" ht="15.75" customHeight="1" x14ac:dyDescent="0.2">
      <c r="B1104" s="32"/>
      <c r="C1104" s="32"/>
      <c r="AF1104" s="32"/>
      <c r="BL1104" s="32"/>
      <c r="BX1104" s="32"/>
      <c r="CC1104" s="32"/>
      <c r="CK1104" s="32"/>
      <c r="CM1104" s="32"/>
      <c r="DJ1104" s="32"/>
      <c r="DT1104" s="32"/>
      <c r="DY1104" s="32"/>
    </row>
    <row r="1105" spans="2:129" ht="15.75" customHeight="1" x14ac:dyDescent="0.2">
      <c r="B1105" s="32"/>
      <c r="C1105" s="32"/>
      <c r="AF1105" s="32"/>
      <c r="BL1105" s="32"/>
      <c r="BX1105" s="32"/>
      <c r="CC1105" s="32"/>
      <c r="CK1105" s="32"/>
      <c r="CM1105" s="32"/>
      <c r="DJ1105" s="32"/>
      <c r="DT1105" s="32"/>
      <c r="DY1105" s="32"/>
    </row>
    <row r="1106" spans="2:129" ht="15.75" customHeight="1" x14ac:dyDescent="0.2">
      <c r="B1106" s="32"/>
      <c r="C1106" s="32"/>
      <c r="AF1106" s="32"/>
      <c r="BL1106" s="32"/>
      <c r="BX1106" s="32"/>
      <c r="CC1106" s="32"/>
      <c r="CK1106" s="32"/>
      <c r="CM1106" s="32"/>
      <c r="DJ1106" s="32"/>
      <c r="DT1106" s="32"/>
      <c r="DY1106" s="32"/>
    </row>
    <row r="1107" spans="2:129" ht="15.75" customHeight="1" x14ac:dyDescent="0.2">
      <c r="B1107" s="32"/>
      <c r="C1107" s="32"/>
      <c r="AF1107" s="32"/>
      <c r="BL1107" s="32"/>
      <c r="BX1107" s="32"/>
      <c r="CC1107" s="32"/>
      <c r="CK1107" s="32"/>
      <c r="CM1107" s="32"/>
      <c r="DJ1107" s="32"/>
      <c r="DT1107" s="32"/>
      <c r="DY1107" s="32"/>
    </row>
    <row r="1108" spans="2:129" ht="15.75" customHeight="1" x14ac:dyDescent="0.2">
      <c r="B1108" s="32"/>
      <c r="C1108" s="32"/>
      <c r="AF1108" s="32"/>
      <c r="BL1108" s="32"/>
      <c r="BX1108" s="32"/>
      <c r="CC1108" s="32"/>
      <c r="CK1108" s="32"/>
      <c r="CM1108" s="32"/>
      <c r="DJ1108" s="32"/>
      <c r="DT1108" s="32"/>
      <c r="DY1108" s="32"/>
    </row>
    <row r="1109" spans="2:129" ht="15.75" customHeight="1" x14ac:dyDescent="0.2">
      <c r="B1109" s="32"/>
      <c r="C1109" s="32"/>
      <c r="AF1109" s="32"/>
      <c r="BL1109" s="32"/>
      <c r="BX1109" s="32"/>
      <c r="CC1109" s="32"/>
      <c r="CK1109" s="32"/>
      <c r="CM1109" s="32"/>
      <c r="DJ1109" s="32"/>
      <c r="DT1109" s="32"/>
      <c r="DY1109" s="32"/>
    </row>
    <row r="1110" spans="2:129" ht="15.75" customHeight="1" x14ac:dyDescent="0.2">
      <c r="B1110" s="32"/>
      <c r="C1110" s="32"/>
      <c r="AF1110" s="32"/>
      <c r="BL1110" s="32"/>
      <c r="BX1110" s="32"/>
      <c r="CC1110" s="32"/>
      <c r="CK1110" s="32"/>
      <c r="CM1110" s="32"/>
      <c r="DJ1110" s="32"/>
      <c r="DT1110" s="32"/>
      <c r="DY1110" s="32"/>
    </row>
    <row r="1111" spans="2:129" ht="15.75" customHeight="1" x14ac:dyDescent="0.2">
      <c r="B1111" s="32"/>
      <c r="C1111" s="32"/>
      <c r="AF1111" s="32"/>
      <c r="BL1111" s="32"/>
      <c r="BX1111" s="32"/>
      <c r="CC1111" s="32"/>
      <c r="CK1111" s="32"/>
      <c r="CM1111" s="32"/>
      <c r="DJ1111" s="32"/>
      <c r="DT1111" s="32"/>
      <c r="DY1111" s="32"/>
    </row>
    <row r="1112" spans="2:129" ht="15.75" customHeight="1" x14ac:dyDescent="0.2">
      <c r="B1112" s="32"/>
      <c r="C1112" s="32"/>
      <c r="AF1112" s="32"/>
      <c r="BL1112" s="32"/>
      <c r="BX1112" s="32"/>
      <c r="CC1112" s="32"/>
      <c r="CK1112" s="32"/>
      <c r="CM1112" s="32"/>
      <c r="DJ1112" s="32"/>
      <c r="DT1112" s="32"/>
      <c r="DY1112" s="32"/>
    </row>
    <row r="1113" spans="2:129" ht="15.75" customHeight="1" x14ac:dyDescent="0.2">
      <c r="B1113" s="32"/>
      <c r="C1113" s="32"/>
      <c r="AF1113" s="32"/>
      <c r="BL1113" s="32"/>
      <c r="BX1113" s="32"/>
      <c r="CC1113" s="32"/>
      <c r="CK1113" s="32"/>
      <c r="CM1113" s="32"/>
      <c r="DJ1113" s="32"/>
      <c r="DT1113" s="32"/>
      <c r="DY1113" s="32"/>
    </row>
    <row r="1114" spans="2:129" ht="15.75" customHeight="1" x14ac:dyDescent="0.2">
      <c r="B1114" s="32"/>
      <c r="C1114" s="32"/>
      <c r="AF1114" s="32"/>
      <c r="BL1114" s="32"/>
      <c r="BX1114" s="32"/>
      <c r="CC1114" s="32"/>
      <c r="CK1114" s="32"/>
      <c r="CM1114" s="32"/>
      <c r="DJ1114" s="32"/>
      <c r="DT1114" s="32"/>
      <c r="DY1114" s="32"/>
    </row>
    <row r="1115" spans="2:129" ht="15.75" customHeight="1" x14ac:dyDescent="0.2">
      <c r="B1115" s="32"/>
      <c r="C1115" s="32"/>
      <c r="AF1115" s="32"/>
      <c r="BL1115" s="32"/>
      <c r="BX1115" s="32"/>
      <c r="CC1115" s="32"/>
      <c r="CK1115" s="32"/>
      <c r="CM1115" s="32"/>
      <c r="DJ1115" s="32"/>
      <c r="DT1115" s="32"/>
      <c r="DY1115" s="32"/>
    </row>
    <row r="1116" spans="2:129" ht="15.75" customHeight="1" x14ac:dyDescent="0.2">
      <c r="B1116" s="32"/>
      <c r="C1116" s="32"/>
      <c r="AF1116" s="32"/>
      <c r="BL1116" s="32"/>
      <c r="BX1116" s="32"/>
      <c r="CC1116" s="32"/>
      <c r="CK1116" s="32"/>
      <c r="CM1116" s="32"/>
      <c r="DJ1116" s="32"/>
      <c r="DT1116" s="32"/>
      <c r="DY1116" s="32"/>
    </row>
    <row r="1117" spans="2:129" ht="15.75" customHeight="1" x14ac:dyDescent="0.2">
      <c r="B1117" s="32"/>
      <c r="C1117" s="32"/>
      <c r="AF1117" s="32"/>
      <c r="BL1117" s="32"/>
      <c r="BX1117" s="32"/>
      <c r="CC1117" s="32"/>
      <c r="CK1117" s="32"/>
      <c r="CM1117" s="32"/>
      <c r="DJ1117" s="32"/>
      <c r="DT1117" s="32"/>
      <c r="DY1117" s="32"/>
    </row>
    <row r="1118" spans="2:129" ht="15.75" customHeight="1" x14ac:dyDescent="0.2">
      <c r="B1118" s="32"/>
      <c r="C1118" s="32"/>
      <c r="AF1118" s="32"/>
      <c r="BL1118" s="32"/>
      <c r="BX1118" s="32"/>
      <c r="CC1118" s="32"/>
      <c r="CK1118" s="32"/>
      <c r="CM1118" s="32"/>
      <c r="DJ1118" s="32"/>
      <c r="DT1118" s="32"/>
      <c r="DY1118" s="32"/>
    </row>
    <row r="1119" spans="2:129" ht="15.75" customHeight="1" x14ac:dyDescent="0.2">
      <c r="B1119" s="32"/>
      <c r="C1119" s="32"/>
      <c r="AF1119" s="32"/>
      <c r="BL1119" s="32"/>
      <c r="BX1119" s="32"/>
      <c r="CC1119" s="32"/>
      <c r="CK1119" s="32"/>
      <c r="CM1119" s="32"/>
      <c r="DJ1119" s="32"/>
      <c r="DT1119" s="32"/>
      <c r="DY1119" s="32"/>
    </row>
    <row r="1120" spans="2:129" ht="15.75" customHeight="1" x14ac:dyDescent="0.2">
      <c r="B1120" s="32"/>
      <c r="C1120" s="32"/>
      <c r="AF1120" s="32"/>
      <c r="BL1120" s="32"/>
      <c r="BX1120" s="32"/>
      <c r="CC1120" s="32"/>
      <c r="CK1120" s="32"/>
      <c r="CM1120" s="32"/>
      <c r="DJ1120" s="32"/>
      <c r="DT1120" s="32"/>
      <c r="DY1120" s="32"/>
    </row>
    <row r="1121" spans="2:129" ht="15.75" customHeight="1" x14ac:dyDescent="0.2">
      <c r="B1121" s="32"/>
      <c r="C1121" s="32"/>
      <c r="AF1121" s="32"/>
      <c r="BL1121" s="32"/>
      <c r="BX1121" s="32"/>
      <c r="CC1121" s="32"/>
      <c r="CK1121" s="32"/>
      <c r="CM1121" s="32"/>
      <c r="DJ1121" s="32"/>
      <c r="DT1121" s="32"/>
      <c r="DY1121" s="32"/>
    </row>
    <row r="1122" spans="2:129" ht="15.75" customHeight="1" x14ac:dyDescent="0.2">
      <c r="B1122" s="32"/>
      <c r="C1122" s="32"/>
      <c r="AF1122" s="32"/>
      <c r="BL1122" s="32"/>
      <c r="BX1122" s="32"/>
      <c r="CC1122" s="32"/>
      <c r="CK1122" s="32"/>
      <c r="CM1122" s="32"/>
      <c r="DJ1122" s="32"/>
      <c r="DT1122" s="32"/>
      <c r="DY1122" s="32"/>
    </row>
    <row r="1123" spans="2:129" ht="15.75" customHeight="1" x14ac:dyDescent="0.2">
      <c r="B1123" s="32"/>
      <c r="C1123" s="32"/>
      <c r="AF1123" s="32"/>
      <c r="BL1123" s="32"/>
      <c r="BX1123" s="32"/>
      <c r="CC1123" s="32"/>
      <c r="CK1123" s="32"/>
      <c r="CM1123" s="32"/>
      <c r="DJ1123" s="32"/>
      <c r="DT1123" s="32"/>
      <c r="DY1123" s="32"/>
    </row>
    <row r="1124" spans="2:129" ht="15.75" customHeight="1" x14ac:dyDescent="0.2">
      <c r="B1124" s="32"/>
      <c r="C1124" s="32"/>
      <c r="AF1124" s="32"/>
      <c r="BL1124" s="32"/>
      <c r="BX1124" s="32"/>
      <c r="CC1124" s="32"/>
      <c r="CK1124" s="32"/>
      <c r="CM1124" s="32"/>
      <c r="DJ1124" s="32"/>
      <c r="DT1124" s="32"/>
      <c r="DY1124" s="32"/>
    </row>
    <row r="1125" spans="2:129" ht="15.75" customHeight="1" x14ac:dyDescent="0.2">
      <c r="B1125" s="32"/>
      <c r="C1125" s="32"/>
      <c r="AF1125" s="32"/>
      <c r="BL1125" s="32"/>
      <c r="BX1125" s="32"/>
      <c r="CC1125" s="32"/>
      <c r="CK1125" s="32"/>
      <c r="CM1125" s="32"/>
      <c r="DJ1125" s="32"/>
      <c r="DT1125" s="32"/>
      <c r="DY1125" s="32"/>
    </row>
    <row r="1126" spans="2:129" ht="15.75" customHeight="1" x14ac:dyDescent="0.2">
      <c r="B1126" s="32"/>
      <c r="C1126" s="32"/>
      <c r="AF1126" s="32"/>
      <c r="BL1126" s="32"/>
      <c r="BX1126" s="32"/>
      <c r="CC1126" s="32"/>
      <c r="CK1126" s="32"/>
      <c r="CM1126" s="32"/>
      <c r="DJ1126" s="32"/>
      <c r="DT1126" s="32"/>
      <c r="DY1126" s="32"/>
    </row>
    <row r="1127" spans="2:129" ht="15.75" customHeight="1" x14ac:dyDescent="0.2">
      <c r="B1127" s="32"/>
      <c r="C1127" s="32"/>
      <c r="AF1127" s="32"/>
      <c r="BL1127" s="32"/>
      <c r="BX1127" s="32"/>
      <c r="CC1127" s="32"/>
      <c r="CK1127" s="32"/>
      <c r="CM1127" s="32"/>
      <c r="DJ1127" s="32"/>
      <c r="DT1127" s="32"/>
      <c r="DY1127" s="32"/>
    </row>
    <row r="1128" spans="2:129" ht="15.75" customHeight="1" x14ac:dyDescent="0.2">
      <c r="B1128" s="32"/>
      <c r="C1128" s="32"/>
      <c r="AF1128" s="32"/>
      <c r="BL1128" s="32"/>
      <c r="BX1128" s="32"/>
      <c r="CC1128" s="32"/>
      <c r="CK1128" s="32"/>
      <c r="CM1128" s="32"/>
      <c r="DJ1128" s="32"/>
      <c r="DT1128" s="32"/>
      <c r="DY1128" s="32"/>
    </row>
    <row r="1129" spans="2:129" ht="15.75" customHeight="1" x14ac:dyDescent="0.2">
      <c r="B1129" s="32"/>
      <c r="C1129" s="32"/>
      <c r="AF1129" s="32"/>
      <c r="BL1129" s="32"/>
      <c r="BX1129" s="32"/>
      <c r="CC1129" s="32"/>
      <c r="CK1129" s="32"/>
      <c r="CM1129" s="32"/>
      <c r="DJ1129" s="32"/>
      <c r="DT1129" s="32"/>
      <c r="DY1129" s="32"/>
    </row>
    <row r="1130" spans="2:129" ht="15.75" customHeight="1" x14ac:dyDescent="0.2">
      <c r="B1130" s="32"/>
      <c r="C1130" s="32"/>
      <c r="AF1130" s="32"/>
      <c r="BL1130" s="32"/>
      <c r="BX1130" s="32"/>
      <c r="CC1130" s="32"/>
      <c r="CK1130" s="32"/>
      <c r="CM1130" s="32"/>
      <c r="DJ1130" s="32"/>
      <c r="DT1130" s="32"/>
      <c r="DY1130" s="32"/>
    </row>
    <row r="1131" spans="2:129" ht="15.75" customHeight="1" x14ac:dyDescent="0.2">
      <c r="B1131" s="32"/>
      <c r="C1131" s="32"/>
      <c r="AF1131" s="32"/>
      <c r="BL1131" s="32"/>
      <c r="BX1131" s="32"/>
      <c r="CC1131" s="32"/>
      <c r="CK1131" s="32"/>
      <c r="CM1131" s="32"/>
      <c r="DJ1131" s="32"/>
      <c r="DT1131" s="32"/>
      <c r="DY1131" s="32"/>
    </row>
    <row r="1132" spans="2:129" ht="15.75" customHeight="1" x14ac:dyDescent="0.2">
      <c r="B1132" s="32"/>
      <c r="C1132" s="32"/>
      <c r="AF1132" s="32"/>
      <c r="BL1132" s="32"/>
      <c r="BX1132" s="32"/>
      <c r="CC1132" s="32"/>
      <c r="CK1132" s="32"/>
      <c r="CM1132" s="32"/>
      <c r="DJ1132" s="32"/>
      <c r="DT1132" s="32"/>
      <c r="DY1132" s="32"/>
    </row>
    <row r="1133" spans="2:129" ht="15.75" customHeight="1" x14ac:dyDescent="0.2">
      <c r="B1133" s="32"/>
      <c r="C1133" s="32"/>
      <c r="AF1133" s="32"/>
      <c r="BL1133" s="32"/>
      <c r="BX1133" s="32"/>
      <c r="CC1133" s="32"/>
      <c r="CK1133" s="32"/>
      <c r="CM1133" s="32"/>
      <c r="DJ1133" s="32"/>
      <c r="DT1133" s="32"/>
      <c r="DY1133" s="32"/>
    </row>
    <row r="1134" spans="2:129" ht="15.75" customHeight="1" x14ac:dyDescent="0.2">
      <c r="B1134" s="32"/>
      <c r="C1134" s="32"/>
      <c r="AF1134" s="32"/>
      <c r="BL1134" s="32"/>
      <c r="BX1134" s="32"/>
      <c r="CC1134" s="32"/>
      <c r="CK1134" s="32"/>
      <c r="CM1134" s="32"/>
      <c r="DJ1134" s="32"/>
      <c r="DT1134" s="32"/>
      <c r="DY1134" s="32"/>
    </row>
    <row r="1135" spans="2:129" ht="15.75" customHeight="1" x14ac:dyDescent="0.2">
      <c r="B1135" s="32"/>
      <c r="C1135" s="32"/>
      <c r="AF1135" s="32"/>
      <c r="BL1135" s="32"/>
      <c r="BX1135" s="32"/>
      <c r="CC1135" s="32"/>
      <c r="CK1135" s="32"/>
      <c r="CM1135" s="32"/>
      <c r="DJ1135" s="32"/>
      <c r="DT1135" s="32"/>
      <c r="DY1135" s="32"/>
    </row>
    <row r="1136" spans="2:129" ht="15.75" customHeight="1" x14ac:dyDescent="0.2">
      <c r="B1136" s="32"/>
      <c r="C1136" s="32"/>
      <c r="AF1136" s="32"/>
      <c r="BL1136" s="32"/>
      <c r="BX1136" s="32"/>
      <c r="CC1136" s="32"/>
      <c r="CK1136" s="32"/>
      <c r="CM1136" s="32"/>
      <c r="DJ1136" s="32"/>
      <c r="DT1136" s="32"/>
      <c r="DY1136" s="32"/>
    </row>
    <row r="1137" spans="2:129" ht="15.75" customHeight="1" x14ac:dyDescent="0.2">
      <c r="B1137" s="32"/>
      <c r="C1137" s="32"/>
      <c r="AF1137" s="32"/>
      <c r="BL1137" s="32"/>
      <c r="BX1137" s="32"/>
      <c r="CC1137" s="32"/>
      <c r="CK1137" s="32"/>
      <c r="CM1137" s="32"/>
      <c r="DJ1137" s="32"/>
      <c r="DT1137" s="32"/>
      <c r="DY1137" s="32"/>
    </row>
    <row r="1138" spans="2:129" ht="15.75" customHeight="1" x14ac:dyDescent="0.2">
      <c r="B1138" s="32"/>
      <c r="C1138" s="32"/>
      <c r="AF1138" s="32"/>
      <c r="BL1138" s="32"/>
      <c r="BX1138" s="32"/>
      <c r="CC1138" s="32"/>
      <c r="CK1138" s="32"/>
      <c r="CM1138" s="32"/>
      <c r="DJ1138" s="32"/>
      <c r="DT1138" s="32"/>
      <c r="DY1138" s="32"/>
    </row>
    <row r="1139" spans="2:129" ht="15.75" customHeight="1" x14ac:dyDescent="0.2">
      <c r="B1139" s="32"/>
      <c r="C1139" s="32"/>
      <c r="AF1139" s="32"/>
      <c r="BL1139" s="32"/>
      <c r="BX1139" s="32"/>
      <c r="CC1139" s="32"/>
      <c r="CK1139" s="32"/>
      <c r="CM1139" s="32"/>
      <c r="DJ1139" s="32"/>
      <c r="DT1139" s="32"/>
      <c r="DY1139" s="32"/>
    </row>
    <row r="1140" spans="2:129" ht="15.75" customHeight="1" x14ac:dyDescent="0.2">
      <c r="B1140" s="32"/>
      <c r="C1140" s="32"/>
      <c r="AF1140" s="32"/>
      <c r="BL1140" s="32"/>
      <c r="BX1140" s="32"/>
      <c r="CC1140" s="32"/>
      <c r="CK1140" s="32"/>
      <c r="CM1140" s="32"/>
      <c r="DJ1140" s="32"/>
      <c r="DT1140" s="32"/>
      <c r="DY1140" s="32"/>
    </row>
    <row r="1141" spans="2:129" ht="15.75" customHeight="1" x14ac:dyDescent="0.2">
      <c r="B1141" s="32"/>
      <c r="C1141" s="32"/>
      <c r="AF1141" s="32"/>
      <c r="BL1141" s="32"/>
      <c r="BX1141" s="32"/>
      <c r="CC1141" s="32"/>
      <c r="CK1141" s="32"/>
      <c r="CM1141" s="32"/>
      <c r="DJ1141" s="32"/>
      <c r="DT1141" s="32"/>
      <c r="DY1141" s="32"/>
    </row>
    <row r="1142" spans="2:129" ht="15.75" customHeight="1" x14ac:dyDescent="0.2">
      <c r="B1142" s="32"/>
      <c r="C1142" s="32"/>
      <c r="AF1142" s="32"/>
      <c r="BL1142" s="32"/>
      <c r="BX1142" s="32"/>
      <c r="CC1142" s="32"/>
      <c r="CK1142" s="32"/>
      <c r="CM1142" s="32"/>
      <c r="DJ1142" s="32"/>
      <c r="DT1142" s="32"/>
      <c r="DY1142" s="32"/>
    </row>
    <row r="1143" spans="2:129" ht="15.75" customHeight="1" x14ac:dyDescent="0.2">
      <c r="B1143" s="32"/>
      <c r="C1143" s="32"/>
      <c r="AF1143" s="32"/>
      <c r="BL1143" s="32"/>
      <c r="BX1143" s="32"/>
      <c r="CC1143" s="32"/>
      <c r="CK1143" s="32"/>
      <c r="CM1143" s="32"/>
      <c r="DJ1143" s="32"/>
      <c r="DT1143" s="32"/>
      <c r="DY1143" s="32"/>
    </row>
    <row r="1144" spans="2:129" ht="15.75" customHeight="1" x14ac:dyDescent="0.2">
      <c r="B1144" s="32"/>
      <c r="C1144" s="32"/>
      <c r="AF1144" s="32"/>
      <c r="BL1144" s="32"/>
      <c r="BX1144" s="32"/>
      <c r="CC1144" s="32"/>
      <c r="CK1144" s="32"/>
      <c r="CM1144" s="32"/>
      <c r="DJ1144" s="32"/>
      <c r="DT1144" s="32"/>
      <c r="DY1144" s="32"/>
    </row>
    <row r="1145" spans="2:129" ht="15.75" customHeight="1" x14ac:dyDescent="0.2">
      <c r="B1145" s="32"/>
      <c r="C1145" s="32"/>
      <c r="AF1145" s="32"/>
      <c r="BL1145" s="32"/>
      <c r="BX1145" s="32"/>
      <c r="CC1145" s="32"/>
      <c r="CK1145" s="32"/>
      <c r="CM1145" s="32"/>
      <c r="DJ1145" s="32"/>
      <c r="DT1145" s="32"/>
      <c r="DY1145" s="32"/>
    </row>
    <row r="1146" spans="2:129" ht="15.75" customHeight="1" x14ac:dyDescent="0.2">
      <c r="B1146" s="32"/>
      <c r="C1146" s="32"/>
      <c r="AF1146" s="32"/>
      <c r="BL1146" s="32"/>
      <c r="BX1146" s="32"/>
      <c r="CC1146" s="32"/>
      <c r="CK1146" s="32"/>
      <c r="CM1146" s="32"/>
      <c r="DJ1146" s="32"/>
      <c r="DT1146" s="32"/>
      <c r="DY1146" s="32"/>
    </row>
    <row r="1147" spans="2:129" ht="15.75" customHeight="1" x14ac:dyDescent="0.2">
      <c r="B1147" s="32"/>
      <c r="C1147" s="32"/>
      <c r="AF1147" s="32"/>
      <c r="BL1147" s="32"/>
      <c r="BX1147" s="32"/>
      <c r="CC1147" s="32"/>
      <c r="CK1147" s="32"/>
      <c r="CM1147" s="32"/>
      <c r="DJ1147" s="32"/>
      <c r="DT1147" s="32"/>
      <c r="DY1147" s="32"/>
    </row>
    <row r="1148" spans="2:129" ht="15.75" customHeight="1" x14ac:dyDescent="0.2">
      <c r="B1148" s="32"/>
      <c r="C1148" s="32"/>
      <c r="AF1148" s="32"/>
      <c r="BL1148" s="32"/>
      <c r="BX1148" s="32"/>
      <c r="CC1148" s="32"/>
      <c r="CK1148" s="32"/>
      <c r="CM1148" s="32"/>
      <c r="DJ1148" s="32"/>
      <c r="DT1148" s="32"/>
      <c r="DY1148" s="32"/>
    </row>
    <row r="1149" spans="2:129" ht="15.75" customHeight="1" x14ac:dyDescent="0.2">
      <c r="B1149" s="32"/>
      <c r="C1149" s="32"/>
      <c r="AF1149" s="32"/>
      <c r="BL1149" s="32"/>
      <c r="BX1149" s="32"/>
      <c r="CC1149" s="32"/>
      <c r="CK1149" s="32"/>
      <c r="CM1149" s="32"/>
      <c r="DJ1149" s="32"/>
      <c r="DT1149" s="32"/>
      <c r="DY1149" s="32"/>
    </row>
    <row r="1150" spans="2:129" ht="15.75" customHeight="1" x14ac:dyDescent="0.2">
      <c r="B1150" s="32"/>
      <c r="C1150" s="32"/>
      <c r="AF1150" s="32"/>
      <c r="BL1150" s="32"/>
      <c r="BX1150" s="32"/>
      <c r="CC1150" s="32"/>
      <c r="CK1150" s="32"/>
      <c r="CM1150" s="32"/>
      <c r="DJ1150" s="32"/>
      <c r="DT1150" s="32"/>
      <c r="DY1150" s="32"/>
    </row>
    <row r="1151" spans="2:129" ht="15.75" customHeight="1" x14ac:dyDescent="0.2">
      <c r="B1151" s="32"/>
      <c r="C1151" s="32"/>
      <c r="AF1151" s="32"/>
      <c r="BL1151" s="32"/>
      <c r="BX1151" s="32"/>
      <c r="CC1151" s="32"/>
      <c r="CK1151" s="32"/>
      <c r="CM1151" s="32"/>
      <c r="DJ1151" s="32"/>
      <c r="DT1151" s="32"/>
      <c r="DY1151" s="32"/>
    </row>
    <row r="1152" spans="2:129" ht="15.75" customHeight="1" x14ac:dyDescent="0.2">
      <c r="B1152" s="32"/>
      <c r="C1152" s="32"/>
      <c r="AF1152" s="32"/>
      <c r="BL1152" s="32"/>
      <c r="BX1152" s="32"/>
      <c r="CC1152" s="32"/>
      <c r="CK1152" s="32"/>
      <c r="CM1152" s="32"/>
      <c r="DJ1152" s="32"/>
      <c r="DT1152" s="32"/>
      <c r="DY1152" s="32"/>
    </row>
    <row r="1153" spans="2:129" ht="15.75" customHeight="1" x14ac:dyDescent="0.2">
      <c r="B1153" s="32"/>
      <c r="C1153" s="32"/>
      <c r="AF1153" s="32"/>
      <c r="BL1153" s="32"/>
      <c r="BX1153" s="32"/>
      <c r="CC1153" s="32"/>
      <c r="CK1153" s="32"/>
      <c r="CM1153" s="32"/>
      <c r="DJ1153" s="32"/>
      <c r="DT1153" s="32"/>
      <c r="DY1153" s="32"/>
    </row>
    <row r="1154" spans="2:129" ht="15.75" customHeight="1" x14ac:dyDescent="0.2">
      <c r="B1154" s="32"/>
      <c r="C1154" s="32"/>
      <c r="AF1154" s="32"/>
      <c r="BL1154" s="32"/>
      <c r="BX1154" s="32"/>
      <c r="CC1154" s="32"/>
      <c r="CK1154" s="32"/>
      <c r="CM1154" s="32"/>
      <c r="DJ1154" s="32"/>
      <c r="DT1154" s="32"/>
      <c r="DY1154" s="32"/>
    </row>
    <row r="1155" spans="2:129" ht="15.75" customHeight="1" x14ac:dyDescent="0.2">
      <c r="B1155" s="32"/>
      <c r="C1155" s="32"/>
      <c r="AF1155" s="32"/>
      <c r="BL1155" s="32"/>
      <c r="BX1155" s="32"/>
      <c r="CC1155" s="32"/>
      <c r="CK1155" s="32"/>
      <c r="CM1155" s="32"/>
      <c r="DJ1155" s="32"/>
      <c r="DT1155" s="32"/>
      <c r="DY1155" s="32"/>
    </row>
    <row r="1156" spans="2:129" ht="15.75" customHeight="1" x14ac:dyDescent="0.2">
      <c r="B1156" s="32"/>
      <c r="C1156" s="32"/>
      <c r="AF1156" s="32"/>
      <c r="BL1156" s="32"/>
      <c r="BX1156" s="32"/>
      <c r="CC1156" s="32"/>
      <c r="CK1156" s="32"/>
      <c r="CM1156" s="32"/>
      <c r="DJ1156" s="32"/>
      <c r="DT1156" s="32"/>
      <c r="DY1156" s="32"/>
    </row>
    <row r="1157" spans="2:129" ht="15.75" customHeight="1" x14ac:dyDescent="0.2">
      <c r="B1157" s="32"/>
      <c r="C1157" s="32"/>
      <c r="AF1157" s="32"/>
      <c r="BL1157" s="32"/>
      <c r="BX1157" s="32"/>
      <c r="CC1157" s="32"/>
      <c r="CK1157" s="32"/>
      <c r="CM1157" s="32"/>
      <c r="DJ1157" s="32"/>
      <c r="DT1157" s="32"/>
      <c r="DY1157" s="32"/>
    </row>
    <row r="1158" spans="2:129" ht="15.75" customHeight="1" x14ac:dyDescent="0.2">
      <c r="B1158" s="32"/>
      <c r="C1158" s="32"/>
      <c r="AF1158" s="32"/>
      <c r="BL1158" s="32"/>
      <c r="BX1158" s="32"/>
      <c r="CC1158" s="32"/>
      <c r="CK1158" s="32"/>
      <c r="CM1158" s="32"/>
      <c r="DJ1158" s="32"/>
      <c r="DT1158" s="32"/>
      <c r="DY1158" s="32"/>
    </row>
    <row r="1159" spans="2:129" ht="15.75" customHeight="1" x14ac:dyDescent="0.2">
      <c r="B1159" s="32"/>
      <c r="C1159" s="32"/>
      <c r="AF1159" s="32"/>
      <c r="BL1159" s="32"/>
      <c r="BX1159" s="32"/>
      <c r="CC1159" s="32"/>
      <c r="CK1159" s="32"/>
      <c r="CM1159" s="32"/>
      <c r="DJ1159" s="32"/>
      <c r="DT1159" s="32"/>
      <c r="DY1159" s="32"/>
    </row>
    <row r="1160" spans="2:129" ht="15.75" customHeight="1" x14ac:dyDescent="0.2">
      <c r="B1160" s="32"/>
      <c r="C1160" s="32"/>
      <c r="AF1160" s="32"/>
      <c r="BL1160" s="32"/>
      <c r="BX1160" s="32"/>
      <c r="CC1160" s="32"/>
      <c r="CK1160" s="32"/>
      <c r="CM1160" s="32"/>
      <c r="DJ1160" s="32"/>
      <c r="DT1160" s="32"/>
      <c r="DY1160" s="32"/>
    </row>
    <row r="1161" spans="2:129" ht="15.75" customHeight="1" x14ac:dyDescent="0.2">
      <c r="B1161" s="32"/>
      <c r="C1161" s="32"/>
      <c r="AF1161" s="32"/>
      <c r="BL1161" s="32"/>
      <c r="BX1161" s="32"/>
      <c r="CC1161" s="32"/>
      <c r="CK1161" s="32"/>
      <c r="CM1161" s="32"/>
      <c r="DJ1161" s="32"/>
      <c r="DT1161" s="32"/>
      <c r="DY1161" s="32"/>
    </row>
    <row r="1162" spans="2:129" ht="15.75" customHeight="1" x14ac:dyDescent="0.2">
      <c r="B1162" s="32"/>
      <c r="C1162" s="32"/>
      <c r="AF1162" s="32"/>
      <c r="BL1162" s="32"/>
      <c r="BX1162" s="32"/>
      <c r="CC1162" s="32"/>
      <c r="CK1162" s="32"/>
      <c r="CM1162" s="32"/>
      <c r="DJ1162" s="32"/>
      <c r="DT1162" s="32"/>
      <c r="DY1162" s="32"/>
    </row>
    <row r="1163" spans="2:129" ht="15.75" customHeight="1" x14ac:dyDescent="0.2">
      <c r="B1163" s="32"/>
      <c r="C1163" s="32"/>
      <c r="AF1163" s="32"/>
      <c r="BL1163" s="32"/>
      <c r="BX1163" s="32"/>
      <c r="CC1163" s="32"/>
      <c r="CK1163" s="32"/>
      <c r="CM1163" s="32"/>
      <c r="DJ1163" s="32"/>
      <c r="DT1163" s="32"/>
      <c r="DY1163" s="32"/>
    </row>
    <row r="1164" spans="2:129" ht="15.75" customHeight="1" x14ac:dyDescent="0.2">
      <c r="B1164" s="32"/>
      <c r="C1164" s="32"/>
      <c r="AF1164" s="32"/>
      <c r="BL1164" s="32"/>
      <c r="BX1164" s="32"/>
      <c r="CC1164" s="32"/>
      <c r="CK1164" s="32"/>
      <c r="CM1164" s="32"/>
      <c r="DJ1164" s="32"/>
      <c r="DT1164" s="32"/>
      <c r="DY1164" s="32"/>
    </row>
    <row r="1165" spans="2:129" ht="15.75" customHeight="1" x14ac:dyDescent="0.2">
      <c r="B1165" s="32"/>
      <c r="C1165" s="32"/>
      <c r="AF1165" s="32"/>
      <c r="BL1165" s="32"/>
      <c r="BX1165" s="32"/>
      <c r="CC1165" s="32"/>
      <c r="CK1165" s="32"/>
      <c r="CM1165" s="32"/>
      <c r="DJ1165" s="32"/>
      <c r="DT1165" s="32"/>
      <c r="DY1165" s="32"/>
    </row>
    <row r="1166" spans="2:129" ht="15.75" customHeight="1" x14ac:dyDescent="0.2">
      <c r="B1166" s="32"/>
      <c r="C1166" s="32"/>
      <c r="AF1166" s="32"/>
      <c r="BL1166" s="32"/>
      <c r="BX1166" s="32"/>
      <c r="CC1166" s="32"/>
      <c r="CK1166" s="32"/>
      <c r="CM1166" s="32"/>
      <c r="DJ1166" s="32"/>
      <c r="DT1166" s="32"/>
      <c r="DY1166" s="32"/>
    </row>
    <row r="1167" spans="2:129" ht="15.75" customHeight="1" x14ac:dyDescent="0.2">
      <c r="B1167" s="32"/>
      <c r="C1167" s="32"/>
      <c r="AF1167" s="32"/>
      <c r="BL1167" s="32"/>
      <c r="BX1167" s="32"/>
      <c r="CC1167" s="32"/>
      <c r="CK1167" s="32"/>
      <c r="CM1167" s="32"/>
      <c r="DJ1167" s="32"/>
      <c r="DT1167" s="32"/>
      <c r="DY1167" s="32"/>
    </row>
    <row r="1168" spans="2:129" ht="15.75" customHeight="1" x14ac:dyDescent="0.2">
      <c r="B1168" s="32"/>
      <c r="C1168" s="32"/>
      <c r="AF1168" s="32"/>
      <c r="BL1168" s="32"/>
      <c r="BX1168" s="32"/>
      <c r="CC1168" s="32"/>
      <c r="CK1168" s="32"/>
      <c r="CM1168" s="32"/>
      <c r="DJ1168" s="32"/>
      <c r="DT1168" s="32"/>
      <c r="DY1168" s="32"/>
    </row>
    <row r="1169" spans="2:129" ht="15.75" customHeight="1" x14ac:dyDescent="0.2">
      <c r="B1169" s="32"/>
      <c r="C1169" s="32"/>
      <c r="AF1169" s="32"/>
      <c r="BL1169" s="32"/>
      <c r="BX1169" s="32"/>
      <c r="CC1169" s="32"/>
      <c r="CK1169" s="32"/>
      <c r="CM1169" s="32"/>
      <c r="DJ1169" s="32"/>
      <c r="DT1169" s="32"/>
      <c r="DY1169" s="32"/>
    </row>
    <row r="1170" spans="2:129" ht="15.75" customHeight="1" x14ac:dyDescent="0.2">
      <c r="B1170" s="32"/>
      <c r="C1170" s="32"/>
      <c r="AF1170" s="32"/>
      <c r="BL1170" s="32"/>
      <c r="BX1170" s="32"/>
      <c r="CC1170" s="32"/>
      <c r="CK1170" s="32"/>
      <c r="CM1170" s="32"/>
      <c r="DJ1170" s="32"/>
      <c r="DT1170" s="32"/>
      <c r="DY1170" s="32"/>
    </row>
    <row r="1171" spans="2:129" ht="15.75" customHeight="1" x14ac:dyDescent="0.2">
      <c r="B1171" s="32"/>
      <c r="C1171" s="32"/>
      <c r="AF1171" s="32"/>
      <c r="BL1171" s="32"/>
      <c r="BX1171" s="32"/>
      <c r="CC1171" s="32"/>
      <c r="CK1171" s="32"/>
      <c r="CM1171" s="32"/>
      <c r="DJ1171" s="32"/>
      <c r="DT1171" s="32"/>
      <c r="DY1171" s="32"/>
    </row>
    <row r="1172" spans="2:129" ht="15.75" customHeight="1" x14ac:dyDescent="0.2">
      <c r="B1172" s="32"/>
      <c r="C1172" s="32"/>
      <c r="AF1172" s="32"/>
      <c r="BL1172" s="32"/>
      <c r="BX1172" s="32"/>
      <c r="CC1172" s="32"/>
      <c r="CK1172" s="32"/>
      <c r="CM1172" s="32"/>
      <c r="DJ1172" s="32"/>
      <c r="DT1172" s="32"/>
      <c r="DY1172" s="32"/>
    </row>
    <row r="1173" spans="2:129" ht="15.75" customHeight="1" x14ac:dyDescent="0.2">
      <c r="B1173" s="32"/>
      <c r="C1173" s="32"/>
      <c r="AF1173" s="32"/>
      <c r="BL1173" s="32"/>
      <c r="BX1173" s="32"/>
      <c r="CC1173" s="32"/>
      <c r="CK1173" s="32"/>
      <c r="CM1173" s="32"/>
      <c r="DJ1173" s="32"/>
      <c r="DT1173" s="32"/>
      <c r="DY1173" s="32"/>
    </row>
    <row r="1174" spans="2:129" ht="15.75" customHeight="1" x14ac:dyDescent="0.2">
      <c r="B1174" s="32"/>
      <c r="C1174" s="32"/>
      <c r="AF1174" s="32"/>
      <c r="BL1174" s="32"/>
      <c r="BX1174" s="32"/>
      <c r="CC1174" s="32"/>
      <c r="CK1174" s="32"/>
      <c r="CM1174" s="32"/>
      <c r="DJ1174" s="32"/>
      <c r="DT1174" s="32"/>
      <c r="DY1174" s="32"/>
    </row>
    <row r="1175" spans="2:129" ht="15.75" customHeight="1" x14ac:dyDescent="0.2">
      <c r="B1175" s="32"/>
      <c r="C1175" s="32"/>
      <c r="AF1175" s="32"/>
      <c r="BL1175" s="32"/>
      <c r="BX1175" s="32"/>
      <c r="CC1175" s="32"/>
      <c r="CK1175" s="32"/>
      <c r="CM1175" s="32"/>
      <c r="DJ1175" s="32"/>
      <c r="DT1175" s="32"/>
      <c r="DY1175" s="32"/>
    </row>
    <row r="1176" spans="2:129" ht="15.75" customHeight="1" x14ac:dyDescent="0.2">
      <c r="B1176" s="32"/>
      <c r="C1176" s="32"/>
      <c r="AF1176" s="32"/>
      <c r="BL1176" s="32"/>
      <c r="BX1176" s="32"/>
      <c r="CC1176" s="32"/>
      <c r="CK1176" s="32"/>
      <c r="CM1176" s="32"/>
      <c r="DJ1176" s="32"/>
      <c r="DT1176" s="32"/>
      <c r="DY1176" s="32"/>
    </row>
    <row r="1177" spans="2:129" ht="15.75" customHeight="1" x14ac:dyDescent="0.2">
      <c r="B1177" s="32"/>
      <c r="C1177" s="32"/>
      <c r="AF1177" s="32"/>
      <c r="BL1177" s="32"/>
      <c r="BX1177" s="32"/>
      <c r="CC1177" s="32"/>
      <c r="CK1177" s="32"/>
      <c r="CM1177" s="32"/>
      <c r="DJ1177" s="32"/>
      <c r="DT1177" s="32"/>
      <c r="DY1177" s="32"/>
    </row>
    <row r="1178" spans="2:129" ht="15.75" customHeight="1" x14ac:dyDescent="0.2">
      <c r="B1178" s="32"/>
      <c r="C1178" s="32"/>
      <c r="AF1178" s="32"/>
      <c r="BL1178" s="32"/>
      <c r="BX1178" s="32"/>
      <c r="CC1178" s="32"/>
      <c r="CK1178" s="32"/>
      <c r="CM1178" s="32"/>
      <c r="DJ1178" s="32"/>
      <c r="DT1178" s="32"/>
      <c r="DY1178" s="32"/>
    </row>
    <row r="1179" spans="2:129" ht="15.75" customHeight="1" x14ac:dyDescent="0.2">
      <c r="B1179" s="32"/>
      <c r="C1179" s="32"/>
      <c r="AF1179" s="32"/>
      <c r="BL1179" s="32"/>
      <c r="BX1179" s="32"/>
      <c r="CC1179" s="32"/>
      <c r="CK1179" s="32"/>
      <c r="CM1179" s="32"/>
      <c r="DJ1179" s="32"/>
      <c r="DT1179" s="32"/>
      <c r="DY1179" s="32"/>
    </row>
    <row r="1180" spans="2:129" ht="15.75" customHeight="1" x14ac:dyDescent="0.2">
      <c r="B1180" s="32"/>
      <c r="C1180" s="32"/>
      <c r="AF1180" s="32"/>
      <c r="BL1180" s="32"/>
      <c r="BX1180" s="32"/>
      <c r="CC1180" s="32"/>
      <c r="CK1180" s="32"/>
      <c r="CM1180" s="32"/>
      <c r="DJ1180" s="32"/>
      <c r="DT1180" s="32"/>
      <c r="DY1180" s="32"/>
    </row>
    <row r="1181" spans="2:129" ht="15.75" customHeight="1" x14ac:dyDescent="0.2">
      <c r="B1181" s="32"/>
      <c r="C1181" s="32"/>
      <c r="AF1181" s="32"/>
      <c r="BL1181" s="32"/>
      <c r="BX1181" s="32"/>
      <c r="CC1181" s="32"/>
      <c r="CK1181" s="32"/>
      <c r="CM1181" s="32"/>
      <c r="DJ1181" s="32"/>
      <c r="DT1181" s="32"/>
      <c r="DY1181" s="32"/>
    </row>
    <row r="1182" spans="2:129" ht="15.75" customHeight="1" x14ac:dyDescent="0.2">
      <c r="B1182" s="32"/>
      <c r="C1182" s="32"/>
      <c r="AF1182" s="32"/>
      <c r="BL1182" s="32"/>
      <c r="BX1182" s="32"/>
      <c r="CC1182" s="32"/>
      <c r="CK1182" s="32"/>
      <c r="CM1182" s="32"/>
      <c r="DJ1182" s="32"/>
      <c r="DT1182" s="32"/>
      <c r="DY1182" s="32"/>
    </row>
    <row r="1183" spans="2:129" ht="15.75" customHeight="1" x14ac:dyDescent="0.2">
      <c r="B1183" s="32"/>
      <c r="C1183" s="32"/>
      <c r="AF1183" s="32"/>
      <c r="BL1183" s="32"/>
      <c r="BX1183" s="32"/>
      <c r="CC1183" s="32"/>
      <c r="CK1183" s="32"/>
      <c r="CM1183" s="32"/>
      <c r="DJ1183" s="32"/>
      <c r="DT1183" s="32"/>
      <c r="DY1183" s="32"/>
    </row>
    <row r="1184" spans="2:129" ht="15.75" customHeight="1" x14ac:dyDescent="0.2">
      <c r="B1184" s="32"/>
      <c r="C1184" s="32"/>
      <c r="AF1184" s="32"/>
      <c r="BL1184" s="32"/>
      <c r="BX1184" s="32"/>
      <c r="CC1184" s="32"/>
      <c r="CK1184" s="32"/>
      <c r="CM1184" s="32"/>
      <c r="DJ1184" s="32"/>
      <c r="DT1184" s="32"/>
      <c r="DY1184" s="32"/>
    </row>
    <row r="1185" spans="2:129" ht="15.75" customHeight="1" x14ac:dyDescent="0.2">
      <c r="B1185" s="32"/>
      <c r="C1185" s="32"/>
      <c r="AF1185" s="32"/>
      <c r="BL1185" s="32"/>
      <c r="BX1185" s="32"/>
      <c r="CC1185" s="32"/>
      <c r="CK1185" s="32"/>
      <c r="CM1185" s="32"/>
      <c r="DJ1185" s="32"/>
      <c r="DT1185" s="32"/>
      <c r="DY1185" s="32"/>
    </row>
    <row r="1186" spans="2:129" ht="15.75" customHeight="1" x14ac:dyDescent="0.2">
      <c r="B1186" s="32"/>
      <c r="C1186" s="32"/>
      <c r="AF1186" s="32"/>
      <c r="BL1186" s="32"/>
      <c r="BX1186" s="32"/>
      <c r="CC1186" s="32"/>
      <c r="CK1186" s="32"/>
      <c r="CM1186" s="32"/>
      <c r="DJ1186" s="32"/>
      <c r="DT1186" s="32"/>
      <c r="DY1186" s="32"/>
    </row>
    <row r="1187" spans="2:129" ht="15.75" customHeight="1" x14ac:dyDescent="0.2">
      <c r="B1187" s="32"/>
      <c r="C1187" s="32"/>
      <c r="AF1187" s="32"/>
      <c r="BL1187" s="32"/>
      <c r="BX1187" s="32"/>
      <c r="CC1187" s="32"/>
      <c r="CK1187" s="32"/>
      <c r="CM1187" s="32"/>
      <c r="DJ1187" s="32"/>
      <c r="DT1187" s="32"/>
      <c r="DY1187" s="32"/>
    </row>
    <row r="1188" spans="2:129" ht="15.75" customHeight="1" x14ac:dyDescent="0.2">
      <c r="B1188" s="32"/>
      <c r="C1188" s="32"/>
      <c r="AF1188" s="32"/>
      <c r="BL1188" s="32"/>
      <c r="BX1188" s="32"/>
      <c r="CC1188" s="32"/>
      <c r="CK1188" s="32"/>
      <c r="CM1188" s="32"/>
      <c r="DJ1188" s="32"/>
      <c r="DT1188" s="32"/>
      <c r="DY1188" s="32"/>
    </row>
    <row r="1189" spans="2:129" ht="15.75" customHeight="1" x14ac:dyDescent="0.2">
      <c r="B1189" s="32"/>
      <c r="C1189" s="32"/>
      <c r="AF1189" s="32"/>
      <c r="BL1189" s="32"/>
      <c r="BX1189" s="32"/>
      <c r="CC1189" s="32"/>
      <c r="CK1189" s="32"/>
      <c r="CM1189" s="32"/>
      <c r="DJ1189" s="32"/>
      <c r="DT1189" s="32"/>
      <c r="DY1189" s="32"/>
    </row>
    <row r="1190" spans="2:129" ht="15.75" customHeight="1" x14ac:dyDescent="0.2">
      <c r="B1190" s="32"/>
      <c r="C1190" s="32"/>
      <c r="AF1190" s="32"/>
      <c r="BL1190" s="32"/>
      <c r="BX1190" s="32"/>
      <c r="CC1190" s="32"/>
      <c r="CK1190" s="32"/>
      <c r="CM1190" s="32"/>
      <c r="DJ1190" s="32"/>
      <c r="DT1190" s="32"/>
      <c r="DY1190" s="32"/>
    </row>
    <row r="1191" spans="2:129" ht="15.75" customHeight="1" x14ac:dyDescent="0.2">
      <c r="B1191" s="32"/>
      <c r="C1191" s="32"/>
      <c r="AF1191" s="32"/>
      <c r="BL1191" s="32"/>
      <c r="BX1191" s="32"/>
      <c r="CC1191" s="32"/>
      <c r="CK1191" s="32"/>
      <c r="CM1191" s="32"/>
      <c r="DJ1191" s="32"/>
      <c r="DT1191" s="32"/>
      <c r="DY1191" s="32"/>
    </row>
    <row r="1192" spans="2:129" ht="15.75" customHeight="1" x14ac:dyDescent="0.2">
      <c r="B1192" s="32"/>
      <c r="C1192" s="32"/>
      <c r="AF1192" s="32"/>
      <c r="BL1192" s="32"/>
      <c r="BX1192" s="32"/>
      <c r="CC1192" s="32"/>
      <c r="CK1192" s="32"/>
      <c r="CM1192" s="32"/>
      <c r="DJ1192" s="32"/>
      <c r="DT1192" s="32"/>
      <c r="DY1192" s="32"/>
    </row>
    <row r="1193" spans="2:129" ht="15.75" customHeight="1" x14ac:dyDescent="0.2">
      <c r="B1193" s="32"/>
      <c r="C1193" s="32"/>
      <c r="AF1193" s="32"/>
      <c r="BL1193" s="32"/>
      <c r="BX1193" s="32"/>
      <c r="CC1193" s="32"/>
      <c r="CK1193" s="32"/>
      <c r="CM1193" s="32"/>
      <c r="DJ1193" s="32"/>
      <c r="DT1193" s="32"/>
      <c r="DY1193" s="32"/>
    </row>
    <row r="1194" spans="2:129" ht="15.75" customHeight="1" x14ac:dyDescent="0.2">
      <c r="B1194" s="32"/>
      <c r="C1194" s="32"/>
      <c r="AF1194" s="32"/>
      <c r="BL1194" s="32"/>
      <c r="BX1194" s="32"/>
      <c r="CC1194" s="32"/>
      <c r="CK1194" s="32"/>
      <c r="CM1194" s="32"/>
      <c r="DJ1194" s="32"/>
      <c r="DT1194" s="32"/>
      <c r="DY1194" s="32"/>
    </row>
    <row r="1195" spans="2:129" ht="15.75" customHeight="1" x14ac:dyDescent="0.2">
      <c r="B1195" s="32"/>
      <c r="C1195" s="32"/>
      <c r="AF1195" s="32"/>
      <c r="BL1195" s="32"/>
      <c r="BX1195" s="32"/>
      <c r="CC1195" s="32"/>
      <c r="CK1195" s="32"/>
      <c r="CM1195" s="32"/>
      <c r="DJ1195" s="32"/>
      <c r="DT1195" s="32"/>
      <c r="DY1195" s="32"/>
    </row>
    <row r="1196" spans="2:129" ht="15.75" customHeight="1" x14ac:dyDescent="0.2">
      <c r="B1196" s="32"/>
      <c r="C1196" s="32"/>
      <c r="AF1196" s="32"/>
      <c r="BL1196" s="32"/>
      <c r="BX1196" s="32"/>
      <c r="CC1196" s="32"/>
      <c r="CK1196" s="32"/>
      <c r="CM1196" s="32"/>
      <c r="DJ1196" s="32"/>
      <c r="DT1196" s="32"/>
      <c r="DY1196" s="32"/>
    </row>
    <row r="1197" spans="2:129" ht="15.75" customHeight="1" x14ac:dyDescent="0.2">
      <c r="B1197" s="32"/>
      <c r="C1197" s="32"/>
      <c r="AF1197" s="32"/>
      <c r="BL1197" s="32"/>
      <c r="BX1197" s="32"/>
      <c r="CC1197" s="32"/>
      <c r="CK1197" s="32"/>
      <c r="CM1197" s="32"/>
      <c r="DJ1197" s="32"/>
      <c r="DT1197" s="32"/>
      <c r="DY1197" s="32"/>
    </row>
    <row r="1198" spans="2:129" ht="15.75" customHeight="1" x14ac:dyDescent="0.2">
      <c r="B1198" s="32"/>
      <c r="C1198" s="32"/>
      <c r="AF1198" s="32"/>
      <c r="BL1198" s="32"/>
      <c r="BX1198" s="32"/>
      <c r="CC1198" s="32"/>
      <c r="CK1198" s="32"/>
      <c r="CM1198" s="32"/>
      <c r="DJ1198" s="32"/>
      <c r="DT1198" s="32"/>
      <c r="DY1198" s="32"/>
    </row>
    <row r="1199" spans="2:129" ht="15.75" customHeight="1" x14ac:dyDescent="0.2">
      <c r="B1199" s="32"/>
      <c r="C1199" s="32"/>
      <c r="AF1199" s="32"/>
      <c r="BL1199" s="32"/>
      <c r="BX1199" s="32"/>
      <c r="CC1199" s="32"/>
      <c r="CK1199" s="32"/>
      <c r="CM1199" s="32"/>
      <c r="DJ1199" s="32"/>
      <c r="DT1199" s="32"/>
      <c r="DY1199" s="32"/>
    </row>
    <row r="1200" spans="2:129" ht="15.75" customHeight="1" x14ac:dyDescent="0.2">
      <c r="B1200" s="32"/>
      <c r="C1200" s="32"/>
      <c r="AF1200" s="32"/>
      <c r="BL1200" s="32"/>
      <c r="BX1200" s="32"/>
      <c r="CC1200" s="32"/>
      <c r="CK1200" s="32"/>
      <c r="CM1200" s="32"/>
      <c r="DJ1200" s="32"/>
      <c r="DT1200" s="32"/>
      <c r="DY1200" s="32"/>
    </row>
    <row r="1201" spans="2:129" ht="15.75" customHeight="1" x14ac:dyDescent="0.2">
      <c r="B1201" s="32"/>
      <c r="C1201" s="32"/>
      <c r="AF1201" s="32"/>
      <c r="BL1201" s="32"/>
      <c r="BX1201" s="32"/>
      <c r="CC1201" s="32"/>
      <c r="CK1201" s="32"/>
      <c r="CM1201" s="32"/>
      <c r="DJ1201" s="32"/>
      <c r="DT1201" s="32"/>
      <c r="DY1201" s="32"/>
    </row>
    <row r="1202" spans="2:129" ht="15.75" customHeight="1" x14ac:dyDescent="0.2">
      <c r="B1202" s="32"/>
      <c r="C1202" s="32"/>
      <c r="AF1202" s="32"/>
      <c r="BL1202" s="32"/>
      <c r="BX1202" s="32"/>
      <c r="CC1202" s="32"/>
      <c r="CK1202" s="32"/>
      <c r="CM1202" s="32"/>
      <c r="DJ1202" s="32"/>
      <c r="DT1202" s="32"/>
      <c r="DY1202" s="32"/>
    </row>
    <row r="1203" spans="2:129" ht="15.75" customHeight="1" x14ac:dyDescent="0.2">
      <c r="B1203" s="32"/>
      <c r="C1203" s="32"/>
      <c r="AF1203" s="32"/>
      <c r="BL1203" s="32"/>
      <c r="BX1203" s="32"/>
      <c r="CC1203" s="32"/>
      <c r="CK1203" s="32"/>
      <c r="CM1203" s="32"/>
      <c r="DJ1203" s="32"/>
      <c r="DT1203" s="32"/>
      <c r="DY1203" s="32"/>
    </row>
    <row r="1204" spans="2:129" ht="15.75" customHeight="1" x14ac:dyDescent="0.2">
      <c r="B1204" s="32"/>
      <c r="C1204" s="32"/>
      <c r="AF1204" s="32"/>
      <c r="BL1204" s="32"/>
      <c r="BX1204" s="32"/>
      <c r="CC1204" s="32"/>
      <c r="CK1204" s="32"/>
      <c r="CM1204" s="32"/>
      <c r="DJ1204" s="32"/>
      <c r="DT1204" s="32"/>
      <c r="DY1204" s="32"/>
    </row>
    <row r="1205" spans="2:129" ht="15.75" customHeight="1" x14ac:dyDescent="0.2">
      <c r="B1205" s="32"/>
      <c r="C1205" s="32"/>
      <c r="AF1205" s="32"/>
      <c r="BL1205" s="32"/>
      <c r="BX1205" s="32"/>
      <c r="CC1205" s="32"/>
      <c r="CK1205" s="32"/>
      <c r="CM1205" s="32"/>
      <c r="DJ1205" s="32"/>
      <c r="DT1205" s="32"/>
      <c r="DY1205" s="32"/>
    </row>
    <row r="1206" spans="2:129" ht="15.75" customHeight="1" x14ac:dyDescent="0.2">
      <c r="B1206" s="32"/>
      <c r="C1206" s="32"/>
      <c r="AF1206" s="32"/>
      <c r="BL1206" s="32"/>
      <c r="BX1206" s="32"/>
      <c r="CC1206" s="32"/>
      <c r="CK1206" s="32"/>
      <c r="CM1206" s="32"/>
      <c r="DJ1206" s="32"/>
      <c r="DT1206" s="32"/>
      <c r="DY1206" s="32"/>
    </row>
    <row r="1207" spans="2:129" ht="15.75" customHeight="1" x14ac:dyDescent="0.2">
      <c r="B1207" s="32"/>
      <c r="C1207" s="32"/>
      <c r="AF1207" s="32"/>
      <c r="BL1207" s="32"/>
      <c r="BX1207" s="32"/>
      <c r="CC1207" s="32"/>
      <c r="CK1207" s="32"/>
      <c r="CM1207" s="32"/>
      <c r="DJ1207" s="32"/>
      <c r="DT1207" s="32"/>
      <c r="DY1207" s="32"/>
    </row>
    <row r="1208" spans="2:129" ht="15.75" customHeight="1" x14ac:dyDescent="0.2">
      <c r="B1208" s="32"/>
      <c r="C1208" s="32"/>
      <c r="AF1208" s="32"/>
      <c r="BL1208" s="32"/>
      <c r="BX1208" s="32"/>
      <c r="CC1208" s="32"/>
      <c r="CK1208" s="32"/>
      <c r="CM1208" s="32"/>
      <c r="DJ1208" s="32"/>
      <c r="DT1208" s="32"/>
      <c r="DY1208" s="32"/>
    </row>
    <row r="1209" spans="2:129" ht="15.75" customHeight="1" x14ac:dyDescent="0.2">
      <c r="B1209" s="32"/>
      <c r="C1209" s="32"/>
      <c r="AF1209" s="32"/>
      <c r="BL1209" s="32"/>
      <c r="BX1209" s="32"/>
      <c r="CC1209" s="32"/>
      <c r="CK1209" s="32"/>
      <c r="CM1209" s="32"/>
      <c r="DJ1209" s="32"/>
      <c r="DT1209" s="32"/>
      <c r="DY1209" s="32"/>
    </row>
    <row r="1210" spans="2:129" ht="15.75" customHeight="1" x14ac:dyDescent="0.2">
      <c r="B1210" s="32"/>
      <c r="C1210" s="32"/>
      <c r="AF1210" s="32"/>
      <c r="BL1210" s="32"/>
      <c r="BX1210" s="32"/>
      <c r="CC1210" s="32"/>
      <c r="CK1210" s="32"/>
      <c r="CM1210" s="32"/>
      <c r="DJ1210" s="32"/>
      <c r="DT1210" s="32"/>
      <c r="DY1210" s="32"/>
    </row>
    <row r="1211" spans="2:129" ht="15.75" customHeight="1" x14ac:dyDescent="0.2">
      <c r="B1211" s="32"/>
      <c r="C1211" s="32"/>
      <c r="AF1211" s="32"/>
      <c r="BL1211" s="32"/>
      <c r="BX1211" s="32"/>
      <c r="CC1211" s="32"/>
      <c r="CK1211" s="32"/>
      <c r="CM1211" s="32"/>
      <c r="DJ1211" s="32"/>
      <c r="DT1211" s="32"/>
      <c r="DY1211" s="32"/>
    </row>
    <row r="1212" spans="2:129" ht="15.75" customHeight="1" x14ac:dyDescent="0.2">
      <c r="B1212" s="32"/>
      <c r="C1212" s="32"/>
      <c r="AF1212" s="32"/>
      <c r="BL1212" s="32"/>
      <c r="BX1212" s="32"/>
      <c r="CC1212" s="32"/>
      <c r="CK1212" s="32"/>
      <c r="CM1212" s="32"/>
      <c r="DJ1212" s="32"/>
      <c r="DT1212" s="32"/>
      <c r="DY1212" s="32"/>
    </row>
    <row r="1213" spans="2:129" ht="15.75" customHeight="1" x14ac:dyDescent="0.2">
      <c r="B1213" s="32"/>
      <c r="C1213" s="32"/>
      <c r="AF1213" s="32"/>
      <c r="BL1213" s="32"/>
      <c r="BX1213" s="32"/>
      <c r="CC1213" s="32"/>
      <c r="CK1213" s="32"/>
      <c r="CM1213" s="32"/>
      <c r="DJ1213" s="32"/>
      <c r="DT1213" s="32"/>
      <c r="DY1213" s="32"/>
    </row>
    <row r="1214" spans="2:129" ht="15.75" customHeight="1" x14ac:dyDescent="0.2">
      <c r="B1214" s="32"/>
      <c r="C1214" s="32"/>
      <c r="AF1214" s="32"/>
      <c r="BL1214" s="32"/>
      <c r="BX1214" s="32"/>
      <c r="CC1214" s="32"/>
      <c r="CK1214" s="32"/>
      <c r="CM1214" s="32"/>
      <c r="DJ1214" s="32"/>
      <c r="DT1214" s="32"/>
      <c r="DY1214" s="32"/>
    </row>
    <row r="1215" spans="2:129" ht="15.75" customHeight="1" x14ac:dyDescent="0.2">
      <c r="B1215" s="32"/>
      <c r="C1215" s="32"/>
      <c r="AF1215" s="32"/>
      <c r="BL1215" s="32"/>
      <c r="BX1215" s="32"/>
      <c r="CC1215" s="32"/>
      <c r="CK1215" s="32"/>
      <c r="CM1215" s="32"/>
      <c r="DJ1215" s="32"/>
      <c r="DT1215" s="32"/>
      <c r="DY1215" s="32"/>
    </row>
    <row r="1216" spans="2:129" ht="15.75" customHeight="1" x14ac:dyDescent="0.2">
      <c r="B1216" s="32"/>
      <c r="C1216" s="32"/>
      <c r="AF1216" s="32"/>
      <c r="BL1216" s="32"/>
      <c r="BX1216" s="32"/>
      <c r="CC1216" s="32"/>
      <c r="CK1216" s="32"/>
      <c r="CM1216" s="32"/>
      <c r="DJ1216" s="32"/>
      <c r="DT1216" s="32"/>
      <c r="DY1216" s="32"/>
    </row>
    <row r="1217" spans="2:129" ht="15.75" customHeight="1" x14ac:dyDescent="0.2">
      <c r="B1217" s="32"/>
      <c r="C1217" s="32"/>
      <c r="AF1217" s="32"/>
      <c r="BL1217" s="32"/>
      <c r="BX1217" s="32"/>
      <c r="CC1217" s="32"/>
      <c r="CK1217" s="32"/>
      <c r="CM1217" s="32"/>
      <c r="DJ1217" s="32"/>
      <c r="DT1217" s="32"/>
      <c r="DY1217" s="32"/>
    </row>
    <row r="1218" spans="2:129" ht="15.75" customHeight="1" x14ac:dyDescent="0.2">
      <c r="B1218" s="32"/>
      <c r="C1218" s="32"/>
      <c r="AF1218" s="32"/>
      <c r="BL1218" s="32"/>
      <c r="BX1218" s="32"/>
      <c r="CC1218" s="32"/>
      <c r="CK1218" s="32"/>
      <c r="CM1218" s="32"/>
      <c r="DJ1218" s="32"/>
      <c r="DT1218" s="32"/>
      <c r="DY1218" s="32"/>
    </row>
    <row r="1219" spans="2:129" ht="15.75" customHeight="1" x14ac:dyDescent="0.2">
      <c r="B1219" s="32"/>
      <c r="C1219" s="32"/>
      <c r="AF1219" s="32"/>
      <c r="BL1219" s="32"/>
      <c r="BX1219" s="32"/>
      <c r="CC1219" s="32"/>
      <c r="CK1219" s="32"/>
      <c r="CM1219" s="32"/>
      <c r="DJ1219" s="32"/>
      <c r="DT1219" s="32"/>
      <c r="DY1219" s="32"/>
    </row>
    <row r="1220" spans="2:129" ht="15.75" customHeight="1" x14ac:dyDescent="0.2">
      <c r="B1220" s="32"/>
      <c r="C1220" s="32"/>
      <c r="AF1220" s="32"/>
      <c r="BL1220" s="32"/>
      <c r="BX1220" s="32"/>
      <c r="CC1220" s="32"/>
      <c r="CK1220" s="32"/>
      <c r="CM1220" s="32"/>
      <c r="DJ1220" s="32"/>
      <c r="DT1220" s="32"/>
      <c r="DY1220" s="32"/>
    </row>
    <row r="1221" spans="2:129" ht="15.75" customHeight="1" x14ac:dyDescent="0.2">
      <c r="B1221" s="32"/>
      <c r="C1221" s="32"/>
      <c r="AF1221" s="32"/>
      <c r="BL1221" s="32"/>
      <c r="BX1221" s="32"/>
      <c r="CC1221" s="32"/>
      <c r="CK1221" s="32"/>
      <c r="CM1221" s="32"/>
      <c r="DJ1221" s="32"/>
      <c r="DT1221" s="32"/>
      <c r="DY1221" s="32"/>
    </row>
    <row r="1222" spans="2:129" ht="15.75" customHeight="1" x14ac:dyDescent="0.2">
      <c r="B1222" s="32"/>
      <c r="C1222" s="32"/>
      <c r="AF1222" s="32"/>
      <c r="BL1222" s="32"/>
      <c r="BX1222" s="32"/>
      <c r="CC1222" s="32"/>
      <c r="CK1222" s="32"/>
      <c r="CM1222" s="32"/>
      <c r="DJ1222" s="32"/>
      <c r="DT1222" s="32"/>
      <c r="DY1222" s="32"/>
    </row>
    <row r="1223" spans="2:129" ht="15.75" customHeight="1" x14ac:dyDescent="0.2">
      <c r="B1223" s="32"/>
      <c r="C1223" s="32"/>
      <c r="AF1223" s="32"/>
      <c r="BL1223" s="32"/>
      <c r="BX1223" s="32"/>
      <c r="CC1223" s="32"/>
      <c r="CK1223" s="32"/>
      <c r="CM1223" s="32"/>
      <c r="DJ1223" s="32"/>
      <c r="DT1223" s="32"/>
      <c r="DY1223" s="32"/>
    </row>
    <row r="1224" spans="2:129" ht="15.75" customHeight="1" x14ac:dyDescent="0.2">
      <c r="B1224" s="32"/>
      <c r="C1224" s="32"/>
      <c r="AF1224" s="32"/>
      <c r="BL1224" s="32"/>
      <c r="BX1224" s="32"/>
      <c r="CC1224" s="32"/>
      <c r="CK1224" s="32"/>
      <c r="CM1224" s="32"/>
      <c r="DJ1224" s="32"/>
      <c r="DT1224" s="32"/>
      <c r="DY1224" s="32"/>
    </row>
    <row r="1225" spans="2:129" ht="15.75" customHeight="1" x14ac:dyDescent="0.2">
      <c r="B1225" s="32"/>
      <c r="C1225" s="32"/>
      <c r="AF1225" s="32"/>
      <c r="BL1225" s="32"/>
      <c r="BX1225" s="32"/>
      <c r="CC1225" s="32"/>
      <c r="CK1225" s="32"/>
      <c r="CM1225" s="32"/>
      <c r="DJ1225" s="32"/>
      <c r="DT1225" s="32"/>
      <c r="DY1225" s="32"/>
    </row>
    <row r="1226" spans="2:129" ht="15.75" customHeight="1" x14ac:dyDescent="0.2">
      <c r="B1226" s="32"/>
      <c r="C1226" s="32"/>
      <c r="AF1226" s="32"/>
      <c r="BL1226" s="32"/>
      <c r="BX1226" s="32"/>
      <c r="CC1226" s="32"/>
      <c r="CK1226" s="32"/>
      <c r="CM1226" s="32"/>
      <c r="DJ1226" s="32"/>
      <c r="DT1226" s="32"/>
      <c r="DY1226" s="32"/>
    </row>
    <row r="1227" spans="2:129" ht="15.75" customHeight="1" x14ac:dyDescent="0.2">
      <c r="B1227" s="32"/>
      <c r="C1227" s="32"/>
      <c r="AF1227" s="32"/>
      <c r="BL1227" s="32"/>
      <c r="BX1227" s="32"/>
      <c r="CC1227" s="32"/>
      <c r="CK1227" s="32"/>
      <c r="CM1227" s="32"/>
      <c r="DJ1227" s="32"/>
      <c r="DT1227" s="32"/>
      <c r="DY1227" s="32"/>
    </row>
    <row r="1228" spans="2:129" ht="15.75" customHeight="1" x14ac:dyDescent="0.2">
      <c r="B1228" s="32"/>
      <c r="C1228" s="32"/>
      <c r="AF1228" s="32"/>
      <c r="BL1228" s="32"/>
      <c r="BX1228" s="32"/>
      <c r="CC1228" s="32"/>
      <c r="CK1228" s="32"/>
      <c r="CM1228" s="32"/>
      <c r="DJ1228" s="32"/>
      <c r="DT1228" s="32"/>
      <c r="DY1228" s="32"/>
    </row>
    <row r="1229" spans="2:129" ht="15.75" customHeight="1" x14ac:dyDescent="0.2">
      <c r="B1229" s="32"/>
      <c r="C1229" s="32"/>
      <c r="AF1229" s="32"/>
      <c r="BL1229" s="32"/>
      <c r="BX1229" s="32"/>
      <c r="CC1229" s="32"/>
      <c r="CK1229" s="32"/>
      <c r="CM1229" s="32"/>
      <c r="DJ1229" s="32"/>
      <c r="DT1229" s="32"/>
      <c r="DY1229" s="32"/>
    </row>
    <row r="1230" spans="2:129" ht="15.75" customHeight="1" x14ac:dyDescent="0.2">
      <c r="B1230" s="32"/>
      <c r="C1230" s="32"/>
      <c r="AF1230" s="32"/>
      <c r="BL1230" s="32"/>
      <c r="BX1230" s="32"/>
      <c r="CC1230" s="32"/>
      <c r="CK1230" s="32"/>
      <c r="CM1230" s="32"/>
      <c r="DJ1230" s="32"/>
      <c r="DT1230" s="32"/>
      <c r="DY1230" s="32"/>
    </row>
    <row r="1231" spans="2:129" ht="15.75" customHeight="1" x14ac:dyDescent="0.2">
      <c r="B1231" s="32"/>
      <c r="C1231" s="32"/>
      <c r="AF1231" s="32"/>
      <c r="BL1231" s="32"/>
      <c r="BX1231" s="32"/>
      <c r="CC1231" s="32"/>
      <c r="CK1231" s="32"/>
      <c r="CM1231" s="32"/>
      <c r="DJ1231" s="32"/>
      <c r="DT1231" s="32"/>
      <c r="DY1231" s="32"/>
    </row>
    <row r="1232" spans="2:129" ht="15.75" customHeight="1" x14ac:dyDescent="0.2">
      <c r="B1232" s="32"/>
      <c r="C1232" s="32"/>
      <c r="AF1232" s="32"/>
      <c r="BL1232" s="32"/>
      <c r="BX1232" s="32"/>
      <c r="CC1232" s="32"/>
      <c r="CK1232" s="32"/>
      <c r="CM1232" s="32"/>
      <c r="DJ1232" s="32"/>
      <c r="DT1232" s="32"/>
      <c r="DY1232" s="32"/>
    </row>
    <row r="1233" spans="2:129" ht="15.75" customHeight="1" x14ac:dyDescent="0.2">
      <c r="B1233" s="32"/>
      <c r="C1233" s="32"/>
      <c r="AF1233" s="32"/>
      <c r="BL1233" s="32"/>
      <c r="BX1233" s="32"/>
      <c r="CC1233" s="32"/>
      <c r="CK1233" s="32"/>
      <c r="CM1233" s="32"/>
      <c r="DJ1233" s="32"/>
      <c r="DT1233" s="32"/>
      <c r="DY1233" s="32"/>
    </row>
    <row r="1234" spans="2:129" ht="15.75" customHeight="1" x14ac:dyDescent="0.2">
      <c r="B1234" s="32"/>
      <c r="C1234" s="32"/>
      <c r="AF1234" s="32"/>
      <c r="BL1234" s="32"/>
      <c r="BX1234" s="32"/>
      <c r="CC1234" s="32"/>
      <c r="CK1234" s="32"/>
      <c r="CM1234" s="32"/>
      <c r="DJ1234" s="32"/>
      <c r="DT1234" s="32"/>
      <c r="DY1234" s="32"/>
    </row>
    <row r="1235" spans="2:129" ht="15.75" customHeight="1" x14ac:dyDescent="0.2">
      <c r="B1235" s="32"/>
      <c r="C1235" s="32"/>
      <c r="AF1235" s="32"/>
      <c r="BL1235" s="32"/>
      <c r="BX1235" s="32"/>
      <c r="CC1235" s="32"/>
      <c r="CK1235" s="32"/>
      <c r="CM1235" s="32"/>
      <c r="DJ1235" s="32"/>
      <c r="DT1235" s="32"/>
      <c r="DY1235" s="32"/>
    </row>
    <row r="1236" spans="2:129" ht="15.75" customHeight="1" x14ac:dyDescent="0.2">
      <c r="B1236" s="32"/>
      <c r="C1236" s="32"/>
      <c r="AF1236" s="32"/>
      <c r="BL1236" s="32"/>
      <c r="BX1236" s="32"/>
      <c r="CC1236" s="32"/>
      <c r="CK1236" s="32"/>
      <c r="CM1236" s="32"/>
      <c r="DJ1236" s="32"/>
      <c r="DT1236" s="32"/>
      <c r="DY1236" s="32"/>
    </row>
    <row r="1237" spans="2:129" ht="15.75" customHeight="1" x14ac:dyDescent="0.2">
      <c r="B1237" s="32"/>
      <c r="C1237" s="32"/>
      <c r="AF1237" s="32"/>
      <c r="BL1237" s="32"/>
      <c r="BX1237" s="32"/>
      <c r="CC1237" s="32"/>
      <c r="CK1237" s="32"/>
      <c r="CM1237" s="32"/>
      <c r="DJ1237" s="32"/>
      <c r="DT1237" s="32"/>
      <c r="DY1237" s="32"/>
    </row>
    <row r="1238" spans="2:129" ht="15.75" customHeight="1" x14ac:dyDescent="0.2">
      <c r="B1238" s="32"/>
      <c r="C1238" s="32"/>
      <c r="AF1238" s="32"/>
      <c r="BL1238" s="32"/>
      <c r="BX1238" s="32"/>
      <c r="CC1238" s="32"/>
      <c r="CK1238" s="32"/>
      <c r="CM1238" s="32"/>
      <c r="DJ1238" s="32"/>
      <c r="DT1238" s="32"/>
      <c r="DY1238" s="32"/>
    </row>
    <row r="1239" spans="2:129" ht="15.75" customHeight="1" x14ac:dyDescent="0.2">
      <c r="B1239" s="32"/>
      <c r="C1239" s="32"/>
      <c r="AF1239" s="32"/>
      <c r="BL1239" s="32"/>
      <c r="BX1239" s="32"/>
      <c r="CC1239" s="32"/>
      <c r="CK1239" s="32"/>
      <c r="CM1239" s="32"/>
      <c r="DJ1239" s="32"/>
      <c r="DT1239" s="32"/>
      <c r="DY1239" s="32"/>
    </row>
    <row r="1240" spans="2:129" ht="15.75" customHeight="1" x14ac:dyDescent="0.2">
      <c r="B1240" s="32"/>
      <c r="C1240" s="32"/>
      <c r="AF1240" s="32"/>
      <c r="BL1240" s="32"/>
      <c r="BX1240" s="32"/>
      <c r="CC1240" s="32"/>
      <c r="CK1240" s="32"/>
      <c r="CM1240" s="32"/>
      <c r="DJ1240" s="32"/>
      <c r="DT1240" s="32"/>
      <c r="DY1240" s="32"/>
    </row>
    <row r="1241" spans="2:129" ht="15.75" customHeight="1" x14ac:dyDescent="0.2">
      <c r="B1241" s="32"/>
      <c r="C1241" s="32"/>
      <c r="AF1241" s="32"/>
      <c r="BL1241" s="32"/>
      <c r="BX1241" s="32"/>
      <c r="CC1241" s="32"/>
      <c r="CK1241" s="32"/>
      <c r="CM1241" s="32"/>
      <c r="DJ1241" s="32"/>
      <c r="DT1241" s="32"/>
      <c r="DY1241" s="32"/>
    </row>
    <row r="1242" spans="2:129" ht="15.75" customHeight="1" x14ac:dyDescent="0.2">
      <c r="B1242" s="32"/>
      <c r="C1242" s="32"/>
      <c r="AF1242" s="32"/>
      <c r="BL1242" s="32"/>
      <c r="BX1242" s="32"/>
      <c r="CC1242" s="32"/>
      <c r="CK1242" s="32"/>
      <c r="CM1242" s="32"/>
      <c r="DJ1242" s="32"/>
      <c r="DT1242" s="32"/>
      <c r="DY1242" s="32"/>
    </row>
    <row r="1243" spans="2:129" ht="15.75" customHeight="1" x14ac:dyDescent="0.2">
      <c r="B1243" s="32"/>
      <c r="C1243" s="32"/>
      <c r="AF1243" s="32"/>
      <c r="BL1243" s="32"/>
      <c r="BX1243" s="32"/>
      <c r="CC1243" s="32"/>
      <c r="CK1243" s="32"/>
      <c r="CM1243" s="32"/>
      <c r="DJ1243" s="32"/>
      <c r="DT1243" s="32"/>
      <c r="DY1243" s="32"/>
    </row>
    <row r="1244" spans="2:129" ht="15.75" customHeight="1" x14ac:dyDescent="0.2">
      <c r="B1244" s="32"/>
      <c r="C1244" s="32"/>
      <c r="AF1244" s="32"/>
      <c r="BL1244" s="32"/>
      <c r="BX1244" s="32"/>
      <c r="CC1244" s="32"/>
      <c r="CK1244" s="32"/>
      <c r="CM1244" s="32"/>
      <c r="DJ1244" s="32"/>
      <c r="DT1244" s="32"/>
      <c r="DY1244" s="32"/>
    </row>
    <row r="1245" spans="2:129" ht="15.75" customHeight="1" x14ac:dyDescent="0.2">
      <c r="B1245" s="32"/>
      <c r="C1245" s="32"/>
      <c r="AF1245" s="32"/>
      <c r="BL1245" s="32"/>
      <c r="BX1245" s="32"/>
      <c r="CC1245" s="32"/>
      <c r="CK1245" s="32"/>
      <c r="CM1245" s="32"/>
      <c r="DJ1245" s="32"/>
      <c r="DT1245" s="32"/>
      <c r="DY1245" s="32"/>
    </row>
    <row r="1246" spans="2:129" ht="15.75" customHeight="1" x14ac:dyDescent="0.2">
      <c r="B1246" s="32"/>
      <c r="C1246" s="32"/>
      <c r="AF1246" s="32"/>
      <c r="BL1246" s="32"/>
      <c r="BX1246" s="32"/>
      <c r="CC1246" s="32"/>
      <c r="CK1246" s="32"/>
      <c r="CM1246" s="32"/>
      <c r="DJ1246" s="32"/>
      <c r="DT1246" s="32"/>
      <c r="DY1246" s="32"/>
    </row>
    <row r="1247" spans="2:129" ht="15.75" customHeight="1" x14ac:dyDescent="0.2">
      <c r="B1247" s="32"/>
      <c r="C1247" s="32"/>
      <c r="AF1247" s="32"/>
      <c r="BL1247" s="32"/>
      <c r="BX1247" s="32"/>
      <c r="CC1247" s="32"/>
      <c r="CK1247" s="32"/>
      <c r="CM1247" s="32"/>
      <c r="DJ1247" s="32"/>
      <c r="DT1247" s="32"/>
      <c r="DY1247" s="32"/>
    </row>
    <row r="1248" spans="2:129" ht="15.75" customHeight="1" x14ac:dyDescent="0.2">
      <c r="B1248" s="32"/>
      <c r="C1248" s="32"/>
      <c r="AF1248" s="32"/>
      <c r="BL1248" s="32"/>
      <c r="BX1248" s="32"/>
      <c r="CC1248" s="32"/>
      <c r="CK1248" s="32"/>
      <c r="CM1248" s="32"/>
      <c r="DJ1248" s="32"/>
      <c r="DT1248" s="32"/>
      <c r="DY1248" s="32"/>
    </row>
    <row r="1249" spans="2:129" ht="15.75" customHeight="1" x14ac:dyDescent="0.2">
      <c r="B1249" s="32"/>
      <c r="C1249" s="32"/>
      <c r="AF1249" s="32"/>
      <c r="BL1249" s="32"/>
      <c r="BX1249" s="32"/>
      <c r="CC1249" s="32"/>
      <c r="CK1249" s="32"/>
      <c r="CM1249" s="32"/>
      <c r="DJ1249" s="32"/>
      <c r="DT1249" s="32"/>
      <c r="DY1249" s="32"/>
    </row>
    <row r="1250" spans="2:129" ht="15.75" customHeight="1" x14ac:dyDescent="0.2">
      <c r="B1250" s="32"/>
      <c r="C1250" s="32"/>
      <c r="AF1250" s="32"/>
      <c r="BL1250" s="32"/>
      <c r="BX1250" s="32"/>
      <c r="CC1250" s="32"/>
      <c r="CK1250" s="32"/>
      <c r="CM1250" s="32"/>
      <c r="DJ1250" s="32"/>
      <c r="DT1250" s="32"/>
      <c r="DY1250" s="32"/>
    </row>
    <row r="1251" spans="2:129" ht="15.75" customHeight="1" x14ac:dyDescent="0.2">
      <c r="B1251" s="32"/>
      <c r="C1251" s="32"/>
      <c r="AF1251" s="32"/>
      <c r="BL1251" s="32"/>
      <c r="BX1251" s="32"/>
      <c r="CC1251" s="32"/>
      <c r="CK1251" s="32"/>
      <c r="CM1251" s="32"/>
      <c r="DJ1251" s="32"/>
      <c r="DT1251" s="32"/>
      <c r="DY1251" s="32"/>
    </row>
    <row r="1252" spans="2:129" ht="15.75" customHeight="1" x14ac:dyDescent="0.2">
      <c r="B1252" s="32"/>
      <c r="C1252" s="32"/>
      <c r="AF1252" s="32"/>
      <c r="BL1252" s="32"/>
      <c r="BX1252" s="32"/>
      <c r="CC1252" s="32"/>
      <c r="CK1252" s="32"/>
      <c r="CM1252" s="32"/>
      <c r="DJ1252" s="32"/>
      <c r="DT1252" s="32"/>
      <c r="DY1252" s="32"/>
    </row>
    <row r="1253" spans="2:129" ht="15.75" customHeight="1" x14ac:dyDescent="0.2">
      <c r="B1253" s="32"/>
      <c r="C1253" s="32"/>
      <c r="AF1253" s="32"/>
      <c r="BL1253" s="32"/>
      <c r="BX1253" s="32"/>
      <c r="CC1253" s="32"/>
      <c r="CK1253" s="32"/>
      <c r="CM1253" s="32"/>
      <c r="DJ1253" s="32"/>
      <c r="DT1253" s="32"/>
      <c r="DY1253" s="32"/>
    </row>
    <row r="1254" spans="2:129" ht="15.75" customHeight="1" x14ac:dyDescent="0.2">
      <c r="B1254" s="32"/>
      <c r="C1254" s="32"/>
      <c r="AF1254" s="32"/>
      <c r="BL1254" s="32"/>
      <c r="BX1254" s="32"/>
      <c r="CC1254" s="32"/>
      <c r="CK1254" s="32"/>
      <c r="CM1254" s="32"/>
      <c r="DJ1254" s="32"/>
      <c r="DT1254" s="32"/>
      <c r="DY1254" s="32"/>
    </row>
    <row r="1255" spans="2:129" ht="15.75" customHeight="1" x14ac:dyDescent="0.2">
      <c r="B1255" s="32"/>
      <c r="C1255" s="32"/>
      <c r="AF1255" s="32"/>
      <c r="BL1255" s="32"/>
      <c r="BX1255" s="32"/>
      <c r="CC1255" s="32"/>
      <c r="CK1255" s="32"/>
      <c r="CM1255" s="32"/>
      <c r="DJ1255" s="32"/>
      <c r="DT1255" s="32"/>
      <c r="DY1255" s="32"/>
    </row>
    <row r="1256" spans="2:129" ht="15.75" customHeight="1" x14ac:dyDescent="0.2">
      <c r="B1256" s="32"/>
      <c r="C1256" s="32"/>
      <c r="AF1256" s="32"/>
      <c r="BL1256" s="32"/>
      <c r="BX1256" s="32"/>
      <c r="CC1256" s="32"/>
      <c r="CK1256" s="32"/>
      <c r="CM1256" s="32"/>
      <c r="DJ1256" s="32"/>
      <c r="DT1256" s="32"/>
      <c r="DY1256" s="32"/>
    </row>
    <row r="1257" spans="2:129" ht="15.75" customHeight="1" x14ac:dyDescent="0.2">
      <c r="B1257" s="32"/>
      <c r="C1257" s="32"/>
      <c r="AF1257" s="32"/>
      <c r="BL1257" s="32"/>
      <c r="BX1257" s="32"/>
      <c r="CC1257" s="32"/>
      <c r="CK1257" s="32"/>
      <c r="CM1257" s="32"/>
      <c r="DJ1257" s="32"/>
      <c r="DT1257" s="32"/>
      <c r="DY1257" s="32"/>
    </row>
    <row r="1258" spans="2:129" ht="15.75" customHeight="1" x14ac:dyDescent="0.2">
      <c r="B1258" s="32"/>
      <c r="C1258" s="32"/>
      <c r="AF1258" s="32"/>
      <c r="BL1258" s="32"/>
      <c r="BX1258" s="32"/>
      <c r="CC1258" s="32"/>
      <c r="CK1258" s="32"/>
      <c r="CM1258" s="32"/>
      <c r="DJ1258" s="32"/>
      <c r="DT1258" s="32"/>
      <c r="DY1258" s="32"/>
    </row>
    <row r="1259" spans="2:129" ht="15.75" customHeight="1" x14ac:dyDescent="0.2">
      <c r="B1259" s="32"/>
      <c r="C1259" s="32"/>
      <c r="AF1259" s="32"/>
      <c r="BL1259" s="32"/>
      <c r="BX1259" s="32"/>
      <c r="CC1259" s="32"/>
      <c r="CK1259" s="32"/>
      <c r="CM1259" s="32"/>
      <c r="DJ1259" s="32"/>
      <c r="DT1259" s="32"/>
      <c r="DY1259" s="32"/>
    </row>
    <row r="1260" spans="2:129" ht="15.75" customHeight="1" x14ac:dyDescent="0.2">
      <c r="B1260" s="32"/>
      <c r="C1260" s="32"/>
      <c r="AF1260" s="32"/>
      <c r="BL1260" s="32"/>
      <c r="BX1260" s="32"/>
      <c r="CC1260" s="32"/>
      <c r="CK1260" s="32"/>
      <c r="CM1260" s="32"/>
      <c r="DJ1260" s="32"/>
      <c r="DT1260" s="32"/>
      <c r="DY1260" s="32"/>
    </row>
    <row r="1261" spans="2:129" ht="15.75" customHeight="1" x14ac:dyDescent="0.2">
      <c r="B1261" s="32"/>
      <c r="C1261" s="32"/>
      <c r="AF1261" s="32"/>
      <c r="BL1261" s="32"/>
      <c r="BX1261" s="32"/>
      <c r="CC1261" s="32"/>
      <c r="CK1261" s="32"/>
      <c r="CM1261" s="32"/>
      <c r="DJ1261" s="32"/>
      <c r="DT1261" s="32"/>
      <c r="DY1261" s="32"/>
    </row>
    <row r="1262" spans="2:129" ht="15.75" customHeight="1" x14ac:dyDescent="0.2">
      <c r="B1262" s="32"/>
      <c r="C1262" s="32"/>
      <c r="AF1262" s="32"/>
      <c r="BL1262" s="32"/>
      <c r="BX1262" s="32"/>
      <c r="CC1262" s="32"/>
      <c r="CK1262" s="32"/>
      <c r="CM1262" s="32"/>
      <c r="DJ1262" s="32"/>
      <c r="DT1262" s="32"/>
      <c r="DY1262" s="32"/>
    </row>
    <row r="1263" spans="2:129" ht="15.75" customHeight="1" x14ac:dyDescent="0.2">
      <c r="B1263" s="32"/>
      <c r="C1263" s="32"/>
      <c r="AF1263" s="32"/>
      <c r="BL1263" s="32"/>
      <c r="BX1263" s="32"/>
      <c r="CC1263" s="32"/>
      <c r="CK1263" s="32"/>
      <c r="CM1263" s="32"/>
      <c r="DJ1263" s="32"/>
      <c r="DT1263" s="32"/>
      <c r="DY1263" s="32"/>
    </row>
    <row r="1264" spans="2:129" ht="15.75" customHeight="1" x14ac:dyDescent="0.2">
      <c r="B1264" s="32"/>
      <c r="C1264" s="32"/>
      <c r="AF1264" s="32"/>
      <c r="BL1264" s="32"/>
      <c r="BX1264" s="32"/>
      <c r="CC1264" s="32"/>
      <c r="CK1264" s="32"/>
      <c r="CM1264" s="32"/>
      <c r="DJ1264" s="32"/>
      <c r="DT1264" s="32"/>
      <c r="DY1264" s="32"/>
    </row>
    <row r="1265" spans="2:129" ht="15.75" customHeight="1" x14ac:dyDescent="0.2">
      <c r="B1265" s="32"/>
      <c r="C1265" s="32"/>
      <c r="AF1265" s="32"/>
      <c r="BL1265" s="32"/>
      <c r="BX1265" s="32"/>
      <c r="CC1265" s="32"/>
      <c r="CK1265" s="32"/>
      <c r="CM1265" s="32"/>
      <c r="DJ1265" s="32"/>
      <c r="DT1265" s="32"/>
      <c r="DY1265" s="32"/>
    </row>
    <row r="1266" spans="2:129" ht="15.75" customHeight="1" x14ac:dyDescent="0.2">
      <c r="B1266" s="32"/>
      <c r="C1266" s="32"/>
      <c r="AF1266" s="32"/>
      <c r="BL1266" s="32"/>
      <c r="BX1266" s="32"/>
      <c r="CC1266" s="32"/>
      <c r="CK1266" s="32"/>
      <c r="CM1266" s="32"/>
      <c r="DJ1266" s="32"/>
      <c r="DT1266" s="32"/>
      <c r="DY1266" s="32"/>
    </row>
    <row r="1267" spans="2:129" ht="15.75" customHeight="1" x14ac:dyDescent="0.2">
      <c r="B1267" s="32"/>
      <c r="C1267" s="32"/>
      <c r="AF1267" s="32"/>
      <c r="BL1267" s="32"/>
      <c r="BX1267" s="32"/>
      <c r="CC1267" s="32"/>
      <c r="CK1267" s="32"/>
      <c r="CM1267" s="32"/>
      <c r="DJ1267" s="32"/>
      <c r="DT1267" s="32"/>
      <c r="DY1267" s="32"/>
    </row>
    <row r="1268" spans="2:129" ht="15.75" customHeight="1" x14ac:dyDescent="0.2">
      <c r="B1268" s="32"/>
      <c r="C1268" s="32"/>
      <c r="AF1268" s="32"/>
      <c r="BL1268" s="32"/>
      <c r="BX1268" s="32"/>
      <c r="CC1268" s="32"/>
      <c r="CK1268" s="32"/>
      <c r="CM1268" s="32"/>
      <c r="DJ1268" s="32"/>
      <c r="DT1268" s="32"/>
      <c r="DY1268" s="32"/>
    </row>
    <row r="1269" spans="2:129" ht="15.75" customHeight="1" x14ac:dyDescent="0.2">
      <c r="B1269" s="32"/>
      <c r="C1269" s="32"/>
      <c r="AF1269" s="32"/>
      <c r="BL1269" s="32"/>
      <c r="BX1269" s="32"/>
      <c r="CC1269" s="32"/>
      <c r="CK1269" s="32"/>
      <c r="CM1269" s="32"/>
      <c r="DJ1269" s="32"/>
      <c r="DT1269" s="32"/>
      <c r="DY1269" s="32"/>
    </row>
    <row r="1270" spans="2:129" ht="15.75" customHeight="1" x14ac:dyDescent="0.2">
      <c r="B1270" s="32"/>
      <c r="C1270" s="32"/>
      <c r="AF1270" s="32"/>
      <c r="BL1270" s="32"/>
      <c r="BX1270" s="32"/>
      <c r="CC1270" s="32"/>
      <c r="CK1270" s="32"/>
      <c r="CM1270" s="32"/>
      <c r="DJ1270" s="32"/>
      <c r="DT1270" s="32"/>
      <c r="DY1270" s="32"/>
    </row>
    <row r="1271" spans="2:129" ht="15.75" customHeight="1" x14ac:dyDescent="0.2">
      <c r="B1271" s="32"/>
      <c r="C1271" s="32"/>
      <c r="AF1271" s="32"/>
      <c r="BL1271" s="32"/>
      <c r="BX1271" s="32"/>
      <c r="CC1271" s="32"/>
      <c r="CK1271" s="32"/>
      <c r="CM1271" s="32"/>
      <c r="DJ1271" s="32"/>
      <c r="DT1271" s="32"/>
      <c r="DY1271" s="32"/>
    </row>
    <row r="1272" spans="2:129" ht="15.75" customHeight="1" x14ac:dyDescent="0.2">
      <c r="B1272" s="32"/>
      <c r="C1272" s="32"/>
      <c r="AF1272" s="32"/>
      <c r="BL1272" s="32"/>
      <c r="BX1272" s="32"/>
      <c r="CC1272" s="32"/>
      <c r="CK1272" s="32"/>
      <c r="CM1272" s="32"/>
      <c r="DJ1272" s="32"/>
      <c r="DT1272" s="32"/>
      <c r="DY1272" s="32"/>
    </row>
    <row r="1273" spans="2:129" ht="15.75" customHeight="1" x14ac:dyDescent="0.2">
      <c r="B1273" s="32"/>
      <c r="C1273" s="32"/>
      <c r="AF1273" s="32"/>
      <c r="BL1273" s="32"/>
      <c r="BX1273" s="32"/>
      <c r="CC1273" s="32"/>
      <c r="CK1273" s="32"/>
      <c r="CM1273" s="32"/>
      <c r="DJ1273" s="32"/>
      <c r="DT1273" s="32"/>
      <c r="DY1273" s="32"/>
    </row>
    <row r="1274" spans="2:129" ht="15.75" customHeight="1" x14ac:dyDescent="0.2">
      <c r="B1274" s="32"/>
      <c r="C1274" s="32"/>
      <c r="AF1274" s="32"/>
      <c r="BL1274" s="32"/>
      <c r="BX1274" s="32"/>
      <c r="CC1274" s="32"/>
      <c r="CK1274" s="32"/>
      <c r="CM1274" s="32"/>
      <c r="DJ1274" s="32"/>
      <c r="DT1274" s="32"/>
      <c r="DY1274" s="32"/>
    </row>
    <row r="1275" spans="2:129" ht="15.75" customHeight="1" x14ac:dyDescent="0.2">
      <c r="B1275" s="32"/>
      <c r="C1275" s="32"/>
      <c r="AF1275" s="32"/>
      <c r="BL1275" s="32"/>
      <c r="BX1275" s="32"/>
      <c r="CC1275" s="32"/>
      <c r="CK1275" s="32"/>
      <c r="CM1275" s="32"/>
      <c r="DJ1275" s="32"/>
      <c r="DT1275" s="32"/>
      <c r="DY1275" s="32"/>
    </row>
    <row r="1276" spans="2:129" ht="15.75" customHeight="1" x14ac:dyDescent="0.2">
      <c r="B1276" s="32"/>
      <c r="C1276" s="32"/>
      <c r="AF1276" s="32"/>
      <c r="BL1276" s="32"/>
      <c r="BX1276" s="32"/>
      <c r="CC1276" s="32"/>
      <c r="CK1276" s="32"/>
      <c r="CM1276" s="32"/>
      <c r="DJ1276" s="32"/>
      <c r="DT1276" s="32"/>
      <c r="DY1276" s="32"/>
    </row>
    <row r="1277" spans="2:129" ht="15.75" customHeight="1" x14ac:dyDescent="0.2">
      <c r="B1277" s="32"/>
      <c r="C1277" s="32"/>
      <c r="AF1277" s="32"/>
      <c r="BL1277" s="32"/>
      <c r="BX1277" s="32"/>
      <c r="CC1277" s="32"/>
      <c r="CK1277" s="32"/>
      <c r="CM1277" s="32"/>
      <c r="DJ1277" s="32"/>
      <c r="DT1277" s="32"/>
      <c r="DY1277" s="32"/>
    </row>
    <row r="1278" spans="2:129" ht="15.75" customHeight="1" x14ac:dyDescent="0.2">
      <c r="B1278" s="32"/>
      <c r="C1278" s="32"/>
      <c r="AF1278" s="32"/>
      <c r="BL1278" s="32"/>
      <c r="BX1278" s="32"/>
      <c r="CC1278" s="32"/>
      <c r="CK1278" s="32"/>
      <c r="CM1278" s="32"/>
      <c r="DJ1278" s="32"/>
      <c r="DT1278" s="32"/>
      <c r="DY1278" s="32"/>
    </row>
    <row r="1279" spans="2:129" ht="15.75" customHeight="1" x14ac:dyDescent="0.2">
      <c r="B1279" s="32"/>
      <c r="C1279" s="32"/>
      <c r="AF1279" s="32"/>
      <c r="BL1279" s="32"/>
      <c r="BX1279" s="32"/>
      <c r="CC1279" s="32"/>
      <c r="CK1279" s="32"/>
      <c r="CM1279" s="32"/>
      <c r="DJ1279" s="32"/>
      <c r="DT1279" s="32"/>
      <c r="DY1279" s="32"/>
    </row>
    <row r="1280" spans="2:129" ht="15.75" customHeight="1" x14ac:dyDescent="0.2">
      <c r="B1280" s="32"/>
      <c r="C1280" s="32"/>
      <c r="AF1280" s="32"/>
      <c r="BL1280" s="32"/>
      <c r="BX1280" s="32"/>
      <c r="CC1280" s="32"/>
      <c r="CK1280" s="32"/>
      <c r="CM1280" s="32"/>
      <c r="DJ1280" s="32"/>
      <c r="DT1280" s="32"/>
      <c r="DY1280" s="32"/>
    </row>
    <row r="1281" spans="2:129" ht="15.75" customHeight="1" x14ac:dyDescent="0.2">
      <c r="B1281" s="32"/>
      <c r="C1281" s="32"/>
      <c r="AF1281" s="32"/>
      <c r="BL1281" s="32"/>
      <c r="BX1281" s="32"/>
      <c r="CC1281" s="32"/>
      <c r="CK1281" s="32"/>
      <c r="CM1281" s="32"/>
      <c r="DJ1281" s="32"/>
      <c r="DT1281" s="32"/>
      <c r="DY1281" s="32"/>
    </row>
    <row r="1282" spans="2:129" ht="15.75" customHeight="1" x14ac:dyDescent="0.2">
      <c r="B1282" s="32"/>
      <c r="C1282" s="32"/>
      <c r="AF1282" s="32"/>
      <c r="BL1282" s="32"/>
      <c r="BX1282" s="32"/>
      <c r="CC1282" s="32"/>
      <c r="CK1282" s="32"/>
      <c r="CM1282" s="32"/>
      <c r="DJ1282" s="32"/>
      <c r="DT1282" s="32"/>
      <c r="DY1282" s="32"/>
    </row>
    <row r="1283" spans="2:129" ht="15.75" customHeight="1" x14ac:dyDescent="0.2">
      <c r="B1283" s="32"/>
      <c r="C1283" s="32"/>
      <c r="AF1283" s="32"/>
      <c r="BL1283" s="32"/>
      <c r="BX1283" s="32"/>
      <c r="CC1283" s="32"/>
      <c r="CK1283" s="32"/>
      <c r="CM1283" s="32"/>
      <c r="DJ1283" s="32"/>
      <c r="DT1283" s="32"/>
      <c r="DY1283" s="32"/>
    </row>
    <row r="1284" spans="2:129" ht="15.75" customHeight="1" x14ac:dyDescent="0.2">
      <c r="B1284" s="32"/>
      <c r="C1284" s="32"/>
      <c r="AF1284" s="32"/>
      <c r="BL1284" s="32"/>
      <c r="BX1284" s="32"/>
      <c r="CC1284" s="32"/>
      <c r="CK1284" s="32"/>
      <c r="CM1284" s="32"/>
      <c r="DJ1284" s="32"/>
      <c r="DT1284" s="32"/>
      <c r="DY1284" s="3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H2" sqref="H2:H5"/>
    </sheetView>
  </sheetViews>
  <sheetFormatPr baseColWidth="10" defaultColWidth="12.6640625" defaultRowHeight="15" customHeight="1" x14ac:dyDescent="0.2"/>
  <cols>
    <col min="1" max="1" width="8.83203125" customWidth="1"/>
    <col min="2" max="2" width="9.33203125" customWidth="1"/>
    <col min="3" max="3" width="10.6640625" customWidth="1"/>
    <col min="4" max="4" width="12.33203125" customWidth="1"/>
    <col min="5" max="6" width="17.5" customWidth="1"/>
    <col min="7" max="7" width="14.33203125" customWidth="1"/>
    <col min="8" max="8" width="8.83203125" customWidth="1"/>
    <col min="9" max="9" width="22.6640625" customWidth="1"/>
    <col min="10" max="10" width="37.5" customWidth="1"/>
    <col min="11" max="26" width="8.83203125" customWidth="1"/>
  </cols>
  <sheetData>
    <row r="1" spans="1:26" x14ac:dyDescent="0.2">
      <c r="A1" s="11" t="s">
        <v>1416</v>
      </c>
      <c r="B1" s="11" t="s">
        <v>2247</v>
      </c>
      <c r="C1" s="11" t="s">
        <v>5</v>
      </c>
      <c r="D1" s="11" t="s">
        <v>1420</v>
      </c>
      <c r="E1" s="11" t="s">
        <v>2248</v>
      </c>
      <c r="F1" s="11" t="s">
        <v>14</v>
      </c>
      <c r="G1" s="11" t="s">
        <v>2249</v>
      </c>
      <c r="H1" s="11" t="s">
        <v>2250</v>
      </c>
      <c r="I1" s="11" t="s">
        <v>2251</v>
      </c>
      <c r="J1" s="11" t="s">
        <v>2252</v>
      </c>
    </row>
    <row r="2" spans="1:26" x14ac:dyDescent="0.2">
      <c r="A2" s="8" t="s">
        <v>474</v>
      </c>
      <c r="B2" s="1">
        <v>20.613588</v>
      </c>
      <c r="C2" s="1" t="s">
        <v>1523</v>
      </c>
      <c r="D2" s="1" t="s">
        <v>1524</v>
      </c>
      <c r="E2" s="1" t="s">
        <v>2253</v>
      </c>
      <c r="F2" s="1" t="s">
        <v>1560</v>
      </c>
      <c r="G2" s="1" t="s">
        <v>2254</v>
      </c>
      <c r="H2" s="1" t="s">
        <v>2255</v>
      </c>
      <c r="I2" s="1" t="s">
        <v>2256</v>
      </c>
      <c r="J2" s="1" t="s">
        <v>2257</v>
      </c>
      <c r="M2" s="38"/>
      <c r="N2" s="38"/>
      <c r="O2" s="38"/>
      <c r="P2" s="38"/>
      <c r="Q2" s="38"/>
      <c r="R2" s="38"/>
      <c r="S2" s="38"/>
      <c r="T2" s="38"/>
      <c r="U2" s="38"/>
      <c r="V2" s="38"/>
      <c r="W2" s="38"/>
      <c r="X2" s="38"/>
      <c r="Y2" s="38"/>
      <c r="Z2" s="38"/>
    </row>
    <row r="3" spans="1:26" x14ac:dyDescent="0.2">
      <c r="A3" s="8" t="s">
        <v>64</v>
      </c>
      <c r="B3" s="1">
        <v>33.153315999999997</v>
      </c>
      <c r="C3" s="1" t="s">
        <v>1523</v>
      </c>
      <c r="D3" s="1" t="s">
        <v>1524</v>
      </c>
      <c r="E3" s="1" t="s">
        <v>2253</v>
      </c>
      <c r="F3" s="1" t="s">
        <v>1560</v>
      </c>
      <c r="G3" s="1" t="s">
        <v>2254</v>
      </c>
      <c r="H3" s="1" t="s">
        <v>2255</v>
      </c>
      <c r="I3" s="1" t="s">
        <v>2256</v>
      </c>
      <c r="J3" s="1" t="s">
        <v>2258</v>
      </c>
      <c r="M3" s="38"/>
      <c r="N3" s="38"/>
      <c r="O3" s="38"/>
      <c r="P3" s="38"/>
      <c r="Q3" s="38"/>
      <c r="R3" s="38"/>
      <c r="S3" s="38"/>
      <c r="T3" s="38"/>
      <c r="U3" s="38"/>
      <c r="V3" s="38"/>
      <c r="W3" s="38"/>
      <c r="X3" s="38"/>
      <c r="Y3" s="38"/>
      <c r="Z3" s="38"/>
    </row>
    <row r="4" spans="1:26" x14ac:dyDescent="0.2">
      <c r="A4" s="8" t="s">
        <v>64</v>
      </c>
      <c r="B4" s="1">
        <v>33.153315999999997</v>
      </c>
      <c r="C4" s="1" t="s">
        <v>1523</v>
      </c>
      <c r="D4" s="1" t="s">
        <v>1524</v>
      </c>
      <c r="E4" s="1" t="s">
        <v>2253</v>
      </c>
      <c r="F4" s="1" t="s">
        <v>1560</v>
      </c>
      <c r="G4" s="1" t="s">
        <v>2259</v>
      </c>
      <c r="H4" s="1" t="s">
        <v>2260</v>
      </c>
      <c r="I4" s="1" t="s">
        <v>2256</v>
      </c>
      <c r="J4" s="1" t="s">
        <v>2261</v>
      </c>
      <c r="M4" s="38"/>
      <c r="N4" s="38"/>
      <c r="O4" s="38"/>
      <c r="P4" s="38"/>
      <c r="Q4" s="38"/>
      <c r="R4" s="38"/>
      <c r="S4" s="38"/>
      <c r="T4" s="38"/>
      <c r="U4" s="38"/>
      <c r="V4" s="38"/>
      <c r="W4" s="38"/>
      <c r="X4" s="38"/>
      <c r="Y4" s="38"/>
      <c r="Z4" s="38"/>
    </row>
    <row r="5" spans="1:26" x14ac:dyDescent="0.2">
      <c r="A5" s="8" t="s">
        <v>64</v>
      </c>
      <c r="B5" s="1">
        <v>33.153315999999997</v>
      </c>
      <c r="C5" s="1" t="s">
        <v>1523</v>
      </c>
      <c r="D5" s="1" t="s">
        <v>1524</v>
      </c>
      <c r="E5" s="1" t="s">
        <v>2253</v>
      </c>
      <c r="F5" s="1" t="s">
        <v>1560</v>
      </c>
      <c r="G5" s="1" t="s">
        <v>2262</v>
      </c>
      <c r="H5" s="1" t="s">
        <v>2263</v>
      </c>
      <c r="I5" s="1" t="s">
        <v>2256</v>
      </c>
      <c r="J5" s="1" t="s">
        <v>2264</v>
      </c>
      <c r="M5" s="38"/>
      <c r="N5" s="38"/>
      <c r="O5" s="38"/>
      <c r="P5" s="38"/>
      <c r="Q5" s="38"/>
      <c r="R5" s="38"/>
      <c r="S5" s="38"/>
      <c r="T5" s="38"/>
      <c r="U5" s="38"/>
      <c r="V5" s="38"/>
      <c r="W5" s="38"/>
      <c r="X5" s="38"/>
      <c r="Y5" s="38"/>
      <c r="Z5" s="38"/>
    </row>
    <row r="6" spans="1:26" x14ac:dyDescent="0.2">
      <c r="A6" s="8" t="s">
        <v>64</v>
      </c>
      <c r="B6" s="1">
        <v>33.153315999999997</v>
      </c>
      <c r="C6" s="1" t="s">
        <v>1523</v>
      </c>
      <c r="D6" s="1" t="s">
        <v>1524</v>
      </c>
      <c r="E6" s="1" t="s">
        <v>2253</v>
      </c>
      <c r="F6" s="1" t="s">
        <v>1560</v>
      </c>
      <c r="G6" s="1" t="s">
        <v>2262</v>
      </c>
      <c r="H6" s="1" t="s">
        <v>2263</v>
      </c>
      <c r="I6" s="1" t="s">
        <v>2256</v>
      </c>
      <c r="J6" s="1" t="s">
        <v>2265</v>
      </c>
      <c r="M6" s="38"/>
      <c r="N6" s="38"/>
      <c r="O6" s="38"/>
      <c r="P6" s="38"/>
      <c r="Q6" s="38"/>
      <c r="R6" s="38"/>
      <c r="S6" s="38"/>
      <c r="T6" s="38"/>
      <c r="U6" s="38"/>
      <c r="V6" s="38"/>
      <c r="W6" s="38"/>
      <c r="X6" s="38"/>
      <c r="Y6" s="38"/>
      <c r="Z6" s="38"/>
    </row>
    <row r="7" spans="1:26" x14ac:dyDescent="0.2">
      <c r="A7" s="8" t="s">
        <v>74</v>
      </c>
      <c r="B7" s="1">
        <v>52.096895000000004</v>
      </c>
      <c r="C7" s="1" t="s">
        <v>1523</v>
      </c>
      <c r="D7" s="1" t="s">
        <v>1524</v>
      </c>
      <c r="E7" s="1" t="s">
        <v>1525</v>
      </c>
      <c r="F7" s="1" t="s">
        <v>1601</v>
      </c>
      <c r="G7" s="1" t="s">
        <v>2266</v>
      </c>
      <c r="H7" s="1" t="s">
        <v>2255</v>
      </c>
      <c r="I7" s="1" t="s">
        <v>2256</v>
      </c>
      <c r="J7" s="1" t="s">
        <v>2267</v>
      </c>
      <c r="M7" s="38"/>
      <c r="N7" s="38"/>
      <c r="O7" s="38"/>
      <c r="P7" s="38"/>
      <c r="Q7" s="38"/>
      <c r="R7" s="38"/>
      <c r="S7" s="38"/>
      <c r="T7" s="38"/>
      <c r="U7" s="38"/>
      <c r="V7" s="38"/>
      <c r="W7" s="38"/>
      <c r="X7" s="38"/>
      <c r="Y7" s="38"/>
      <c r="Z7" s="38"/>
    </row>
    <row r="8" spans="1:26" x14ac:dyDescent="0.2">
      <c r="A8" s="8" t="s">
        <v>74</v>
      </c>
      <c r="B8" s="1">
        <v>52.096895000000004</v>
      </c>
      <c r="C8" s="1" t="s">
        <v>1523</v>
      </c>
      <c r="D8" s="1" t="s">
        <v>1524</v>
      </c>
      <c r="E8" s="1" t="s">
        <v>1525</v>
      </c>
      <c r="F8" s="1" t="s">
        <v>1601</v>
      </c>
      <c r="G8" s="1" t="s">
        <v>2254</v>
      </c>
      <c r="H8" s="1" t="s">
        <v>2255</v>
      </c>
      <c r="I8" s="1" t="s">
        <v>2256</v>
      </c>
      <c r="J8" s="1" t="s">
        <v>2268</v>
      </c>
      <c r="M8" s="38"/>
      <c r="O8" s="38"/>
      <c r="P8" s="38"/>
      <c r="Q8" s="38"/>
      <c r="R8" s="38"/>
      <c r="S8" s="38"/>
      <c r="T8" s="38"/>
      <c r="U8" s="38"/>
      <c r="V8" s="38"/>
      <c r="W8" s="38"/>
      <c r="X8" s="38"/>
      <c r="Y8" s="38"/>
      <c r="Z8" s="38"/>
    </row>
    <row r="9" spans="1:26" x14ac:dyDescent="0.2">
      <c r="A9" s="8" t="s">
        <v>74</v>
      </c>
      <c r="B9" s="1">
        <v>52.096895000000004</v>
      </c>
      <c r="C9" s="1" t="s">
        <v>1523</v>
      </c>
      <c r="D9" s="1" t="s">
        <v>1524</v>
      </c>
      <c r="E9" s="1" t="s">
        <v>1525</v>
      </c>
      <c r="F9" s="1" t="s">
        <v>1601</v>
      </c>
      <c r="G9" s="1" t="s">
        <v>2269</v>
      </c>
      <c r="H9" s="1" t="s">
        <v>2263</v>
      </c>
      <c r="I9" s="1" t="s">
        <v>2256</v>
      </c>
      <c r="J9" s="1" t="s">
        <v>2270</v>
      </c>
      <c r="M9" s="38"/>
      <c r="N9" s="38"/>
      <c r="O9" s="38"/>
      <c r="P9" s="38"/>
      <c r="Q9" s="38"/>
      <c r="R9" s="38"/>
      <c r="S9" s="38"/>
      <c r="T9" s="38"/>
      <c r="U9" s="38"/>
      <c r="V9" s="38"/>
      <c r="W9" s="38"/>
      <c r="X9" s="38"/>
      <c r="Y9" s="38"/>
      <c r="Z9" s="38"/>
    </row>
    <row r="10" spans="1:26" x14ac:dyDescent="0.2">
      <c r="A10" s="8" t="s">
        <v>74</v>
      </c>
      <c r="B10" s="1">
        <v>52.096895000000004</v>
      </c>
      <c r="C10" s="1" t="s">
        <v>1523</v>
      </c>
      <c r="D10" s="1" t="s">
        <v>1524</v>
      </c>
      <c r="E10" s="1" t="s">
        <v>1525</v>
      </c>
      <c r="F10" s="1" t="s">
        <v>1601</v>
      </c>
      <c r="G10" s="1" t="s">
        <v>2271</v>
      </c>
      <c r="H10" s="1" t="s">
        <v>2263</v>
      </c>
      <c r="I10" s="1" t="s">
        <v>2256</v>
      </c>
      <c r="J10" s="1" t="s">
        <v>2272</v>
      </c>
      <c r="M10" s="38"/>
      <c r="N10" s="38"/>
      <c r="O10" s="38"/>
      <c r="P10" s="38"/>
      <c r="Q10" s="38"/>
      <c r="R10" s="38"/>
      <c r="S10" s="38"/>
      <c r="T10" s="38"/>
      <c r="U10" s="38"/>
      <c r="V10" s="38"/>
      <c r="W10" s="38"/>
      <c r="X10" s="38"/>
      <c r="Y10" s="38"/>
      <c r="Z10" s="38"/>
    </row>
    <row r="11" spans="1:26" x14ac:dyDescent="0.2">
      <c r="A11" s="8" t="s">
        <v>88</v>
      </c>
      <c r="B11" s="1">
        <v>54.043545999999999</v>
      </c>
      <c r="C11" s="1" t="s">
        <v>1587</v>
      </c>
      <c r="D11" s="1" t="s">
        <v>1578</v>
      </c>
      <c r="E11" s="1" t="s">
        <v>1525</v>
      </c>
      <c r="F11" s="1" t="s">
        <v>1546</v>
      </c>
      <c r="G11" s="1" t="s">
        <v>2273</v>
      </c>
      <c r="H11" s="1" t="s">
        <v>2263</v>
      </c>
      <c r="I11" s="1" t="s">
        <v>2274</v>
      </c>
      <c r="J11" s="1" t="s">
        <v>2275</v>
      </c>
      <c r="M11" s="38"/>
      <c r="N11" s="38"/>
      <c r="O11" s="38"/>
      <c r="P11" s="38"/>
      <c r="Q11" s="38"/>
      <c r="R11" s="38"/>
      <c r="S11" s="38"/>
      <c r="T11" s="38"/>
      <c r="U11" s="38"/>
      <c r="V11" s="38"/>
      <c r="W11" s="38"/>
      <c r="X11" s="38"/>
      <c r="Y11" s="38"/>
      <c r="Z11" s="38"/>
    </row>
    <row r="12" spans="1:26" x14ac:dyDescent="0.2">
      <c r="A12" s="8" t="s">
        <v>88</v>
      </c>
      <c r="B12" s="1">
        <v>54.043545999999999</v>
      </c>
      <c r="C12" s="1" t="s">
        <v>1587</v>
      </c>
      <c r="D12" s="1" t="s">
        <v>1578</v>
      </c>
      <c r="E12" s="1" t="s">
        <v>1525</v>
      </c>
      <c r="F12" s="1" t="s">
        <v>1546</v>
      </c>
      <c r="G12" s="1" t="s">
        <v>2276</v>
      </c>
      <c r="H12" s="1" t="s">
        <v>2263</v>
      </c>
      <c r="I12" s="1" t="s">
        <v>2256</v>
      </c>
      <c r="J12" s="1" t="s">
        <v>2277</v>
      </c>
      <c r="M12" s="38"/>
      <c r="N12" s="38"/>
      <c r="O12" s="38"/>
      <c r="P12" s="38"/>
      <c r="Q12" s="38"/>
      <c r="R12" s="38"/>
      <c r="S12" s="38"/>
      <c r="T12" s="38"/>
      <c r="U12" s="38"/>
      <c r="V12" s="38"/>
      <c r="W12" s="38"/>
      <c r="X12" s="38"/>
      <c r="Y12" s="38"/>
      <c r="Z12" s="38"/>
    </row>
    <row r="13" spans="1:26" x14ac:dyDescent="0.2">
      <c r="A13" s="8" t="s">
        <v>88</v>
      </c>
      <c r="B13" s="1">
        <v>54.043545999999999</v>
      </c>
      <c r="C13" s="1" t="s">
        <v>1587</v>
      </c>
      <c r="D13" s="1" t="s">
        <v>1578</v>
      </c>
      <c r="E13" s="1" t="s">
        <v>1525</v>
      </c>
      <c r="F13" s="1" t="s">
        <v>1546</v>
      </c>
      <c r="G13" s="1" t="s">
        <v>2262</v>
      </c>
      <c r="H13" s="1" t="s">
        <v>2263</v>
      </c>
      <c r="I13" s="1" t="s">
        <v>2256</v>
      </c>
      <c r="J13" s="1" t="s">
        <v>2278</v>
      </c>
      <c r="M13" s="38"/>
      <c r="N13" s="38"/>
      <c r="O13" s="38"/>
      <c r="P13" s="38"/>
      <c r="Q13" s="38"/>
      <c r="R13" s="38"/>
      <c r="S13" s="38"/>
      <c r="T13" s="38"/>
      <c r="U13" s="38"/>
      <c r="V13" s="38"/>
      <c r="W13" s="38"/>
      <c r="X13" s="38"/>
      <c r="Y13" s="38"/>
      <c r="Z13" s="38"/>
    </row>
    <row r="14" spans="1:26" x14ac:dyDescent="0.2">
      <c r="A14" s="8" t="s">
        <v>88</v>
      </c>
      <c r="B14" s="1">
        <v>54.043545999999999</v>
      </c>
      <c r="C14" s="1" t="s">
        <v>1587</v>
      </c>
      <c r="D14" s="1" t="s">
        <v>1578</v>
      </c>
      <c r="E14" s="1" t="s">
        <v>1525</v>
      </c>
      <c r="F14" s="1" t="s">
        <v>1546</v>
      </c>
      <c r="G14" s="1" t="s">
        <v>2262</v>
      </c>
      <c r="H14" s="1" t="s">
        <v>2263</v>
      </c>
      <c r="I14" s="1" t="s">
        <v>2256</v>
      </c>
      <c r="J14" s="1" t="s">
        <v>2279</v>
      </c>
      <c r="M14" s="38"/>
      <c r="N14" s="38"/>
      <c r="O14" s="38"/>
      <c r="P14" s="38"/>
      <c r="Q14" s="38"/>
      <c r="R14" s="38"/>
      <c r="S14" s="38"/>
      <c r="T14" s="38"/>
      <c r="U14" s="38"/>
      <c r="V14" s="38"/>
      <c r="W14" s="38"/>
      <c r="X14" s="38"/>
      <c r="Y14" s="38"/>
      <c r="Z14" s="38"/>
    </row>
    <row r="15" spans="1:26" x14ac:dyDescent="0.2">
      <c r="A15" s="8" t="s">
        <v>97</v>
      </c>
      <c r="B15" s="1">
        <v>62.572240999999998</v>
      </c>
      <c r="C15" s="1" t="s">
        <v>1587</v>
      </c>
      <c r="D15" s="1" t="s">
        <v>1524</v>
      </c>
      <c r="E15" s="1" t="s">
        <v>2280</v>
      </c>
      <c r="F15" s="1" t="s">
        <v>1583</v>
      </c>
      <c r="G15" s="1" t="s">
        <v>2271</v>
      </c>
      <c r="H15" s="1" t="s">
        <v>2260</v>
      </c>
      <c r="I15" s="1" t="s">
        <v>2256</v>
      </c>
      <c r="J15" s="1" t="s">
        <v>2281</v>
      </c>
      <c r="M15" s="38"/>
      <c r="N15" s="38"/>
      <c r="O15" s="38"/>
      <c r="P15" s="38"/>
      <c r="Q15" s="38"/>
      <c r="R15" s="38"/>
      <c r="S15" s="38"/>
      <c r="T15" s="38"/>
      <c r="U15" s="38"/>
      <c r="V15" s="38"/>
      <c r="W15" s="38"/>
      <c r="X15" s="38"/>
      <c r="Y15" s="38"/>
      <c r="Z15" s="38"/>
    </row>
    <row r="16" spans="1:26" x14ac:dyDescent="0.2">
      <c r="A16" s="8" t="s">
        <v>97</v>
      </c>
      <c r="B16" s="1">
        <v>62.572240999999998</v>
      </c>
      <c r="C16" s="1" t="s">
        <v>1587</v>
      </c>
      <c r="D16" s="1" t="s">
        <v>1524</v>
      </c>
      <c r="E16" s="1" t="s">
        <v>2280</v>
      </c>
      <c r="F16" s="1" t="s">
        <v>1583</v>
      </c>
      <c r="G16" s="1" t="s">
        <v>2282</v>
      </c>
      <c r="H16" s="1" t="s">
        <v>2260</v>
      </c>
      <c r="I16" s="1" t="s">
        <v>2256</v>
      </c>
      <c r="J16" s="1" t="s">
        <v>2283</v>
      </c>
      <c r="M16" s="38"/>
      <c r="N16" s="38"/>
      <c r="O16" s="38"/>
      <c r="P16" s="38"/>
      <c r="Q16" s="38"/>
      <c r="R16" s="38"/>
      <c r="S16" s="38"/>
      <c r="T16" s="38"/>
      <c r="U16" s="38"/>
      <c r="V16" s="38"/>
      <c r="W16" s="38"/>
      <c r="X16" s="38"/>
      <c r="Y16" s="38"/>
      <c r="Z16" s="38"/>
    </row>
    <row r="17" spans="1:26" x14ac:dyDescent="0.2">
      <c r="A17" s="8" t="s">
        <v>97</v>
      </c>
      <c r="B17" s="1">
        <v>62.572240999999998</v>
      </c>
      <c r="C17" s="1" t="s">
        <v>1587</v>
      </c>
      <c r="D17" s="1" t="s">
        <v>1524</v>
      </c>
      <c r="E17" s="1" t="s">
        <v>2280</v>
      </c>
      <c r="F17" s="1" t="s">
        <v>1583</v>
      </c>
      <c r="G17" s="1" t="s">
        <v>1363</v>
      </c>
      <c r="H17" s="1" t="s">
        <v>2263</v>
      </c>
      <c r="I17" s="1" t="s">
        <v>2256</v>
      </c>
      <c r="J17" s="1" t="s">
        <v>2284</v>
      </c>
      <c r="M17" s="38"/>
      <c r="N17" s="38"/>
      <c r="O17" s="38"/>
      <c r="P17" s="38"/>
      <c r="Q17" s="38"/>
      <c r="R17" s="38"/>
      <c r="S17" s="38"/>
      <c r="T17" s="38"/>
      <c r="U17" s="38"/>
      <c r="V17" s="38"/>
      <c r="W17" s="38"/>
      <c r="X17" s="38"/>
      <c r="Y17" s="38"/>
      <c r="Z17" s="38"/>
    </row>
    <row r="18" spans="1:26" x14ac:dyDescent="0.2">
      <c r="A18" s="8" t="s">
        <v>104</v>
      </c>
      <c r="B18" s="1">
        <v>67.963065999999998</v>
      </c>
      <c r="C18" s="1" t="s">
        <v>1587</v>
      </c>
      <c r="D18" s="1" t="s">
        <v>1524</v>
      </c>
      <c r="E18" s="1" t="s">
        <v>1525</v>
      </c>
      <c r="F18" s="1" t="s">
        <v>1528</v>
      </c>
      <c r="G18" s="1" t="s">
        <v>2273</v>
      </c>
      <c r="H18" s="1" t="s">
        <v>2255</v>
      </c>
      <c r="I18" s="1" t="s">
        <v>2285</v>
      </c>
      <c r="J18" s="1" t="s">
        <v>2286</v>
      </c>
      <c r="M18" s="38"/>
      <c r="N18" s="38"/>
      <c r="O18" s="38"/>
      <c r="P18" s="38"/>
      <c r="Q18" s="38"/>
      <c r="R18" s="38"/>
      <c r="S18" s="38"/>
      <c r="T18" s="38"/>
      <c r="U18" s="38"/>
      <c r="V18" s="38"/>
      <c r="W18" s="38"/>
      <c r="X18" s="38"/>
      <c r="Y18" s="38"/>
      <c r="Z18" s="38"/>
    </row>
    <row r="19" spans="1:26" x14ac:dyDescent="0.2">
      <c r="A19" s="8" t="s">
        <v>104</v>
      </c>
      <c r="B19" s="1">
        <v>67.963065999999998</v>
      </c>
      <c r="C19" s="1" t="s">
        <v>1587</v>
      </c>
      <c r="D19" s="1" t="s">
        <v>1524</v>
      </c>
      <c r="E19" s="1" t="s">
        <v>1525</v>
      </c>
      <c r="F19" s="1" t="s">
        <v>1528</v>
      </c>
      <c r="G19" s="1" t="s">
        <v>2287</v>
      </c>
      <c r="H19" s="1" t="s">
        <v>2255</v>
      </c>
      <c r="I19" s="1" t="s">
        <v>2256</v>
      </c>
      <c r="J19" s="1" t="s">
        <v>2288</v>
      </c>
      <c r="M19" s="38"/>
      <c r="N19" s="38"/>
      <c r="O19" s="38"/>
      <c r="P19" s="38"/>
      <c r="Q19" s="38"/>
      <c r="R19" s="38"/>
      <c r="S19" s="38"/>
      <c r="T19" s="38"/>
      <c r="U19" s="38"/>
      <c r="V19" s="38"/>
      <c r="W19" s="38"/>
      <c r="X19" s="38"/>
      <c r="Y19" s="38"/>
      <c r="Z19" s="38"/>
    </row>
    <row r="20" spans="1:26" x14ac:dyDescent="0.2">
      <c r="A20" s="8" t="s">
        <v>104</v>
      </c>
      <c r="B20" s="1">
        <v>67.963065999999998</v>
      </c>
      <c r="C20" s="1" t="s">
        <v>1587</v>
      </c>
      <c r="D20" s="1" t="s">
        <v>1524</v>
      </c>
      <c r="E20" s="1" t="s">
        <v>1525</v>
      </c>
      <c r="F20" s="1" t="s">
        <v>1528</v>
      </c>
      <c r="G20" s="1" t="s">
        <v>2266</v>
      </c>
      <c r="H20" s="1" t="s">
        <v>2255</v>
      </c>
      <c r="I20" s="1" t="s">
        <v>2256</v>
      </c>
      <c r="J20" s="1" t="s">
        <v>2289</v>
      </c>
      <c r="M20" s="38"/>
      <c r="N20" s="38"/>
      <c r="O20" s="38"/>
      <c r="P20" s="38"/>
      <c r="Q20" s="38"/>
      <c r="R20" s="38"/>
      <c r="S20" s="38"/>
      <c r="T20" s="38"/>
      <c r="U20" s="38"/>
      <c r="V20" s="38"/>
      <c r="W20" s="38"/>
      <c r="X20" s="38"/>
      <c r="Y20" s="38"/>
      <c r="Z20" s="38"/>
    </row>
    <row r="21" spans="1:26" ht="15.75" customHeight="1" x14ac:dyDescent="0.2">
      <c r="A21" s="8" t="s">
        <v>104</v>
      </c>
      <c r="B21" s="1">
        <v>67.963065999999998</v>
      </c>
      <c r="C21" s="1" t="s">
        <v>1587</v>
      </c>
      <c r="D21" s="1" t="s">
        <v>1524</v>
      </c>
      <c r="E21" s="1" t="s">
        <v>1525</v>
      </c>
      <c r="F21" s="1" t="s">
        <v>1528</v>
      </c>
      <c r="G21" s="1" t="s">
        <v>2290</v>
      </c>
      <c r="H21" s="1" t="s">
        <v>2260</v>
      </c>
      <c r="I21" s="1" t="s">
        <v>2256</v>
      </c>
      <c r="J21" s="1" t="s">
        <v>2291</v>
      </c>
      <c r="M21" s="38"/>
      <c r="N21" s="38"/>
      <c r="O21" s="38"/>
      <c r="P21" s="38"/>
      <c r="Q21" s="38"/>
      <c r="R21" s="38"/>
      <c r="S21" s="38"/>
      <c r="T21" s="38"/>
      <c r="U21" s="38"/>
      <c r="V21" s="38"/>
      <c r="W21" s="38"/>
      <c r="X21" s="38"/>
      <c r="Y21" s="38"/>
      <c r="Z21" s="38"/>
    </row>
    <row r="22" spans="1:26" ht="15.75" customHeight="1" x14ac:dyDescent="0.2">
      <c r="A22" s="8" t="s">
        <v>104</v>
      </c>
      <c r="B22" s="1">
        <v>67.963065999999998</v>
      </c>
      <c r="C22" s="1" t="s">
        <v>1587</v>
      </c>
      <c r="D22" s="1" t="s">
        <v>1524</v>
      </c>
      <c r="E22" s="1" t="s">
        <v>1525</v>
      </c>
      <c r="F22" s="1" t="s">
        <v>1528</v>
      </c>
      <c r="G22" s="1" t="s">
        <v>2273</v>
      </c>
      <c r="H22" s="1" t="s">
        <v>2260</v>
      </c>
      <c r="I22" s="1" t="s">
        <v>2256</v>
      </c>
      <c r="J22" s="1" t="s">
        <v>2292</v>
      </c>
      <c r="M22" s="38"/>
      <c r="N22" s="38"/>
      <c r="O22" s="38"/>
      <c r="P22" s="38"/>
      <c r="Q22" s="38"/>
      <c r="R22" s="38"/>
      <c r="S22" s="38"/>
      <c r="T22" s="38"/>
      <c r="U22" s="38"/>
      <c r="V22" s="38"/>
      <c r="W22" s="38"/>
      <c r="X22" s="38"/>
      <c r="Y22" s="38"/>
      <c r="Z22" s="38"/>
    </row>
    <row r="23" spans="1:26" ht="15.75" customHeight="1" x14ac:dyDescent="0.2">
      <c r="A23" s="8" t="s">
        <v>113</v>
      </c>
      <c r="B23" s="1">
        <v>47.420662999999998</v>
      </c>
      <c r="C23" s="1" t="s">
        <v>1587</v>
      </c>
      <c r="D23" s="1" t="s">
        <v>1578</v>
      </c>
      <c r="E23" s="1" t="s">
        <v>1525</v>
      </c>
      <c r="F23" s="1" t="s">
        <v>1528</v>
      </c>
      <c r="G23" s="1" t="s">
        <v>2273</v>
      </c>
      <c r="H23" s="1" t="s">
        <v>2255</v>
      </c>
      <c r="I23" s="1" t="s">
        <v>2285</v>
      </c>
      <c r="J23" s="1" t="s">
        <v>2293</v>
      </c>
      <c r="M23" s="38"/>
      <c r="N23" s="38"/>
      <c r="O23" s="38"/>
      <c r="P23" s="38"/>
      <c r="Q23" s="38"/>
      <c r="R23" s="38"/>
      <c r="S23" s="38"/>
      <c r="T23" s="38"/>
      <c r="U23" s="38"/>
      <c r="V23" s="38"/>
      <c r="W23" s="38"/>
      <c r="X23" s="38"/>
      <c r="Y23" s="38"/>
      <c r="Z23" s="38"/>
    </row>
    <row r="24" spans="1:26" ht="15.75" customHeight="1" x14ac:dyDescent="0.2">
      <c r="A24" s="8" t="s">
        <v>113</v>
      </c>
      <c r="B24" s="1">
        <v>47.420662999999998</v>
      </c>
      <c r="C24" s="1" t="s">
        <v>1587</v>
      </c>
      <c r="D24" s="1" t="s">
        <v>1578</v>
      </c>
      <c r="E24" s="1" t="s">
        <v>1525</v>
      </c>
      <c r="F24" s="1" t="s">
        <v>1528</v>
      </c>
      <c r="G24" s="1" t="s">
        <v>2266</v>
      </c>
      <c r="H24" s="1" t="s">
        <v>2255</v>
      </c>
      <c r="I24" s="1" t="s">
        <v>2256</v>
      </c>
      <c r="J24" s="1" t="s">
        <v>2294</v>
      </c>
      <c r="M24" s="38"/>
      <c r="N24" s="38"/>
      <c r="O24" s="38"/>
      <c r="P24" s="38"/>
      <c r="Q24" s="38"/>
      <c r="R24" s="38"/>
      <c r="S24" s="38"/>
      <c r="T24" s="38"/>
      <c r="U24" s="38"/>
      <c r="V24" s="38"/>
      <c r="W24" s="38"/>
      <c r="X24" s="38"/>
      <c r="Y24" s="38"/>
      <c r="Z24" s="38"/>
    </row>
    <row r="25" spans="1:26" ht="15.75" customHeight="1" x14ac:dyDescent="0.2">
      <c r="A25" s="8" t="s">
        <v>113</v>
      </c>
      <c r="B25" s="1">
        <v>47.420662999999998</v>
      </c>
      <c r="C25" s="1" t="s">
        <v>1587</v>
      </c>
      <c r="D25" s="1" t="s">
        <v>1578</v>
      </c>
      <c r="E25" s="1" t="s">
        <v>1525</v>
      </c>
      <c r="F25" s="1" t="s">
        <v>1528</v>
      </c>
      <c r="G25" s="1" t="s">
        <v>2295</v>
      </c>
      <c r="H25" s="1" t="s">
        <v>2260</v>
      </c>
      <c r="I25" s="1" t="s">
        <v>2285</v>
      </c>
      <c r="J25" s="1" t="s">
        <v>2296</v>
      </c>
      <c r="M25" s="38"/>
      <c r="N25" s="38"/>
      <c r="O25" s="38"/>
      <c r="P25" s="38"/>
      <c r="Q25" s="38"/>
      <c r="R25" s="38"/>
      <c r="S25" s="38"/>
      <c r="T25" s="38"/>
      <c r="U25" s="38"/>
      <c r="V25" s="38"/>
      <c r="W25" s="38"/>
      <c r="X25" s="38"/>
      <c r="Y25" s="38"/>
      <c r="Z25" s="38"/>
    </row>
    <row r="26" spans="1:26" ht="15.75" customHeight="1" x14ac:dyDescent="0.2">
      <c r="A26" s="8" t="s">
        <v>113</v>
      </c>
      <c r="B26" s="1">
        <v>47.420662999999998</v>
      </c>
      <c r="C26" s="1" t="s">
        <v>1587</v>
      </c>
      <c r="D26" s="1" t="s">
        <v>1578</v>
      </c>
      <c r="E26" s="1" t="s">
        <v>1525</v>
      </c>
      <c r="F26" s="1" t="s">
        <v>1528</v>
      </c>
      <c r="G26" s="1" t="s">
        <v>2297</v>
      </c>
      <c r="H26" s="1" t="s">
        <v>2260</v>
      </c>
      <c r="I26" s="1" t="s">
        <v>2285</v>
      </c>
      <c r="J26" s="1" t="s">
        <v>2298</v>
      </c>
      <c r="M26" s="38"/>
      <c r="N26" s="38"/>
      <c r="O26" s="38"/>
      <c r="P26" s="38"/>
      <c r="Q26" s="38"/>
      <c r="R26" s="38"/>
      <c r="S26" s="38"/>
      <c r="T26" s="38"/>
      <c r="U26" s="38"/>
      <c r="V26" s="38"/>
      <c r="W26" s="38"/>
      <c r="X26" s="38"/>
      <c r="Y26" s="38"/>
      <c r="Z26" s="38"/>
    </row>
    <row r="27" spans="1:26" ht="15.75" customHeight="1" x14ac:dyDescent="0.2">
      <c r="A27" s="8" t="s">
        <v>113</v>
      </c>
      <c r="B27" s="1">
        <v>47.420662999999998</v>
      </c>
      <c r="C27" s="1" t="s">
        <v>1587</v>
      </c>
      <c r="D27" s="1" t="s">
        <v>1578</v>
      </c>
      <c r="E27" s="1" t="s">
        <v>1525</v>
      </c>
      <c r="F27" s="1" t="s">
        <v>1528</v>
      </c>
      <c r="G27" s="1" t="s">
        <v>2299</v>
      </c>
      <c r="H27" s="1" t="s">
        <v>2260</v>
      </c>
      <c r="I27" s="1" t="s">
        <v>2285</v>
      </c>
      <c r="J27" s="1" t="s">
        <v>2300</v>
      </c>
      <c r="M27" s="38"/>
      <c r="N27" s="38"/>
      <c r="O27" s="38"/>
      <c r="P27" s="38"/>
      <c r="Q27" s="38"/>
      <c r="R27" s="38"/>
      <c r="S27" s="38"/>
      <c r="T27" s="38"/>
      <c r="U27" s="38"/>
      <c r="V27" s="38"/>
      <c r="W27" s="38"/>
      <c r="X27" s="38"/>
      <c r="Y27" s="38"/>
      <c r="Z27" s="38"/>
    </row>
    <row r="28" spans="1:26" ht="15.75" customHeight="1" x14ac:dyDescent="0.2">
      <c r="A28" s="8" t="s">
        <v>479</v>
      </c>
      <c r="B28" s="1">
        <v>56.201017</v>
      </c>
      <c r="C28" s="1" t="s">
        <v>1587</v>
      </c>
      <c r="D28" s="1" t="s">
        <v>1524</v>
      </c>
      <c r="E28" s="1" t="s">
        <v>2280</v>
      </c>
      <c r="F28" s="1" t="s">
        <v>1528</v>
      </c>
      <c r="G28" s="1" t="s">
        <v>2273</v>
      </c>
      <c r="H28" s="1" t="s">
        <v>2255</v>
      </c>
      <c r="I28" s="1" t="s">
        <v>2274</v>
      </c>
      <c r="J28" s="1" t="s">
        <v>2301</v>
      </c>
      <c r="M28" s="38"/>
      <c r="N28" s="38"/>
      <c r="O28" s="38"/>
      <c r="P28" s="38"/>
      <c r="Q28" s="38"/>
      <c r="R28" s="38"/>
      <c r="S28" s="38"/>
      <c r="T28" s="38"/>
      <c r="U28" s="38"/>
      <c r="V28" s="38"/>
      <c r="W28" s="38"/>
      <c r="X28" s="38"/>
      <c r="Y28" s="38"/>
      <c r="Z28" s="38"/>
    </row>
    <row r="29" spans="1:26" ht="15.75" customHeight="1" x14ac:dyDescent="0.2">
      <c r="A29" s="8" t="s">
        <v>479</v>
      </c>
      <c r="B29" s="1">
        <v>56.201017</v>
      </c>
      <c r="C29" s="1" t="s">
        <v>1587</v>
      </c>
      <c r="D29" s="1" t="s">
        <v>1524</v>
      </c>
      <c r="E29" s="1" t="s">
        <v>2280</v>
      </c>
      <c r="F29" s="1" t="s">
        <v>1528</v>
      </c>
      <c r="G29" s="1" t="s">
        <v>2302</v>
      </c>
      <c r="H29" s="1" t="s">
        <v>2255</v>
      </c>
      <c r="I29" s="1" t="s">
        <v>2285</v>
      </c>
      <c r="J29" s="1" t="s">
        <v>2303</v>
      </c>
      <c r="M29" s="38"/>
      <c r="N29" s="38"/>
      <c r="O29" s="38"/>
      <c r="P29" s="38"/>
      <c r="Q29" s="38"/>
      <c r="R29" s="38"/>
      <c r="S29" s="38"/>
      <c r="T29" s="38"/>
      <c r="U29" s="38"/>
      <c r="V29" s="38"/>
      <c r="W29" s="38"/>
      <c r="X29" s="38"/>
      <c r="Y29" s="38"/>
      <c r="Z29" s="38"/>
    </row>
    <row r="30" spans="1:26" ht="15.75" customHeight="1" x14ac:dyDescent="0.2">
      <c r="A30" s="8" t="s">
        <v>479</v>
      </c>
      <c r="B30" s="1">
        <v>56.201017</v>
      </c>
      <c r="C30" s="1" t="s">
        <v>1587</v>
      </c>
      <c r="D30" s="1" t="s">
        <v>1524</v>
      </c>
      <c r="E30" s="1" t="s">
        <v>2280</v>
      </c>
      <c r="F30" s="1" t="s">
        <v>1528</v>
      </c>
      <c r="G30" s="1" t="s">
        <v>2273</v>
      </c>
      <c r="H30" s="1" t="s">
        <v>2255</v>
      </c>
      <c r="I30" s="1" t="s">
        <v>2285</v>
      </c>
      <c r="J30" s="1" t="s">
        <v>2304</v>
      </c>
      <c r="M30" s="38"/>
      <c r="N30" s="38"/>
      <c r="O30" s="38"/>
      <c r="P30" s="38"/>
      <c r="Q30" s="38"/>
      <c r="R30" s="38"/>
      <c r="S30" s="38"/>
      <c r="T30" s="38"/>
      <c r="U30" s="38"/>
      <c r="V30" s="38"/>
      <c r="W30" s="38"/>
      <c r="X30" s="38"/>
      <c r="Y30" s="38"/>
      <c r="Z30" s="38"/>
    </row>
    <row r="31" spans="1:26" ht="15.75" customHeight="1" x14ac:dyDescent="0.2">
      <c r="A31" s="8" t="s">
        <v>479</v>
      </c>
      <c r="B31" s="1">
        <v>56.201017</v>
      </c>
      <c r="C31" s="1" t="s">
        <v>1587</v>
      </c>
      <c r="D31" s="1" t="s">
        <v>1524</v>
      </c>
      <c r="E31" s="1" t="s">
        <v>2280</v>
      </c>
      <c r="F31" s="1" t="s">
        <v>1528</v>
      </c>
      <c r="G31" s="1" t="s">
        <v>2266</v>
      </c>
      <c r="H31" s="1" t="s">
        <v>2255</v>
      </c>
      <c r="I31" s="1" t="s">
        <v>2256</v>
      </c>
      <c r="J31" s="1" t="s">
        <v>2305</v>
      </c>
      <c r="M31" s="38"/>
      <c r="N31" s="38"/>
      <c r="O31" s="38"/>
      <c r="P31" s="38"/>
      <c r="Q31" s="38"/>
      <c r="R31" s="38"/>
      <c r="S31" s="38"/>
      <c r="T31" s="38"/>
      <c r="U31" s="38"/>
      <c r="V31" s="38"/>
      <c r="W31" s="38"/>
      <c r="X31" s="38"/>
      <c r="Y31" s="38"/>
      <c r="Z31" s="38"/>
    </row>
    <row r="32" spans="1:26" ht="15.75" customHeight="1" x14ac:dyDescent="0.2">
      <c r="A32" s="8" t="s">
        <v>479</v>
      </c>
      <c r="B32" s="1">
        <v>56.201017</v>
      </c>
      <c r="C32" s="1" t="s">
        <v>1587</v>
      </c>
      <c r="D32" s="1" t="s">
        <v>1524</v>
      </c>
      <c r="E32" s="1" t="s">
        <v>2280</v>
      </c>
      <c r="F32" s="1" t="s">
        <v>1528</v>
      </c>
      <c r="G32" s="1" t="s">
        <v>2287</v>
      </c>
      <c r="H32" s="1" t="s">
        <v>2260</v>
      </c>
      <c r="I32" s="1" t="s">
        <v>2256</v>
      </c>
      <c r="J32" s="1" t="s">
        <v>2306</v>
      </c>
      <c r="M32" s="38"/>
      <c r="N32" s="38"/>
      <c r="O32" s="38"/>
      <c r="P32" s="38"/>
      <c r="Q32" s="38"/>
      <c r="R32" s="38"/>
      <c r="S32" s="38"/>
      <c r="T32" s="38"/>
      <c r="U32" s="38"/>
      <c r="V32" s="38"/>
      <c r="W32" s="38"/>
      <c r="X32" s="38"/>
      <c r="Y32" s="38"/>
      <c r="Z32" s="38"/>
    </row>
    <row r="33" spans="1:26" ht="15.75" customHeight="1" x14ac:dyDescent="0.2">
      <c r="A33" s="8" t="s">
        <v>479</v>
      </c>
      <c r="B33" s="1">
        <v>56.201017</v>
      </c>
      <c r="C33" s="1" t="s">
        <v>1587</v>
      </c>
      <c r="D33" s="1" t="s">
        <v>1524</v>
      </c>
      <c r="E33" s="1" t="s">
        <v>2280</v>
      </c>
      <c r="F33" s="1" t="s">
        <v>1528</v>
      </c>
      <c r="G33" s="1" t="s">
        <v>2273</v>
      </c>
      <c r="H33" s="1" t="s">
        <v>2263</v>
      </c>
      <c r="I33" s="1" t="s">
        <v>2256</v>
      </c>
      <c r="J33" s="1" t="s">
        <v>2307</v>
      </c>
      <c r="M33" s="38"/>
      <c r="N33" s="38"/>
      <c r="O33" s="38"/>
      <c r="P33" s="38"/>
      <c r="Q33" s="38"/>
      <c r="R33" s="38"/>
      <c r="S33" s="38"/>
      <c r="T33" s="38"/>
      <c r="U33" s="38"/>
      <c r="V33" s="38"/>
      <c r="W33" s="38"/>
      <c r="X33" s="38"/>
      <c r="Y33" s="38"/>
      <c r="Z33" s="38"/>
    </row>
    <row r="34" spans="1:26" ht="15.75" customHeight="1" x14ac:dyDescent="0.2">
      <c r="A34" s="8" t="s">
        <v>120</v>
      </c>
      <c r="B34" s="1">
        <v>45.159038000000002</v>
      </c>
      <c r="C34" s="1" t="s">
        <v>1523</v>
      </c>
      <c r="D34" s="1" t="s">
        <v>1578</v>
      </c>
      <c r="E34" s="1" t="s">
        <v>2280</v>
      </c>
      <c r="F34" s="1" t="s">
        <v>1560</v>
      </c>
      <c r="G34" s="1" t="s">
        <v>2259</v>
      </c>
      <c r="H34" s="1" t="s">
        <v>2255</v>
      </c>
      <c r="I34" s="1" t="s">
        <v>2256</v>
      </c>
      <c r="J34" s="1" t="s">
        <v>2308</v>
      </c>
      <c r="M34" s="38"/>
      <c r="N34" s="38"/>
      <c r="O34" s="38"/>
      <c r="P34" s="38"/>
      <c r="Q34" s="38"/>
      <c r="R34" s="38"/>
      <c r="S34" s="38"/>
      <c r="T34" s="38"/>
      <c r="U34" s="38"/>
      <c r="V34" s="38"/>
      <c r="W34" s="38"/>
      <c r="X34" s="38"/>
      <c r="Y34" s="38"/>
      <c r="Z34" s="38"/>
    </row>
    <row r="35" spans="1:26" ht="15.75" customHeight="1" x14ac:dyDescent="0.2">
      <c r="A35" s="8" t="s">
        <v>120</v>
      </c>
      <c r="B35" s="1">
        <v>45.159038000000002</v>
      </c>
      <c r="C35" s="1" t="s">
        <v>1523</v>
      </c>
      <c r="D35" s="1" t="s">
        <v>1578</v>
      </c>
      <c r="E35" s="1" t="s">
        <v>2280</v>
      </c>
      <c r="F35" s="1" t="s">
        <v>1560</v>
      </c>
      <c r="G35" s="1" t="s">
        <v>2309</v>
      </c>
      <c r="H35" s="1" t="s">
        <v>2255</v>
      </c>
      <c r="I35" s="1" t="s">
        <v>2256</v>
      </c>
      <c r="J35" s="1" t="s">
        <v>2310</v>
      </c>
      <c r="M35" s="38"/>
      <c r="N35" s="38"/>
      <c r="O35" s="38"/>
      <c r="P35" s="38"/>
      <c r="Q35" s="38"/>
      <c r="R35" s="38"/>
      <c r="S35" s="38"/>
      <c r="T35" s="38"/>
      <c r="U35" s="38"/>
      <c r="V35" s="38"/>
      <c r="W35" s="38"/>
      <c r="X35" s="38"/>
      <c r="Y35" s="38"/>
      <c r="Z35" s="38"/>
    </row>
    <row r="36" spans="1:26" ht="15.75" customHeight="1" x14ac:dyDescent="0.2">
      <c r="A36" s="8" t="s">
        <v>120</v>
      </c>
      <c r="B36" s="1">
        <v>45.159038000000002</v>
      </c>
      <c r="C36" s="1" t="s">
        <v>1523</v>
      </c>
      <c r="D36" s="1" t="s">
        <v>1578</v>
      </c>
      <c r="E36" s="1" t="s">
        <v>2280</v>
      </c>
      <c r="F36" s="1" t="s">
        <v>1560</v>
      </c>
      <c r="G36" s="1" t="s">
        <v>2262</v>
      </c>
      <c r="H36" s="1" t="s">
        <v>2260</v>
      </c>
      <c r="I36" s="1" t="s">
        <v>2256</v>
      </c>
      <c r="J36" s="1" t="s">
        <v>2311</v>
      </c>
      <c r="M36" s="38"/>
      <c r="N36" s="38"/>
      <c r="O36" s="38"/>
      <c r="P36" s="38"/>
      <c r="Q36" s="38"/>
      <c r="R36" s="38"/>
      <c r="S36" s="38"/>
      <c r="T36" s="38"/>
      <c r="U36" s="38"/>
      <c r="V36" s="38"/>
      <c r="W36" s="38"/>
      <c r="X36" s="38"/>
      <c r="Y36" s="38"/>
      <c r="Z36" s="38"/>
    </row>
    <row r="37" spans="1:26" ht="15.75" customHeight="1" x14ac:dyDescent="0.2">
      <c r="A37" s="8" t="s">
        <v>126</v>
      </c>
      <c r="B37" s="1">
        <v>66.380555000000001</v>
      </c>
      <c r="C37" s="1" t="s">
        <v>1523</v>
      </c>
      <c r="D37" s="1" t="s">
        <v>1524</v>
      </c>
      <c r="E37" s="1" t="s">
        <v>2253</v>
      </c>
      <c r="F37" s="1" t="s">
        <v>1528</v>
      </c>
      <c r="G37" s="1" t="s">
        <v>2266</v>
      </c>
      <c r="H37" s="1" t="s">
        <v>2255</v>
      </c>
      <c r="I37" s="1" t="s">
        <v>2256</v>
      </c>
      <c r="J37" s="1" t="s">
        <v>2312</v>
      </c>
      <c r="M37" s="38"/>
      <c r="N37" s="38"/>
      <c r="O37" s="38"/>
      <c r="P37" s="38"/>
      <c r="Q37" s="38"/>
      <c r="R37" s="38"/>
      <c r="S37" s="38"/>
      <c r="T37" s="38"/>
      <c r="U37" s="38"/>
      <c r="V37" s="38"/>
      <c r="W37" s="38"/>
      <c r="X37" s="38"/>
      <c r="Y37" s="38"/>
      <c r="Z37" s="38"/>
    </row>
    <row r="38" spans="1:26" ht="15.75" customHeight="1" x14ac:dyDescent="0.2">
      <c r="A38" s="8" t="s">
        <v>126</v>
      </c>
      <c r="B38" s="1">
        <v>66.380555000000001</v>
      </c>
      <c r="C38" s="1" t="s">
        <v>1523</v>
      </c>
      <c r="D38" s="1" t="s">
        <v>1524</v>
      </c>
      <c r="E38" s="1" t="s">
        <v>2253</v>
      </c>
      <c r="F38" s="1" t="s">
        <v>1528</v>
      </c>
      <c r="G38" s="1" t="s">
        <v>2273</v>
      </c>
      <c r="H38" s="1" t="s">
        <v>2260</v>
      </c>
      <c r="I38" s="1" t="s">
        <v>2256</v>
      </c>
      <c r="J38" s="1" t="s">
        <v>2313</v>
      </c>
      <c r="M38" s="38"/>
      <c r="N38" s="38"/>
      <c r="O38" s="38"/>
      <c r="P38" s="38"/>
      <c r="Q38" s="38"/>
      <c r="R38" s="38"/>
      <c r="S38" s="38"/>
      <c r="T38" s="38"/>
      <c r="U38" s="38"/>
      <c r="V38" s="38"/>
      <c r="W38" s="38"/>
      <c r="X38" s="38"/>
      <c r="Y38" s="38"/>
      <c r="Z38" s="38"/>
    </row>
    <row r="39" spans="1:26" ht="15.75" customHeight="1" x14ac:dyDescent="0.2">
      <c r="A39" s="8" t="s">
        <v>126</v>
      </c>
      <c r="B39" s="1">
        <v>66.380555000000001</v>
      </c>
      <c r="C39" s="1" t="s">
        <v>1523</v>
      </c>
      <c r="D39" s="1" t="s">
        <v>1524</v>
      </c>
      <c r="E39" s="1" t="s">
        <v>2253</v>
      </c>
      <c r="F39" s="1" t="s">
        <v>1528</v>
      </c>
      <c r="G39" s="1" t="s">
        <v>2287</v>
      </c>
      <c r="H39" s="1" t="s">
        <v>2260</v>
      </c>
      <c r="I39" s="1" t="s">
        <v>2256</v>
      </c>
      <c r="J39" s="1" t="s">
        <v>2314</v>
      </c>
      <c r="M39" s="38"/>
      <c r="N39" s="38"/>
      <c r="O39" s="38"/>
      <c r="P39" s="38"/>
      <c r="Q39" s="38"/>
      <c r="R39" s="38"/>
      <c r="S39" s="38"/>
      <c r="T39" s="38"/>
      <c r="U39" s="38"/>
      <c r="V39" s="38"/>
      <c r="W39" s="38"/>
      <c r="X39" s="38"/>
      <c r="Y39" s="38"/>
      <c r="Z39" s="38"/>
    </row>
    <row r="40" spans="1:26" ht="15.75" customHeight="1" x14ac:dyDescent="0.2">
      <c r="A40" s="8" t="s">
        <v>132</v>
      </c>
      <c r="B40" s="1">
        <v>41.430008999999998</v>
      </c>
      <c r="C40" s="1" t="s">
        <v>1587</v>
      </c>
      <c r="D40" s="1" t="s">
        <v>1524</v>
      </c>
      <c r="E40" s="1" t="s">
        <v>1525</v>
      </c>
      <c r="F40" s="1" t="s">
        <v>1560</v>
      </c>
      <c r="G40" s="1" t="s">
        <v>2254</v>
      </c>
      <c r="H40" s="1" t="s">
        <v>2255</v>
      </c>
      <c r="I40" s="1" t="s">
        <v>2256</v>
      </c>
      <c r="J40" s="1" t="s">
        <v>2315</v>
      </c>
      <c r="M40" s="38"/>
      <c r="N40" s="38"/>
      <c r="O40" s="38"/>
      <c r="P40" s="38"/>
      <c r="Q40" s="38"/>
      <c r="R40" s="38"/>
      <c r="S40" s="38"/>
      <c r="T40" s="38"/>
      <c r="U40" s="38"/>
      <c r="V40" s="38"/>
      <c r="W40" s="38"/>
      <c r="X40" s="38"/>
      <c r="Y40" s="38"/>
      <c r="Z40" s="38"/>
    </row>
    <row r="41" spans="1:26" ht="15.75" customHeight="1" x14ac:dyDescent="0.2">
      <c r="A41" s="8" t="s">
        <v>132</v>
      </c>
      <c r="B41" s="1">
        <v>41.430008999999998</v>
      </c>
      <c r="C41" s="1" t="s">
        <v>1587</v>
      </c>
      <c r="D41" s="1" t="s">
        <v>1524</v>
      </c>
      <c r="E41" s="1" t="s">
        <v>1525</v>
      </c>
      <c r="F41" s="1" t="s">
        <v>1560</v>
      </c>
      <c r="G41" s="1" t="s">
        <v>2299</v>
      </c>
      <c r="H41" s="1" t="s">
        <v>2260</v>
      </c>
      <c r="I41" s="1" t="s">
        <v>2285</v>
      </c>
      <c r="J41" s="1" t="s">
        <v>2316</v>
      </c>
      <c r="M41" s="38"/>
      <c r="N41" s="38"/>
      <c r="O41" s="38"/>
      <c r="P41" s="38"/>
      <c r="Q41" s="38"/>
      <c r="R41" s="38"/>
      <c r="S41" s="38"/>
      <c r="T41" s="38"/>
      <c r="U41" s="38"/>
      <c r="V41" s="38"/>
      <c r="W41" s="38"/>
      <c r="X41" s="38"/>
      <c r="Y41" s="38"/>
      <c r="Z41" s="38"/>
    </row>
    <row r="42" spans="1:26" ht="15.75" customHeight="1" x14ac:dyDescent="0.2">
      <c r="A42" s="8" t="s">
        <v>132</v>
      </c>
      <c r="B42" s="1">
        <v>41.430008999999998</v>
      </c>
      <c r="C42" s="1" t="s">
        <v>1587</v>
      </c>
      <c r="D42" s="1" t="s">
        <v>1524</v>
      </c>
      <c r="E42" s="1" t="s">
        <v>1525</v>
      </c>
      <c r="F42" s="1" t="s">
        <v>1560</v>
      </c>
      <c r="G42" s="1" t="s">
        <v>2262</v>
      </c>
      <c r="H42" s="1" t="s">
        <v>2260</v>
      </c>
      <c r="I42" s="1" t="s">
        <v>2256</v>
      </c>
      <c r="J42" s="1" t="s">
        <v>2317</v>
      </c>
      <c r="M42" s="38"/>
      <c r="N42" s="38"/>
      <c r="O42" s="38"/>
      <c r="P42" s="38"/>
      <c r="Q42" s="38"/>
      <c r="R42" s="38"/>
      <c r="S42" s="38"/>
      <c r="T42" s="38"/>
      <c r="U42" s="38"/>
      <c r="V42" s="38"/>
      <c r="W42" s="38"/>
      <c r="X42" s="38"/>
      <c r="Y42" s="38"/>
      <c r="Z42" s="38"/>
    </row>
    <row r="43" spans="1:26" ht="15.75" customHeight="1" x14ac:dyDescent="0.2">
      <c r="A43" s="8" t="s">
        <v>132</v>
      </c>
      <c r="B43" s="1">
        <v>41.430008999999998</v>
      </c>
      <c r="C43" s="1" t="s">
        <v>1587</v>
      </c>
      <c r="D43" s="1" t="s">
        <v>1524</v>
      </c>
      <c r="E43" s="1" t="s">
        <v>1525</v>
      </c>
      <c r="F43" s="1" t="s">
        <v>1560</v>
      </c>
      <c r="G43" s="1" t="s">
        <v>2259</v>
      </c>
      <c r="H43" s="1" t="s">
        <v>2263</v>
      </c>
      <c r="I43" s="1" t="s">
        <v>2256</v>
      </c>
      <c r="J43" s="1" t="s">
        <v>2318</v>
      </c>
      <c r="M43" s="38"/>
      <c r="N43" s="38"/>
      <c r="O43" s="38"/>
      <c r="P43" s="38"/>
      <c r="Q43" s="38"/>
      <c r="R43" s="38"/>
      <c r="S43" s="38"/>
      <c r="T43" s="38"/>
      <c r="U43" s="38"/>
      <c r="V43" s="38"/>
      <c r="W43" s="38"/>
      <c r="X43" s="38"/>
      <c r="Y43" s="38"/>
      <c r="Z43" s="38"/>
    </row>
    <row r="44" spans="1:26" ht="15.75" customHeight="1" x14ac:dyDescent="0.2">
      <c r="A44" s="8" t="s">
        <v>138</v>
      </c>
      <c r="B44" s="1">
        <v>36.964483000000001</v>
      </c>
      <c r="C44" s="1" t="s">
        <v>1523</v>
      </c>
      <c r="D44" s="1" t="s">
        <v>1524</v>
      </c>
      <c r="E44" s="1" t="s">
        <v>2253</v>
      </c>
      <c r="F44" s="1" t="s">
        <v>1560</v>
      </c>
      <c r="G44" s="1" t="s">
        <v>2290</v>
      </c>
      <c r="H44" s="1" t="s">
        <v>2255</v>
      </c>
      <c r="I44" s="1" t="s">
        <v>2256</v>
      </c>
      <c r="J44" s="1" t="s">
        <v>2319</v>
      </c>
      <c r="M44" s="38"/>
      <c r="N44" s="38"/>
      <c r="O44" s="38"/>
      <c r="P44" s="38"/>
      <c r="Q44" s="38"/>
      <c r="R44" s="38"/>
      <c r="S44" s="38"/>
      <c r="T44" s="38"/>
      <c r="U44" s="38"/>
      <c r="V44" s="38"/>
      <c r="W44" s="38"/>
      <c r="X44" s="38"/>
      <c r="Y44" s="38"/>
      <c r="Z44" s="38"/>
    </row>
    <row r="45" spans="1:26" ht="15.75" customHeight="1" x14ac:dyDescent="0.2">
      <c r="A45" s="8" t="s">
        <v>144</v>
      </c>
      <c r="B45" s="1">
        <v>60.055875999999998</v>
      </c>
      <c r="C45" s="1" t="s">
        <v>1523</v>
      </c>
      <c r="D45" s="1" t="s">
        <v>1524</v>
      </c>
      <c r="E45" s="1" t="s">
        <v>1525</v>
      </c>
      <c r="F45" s="1" t="s">
        <v>1560</v>
      </c>
      <c r="G45" s="1" t="s">
        <v>2259</v>
      </c>
      <c r="H45" s="1" t="s">
        <v>2255</v>
      </c>
      <c r="I45" s="1" t="s">
        <v>2256</v>
      </c>
      <c r="J45" s="1" t="s">
        <v>2320</v>
      </c>
      <c r="M45" s="38"/>
      <c r="N45" s="38"/>
      <c r="O45" s="38"/>
      <c r="P45" s="38"/>
      <c r="Q45" s="38"/>
      <c r="R45" s="38"/>
      <c r="S45" s="38"/>
      <c r="T45" s="38"/>
      <c r="U45" s="38"/>
      <c r="V45" s="38"/>
      <c r="W45" s="38"/>
      <c r="X45" s="38"/>
      <c r="Y45" s="38"/>
      <c r="Z45" s="38"/>
    </row>
    <row r="46" spans="1:26" ht="15.75" customHeight="1" x14ac:dyDescent="0.2">
      <c r="A46" s="8" t="s">
        <v>144</v>
      </c>
      <c r="B46" s="1">
        <v>60.055875999999998</v>
      </c>
      <c r="C46" s="1" t="s">
        <v>1523</v>
      </c>
      <c r="D46" s="1" t="s">
        <v>1524</v>
      </c>
      <c r="E46" s="1" t="s">
        <v>1525</v>
      </c>
      <c r="F46" s="1" t="s">
        <v>1560</v>
      </c>
      <c r="G46" s="1" t="s">
        <v>2254</v>
      </c>
      <c r="H46" s="1" t="s">
        <v>2255</v>
      </c>
      <c r="I46" s="1" t="s">
        <v>2256</v>
      </c>
      <c r="J46" s="1" t="s">
        <v>2321</v>
      </c>
      <c r="M46" s="38"/>
      <c r="N46" s="38"/>
      <c r="O46" s="38"/>
      <c r="P46" s="38"/>
      <c r="Q46" s="38"/>
      <c r="R46" s="38"/>
      <c r="S46" s="38"/>
      <c r="T46" s="38"/>
      <c r="U46" s="38"/>
      <c r="V46" s="38"/>
      <c r="W46" s="38"/>
      <c r="X46" s="38"/>
      <c r="Y46" s="38"/>
      <c r="Z46" s="38"/>
    </row>
    <row r="47" spans="1:26" ht="15.75" customHeight="1" x14ac:dyDescent="0.2">
      <c r="A47" s="8" t="s">
        <v>144</v>
      </c>
      <c r="B47" s="1">
        <v>60.055875999999998</v>
      </c>
      <c r="C47" s="1" t="s">
        <v>1523</v>
      </c>
      <c r="D47" s="1" t="s">
        <v>1524</v>
      </c>
      <c r="E47" s="1" t="s">
        <v>1525</v>
      </c>
      <c r="F47" s="1" t="s">
        <v>1560</v>
      </c>
      <c r="G47" s="1" t="s">
        <v>2262</v>
      </c>
      <c r="H47" s="1" t="s">
        <v>2263</v>
      </c>
      <c r="I47" s="1" t="s">
        <v>2256</v>
      </c>
      <c r="J47" s="1" t="s">
        <v>2322</v>
      </c>
      <c r="M47" s="38"/>
      <c r="N47" s="38"/>
      <c r="O47" s="38"/>
      <c r="P47" s="38"/>
      <c r="Q47" s="38"/>
      <c r="R47" s="38"/>
      <c r="S47" s="38"/>
      <c r="T47" s="38"/>
      <c r="U47" s="38"/>
      <c r="V47" s="38"/>
      <c r="W47" s="38"/>
      <c r="X47" s="38"/>
      <c r="Y47" s="38"/>
      <c r="Z47" s="38"/>
    </row>
    <row r="48" spans="1:26" ht="15.75" customHeight="1" x14ac:dyDescent="0.2">
      <c r="A48" s="8" t="s">
        <v>486</v>
      </c>
      <c r="B48" s="1">
        <v>59.020947</v>
      </c>
      <c r="C48" s="1" t="s">
        <v>1587</v>
      </c>
      <c r="D48" s="1" t="s">
        <v>1524</v>
      </c>
      <c r="E48" s="1" t="s">
        <v>2280</v>
      </c>
      <c r="F48" s="1" t="s">
        <v>1546</v>
      </c>
      <c r="G48" s="1" t="s">
        <v>2290</v>
      </c>
      <c r="H48" s="1" t="s">
        <v>2263</v>
      </c>
      <c r="I48" s="1" t="s">
        <v>2256</v>
      </c>
      <c r="J48" s="1" t="s">
        <v>2323</v>
      </c>
      <c r="M48" s="38"/>
      <c r="N48" s="38"/>
      <c r="O48" s="38"/>
      <c r="P48" s="38"/>
      <c r="Q48" s="38"/>
      <c r="R48" s="38"/>
      <c r="S48" s="38"/>
      <c r="T48" s="38"/>
      <c r="U48" s="38"/>
      <c r="V48" s="38"/>
      <c r="W48" s="38"/>
      <c r="X48" s="38"/>
      <c r="Y48" s="38"/>
      <c r="Z48" s="38"/>
    </row>
    <row r="49" spans="1:26" ht="15.75" customHeight="1" x14ac:dyDescent="0.2">
      <c r="A49" s="8" t="s">
        <v>149</v>
      </c>
      <c r="B49" s="1">
        <v>41.309426999999999</v>
      </c>
      <c r="C49" s="1" t="s">
        <v>1587</v>
      </c>
      <c r="D49" s="1" t="s">
        <v>1524</v>
      </c>
      <c r="E49" s="1" t="s">
        <v>1525</v>
      </c>
      <c r="F49" s="1" t="s">
        <v>1546</v>
      </c>
      <c r="G49" s="1" t="s">
        <v>2299</v>
      </c>
      <c r="H49" s="1" t="s">
        <v>2260</v>
      </c>
      <c r="I49" s="1" t="s">
        <v>2285</v>
      </c>
      <c r="J49" s="1" t="s">
        <v>2324</v>
      </c>
      <c r="M49" s="38"/>
      <c r="N49" s="38"/>
      <c r="O49" s="38"/>
      <c r="P49" s="38"/>
      <c r="Q49" s="38"/>
      <c r="R49" s="38"/>
      <c r="S49" s="38"/>
      <c r="T49" s="38"/>
      <c r="U49" s="38"/>
      <c r="V49" s="38"/>
      <c r="W49" s="38"/>
      <c r="X49" s="38"/>
      <c r="Y49" s="38"/>
      <c r="Z49" s="38"/>
    </row>
    <row r="50" spans="1:26" ht="15.75" customHeight="1" x14ac:dyDescent="0.2">
      <c r="A50" s="8" t="s">
        <v>149</v>
      </c>
      <c r="B50" s="1">
        <v>41.309426999999999</v>
      </c>
      <c r="C50" s="1" t="s">
        <v>1587</v>
      </c>
      <c r="D50" s="1" t="s">
        <v>1524</v>
      </c>
      <c r="E50" s="1" t="s">
        <v>1525</v>
      </c>
      <c r="F50" s="1" t="s">
        <v>1546</v>
      </c>
      <c r="G50" s="1" t="s">
        <v>2262</v>
      </c>
      <c r="H50" s="1" t="s">
        <v>2260</v>
      </c>
      <c r="I50" s="1" t="s">
        <v>2256</v>
      </c>
      <c r="J50" s="1" t="s">
        <v>2325</v>
      </c>
      <c r="M50" s="38"/>
      <c r="N50" s="38"/>
      <c r="O50" s="38"/>
      <c r="P50" s="38"/>
      <c r="Q50" s="38"/>
      <c r="R50" s="38"/>
      <c r="S50" s="38"/>
      <c r="T50" s="38"/>
      <c r="U50" s="38"/>
      <c r="V50" s="38"/>
      <c r="W50" s="38"/>
      <c r="X50" s="38"/>
      <c r="Y50" s="38"/>
      <c r="Z50" s="38"/>
    </row>
    <row r="51" spans="1:26" ht="15.75" customHeight="1" x14ac:dyDescent="0.2">
      <c r="A51" s="8" t="s">
        <v>380</v>
      </c>
      <c r="B51" s="1">
        <v>57.764361999999998</v>
      </c>
      <c r="C51" s="1" t="s">
        <v>1587</v>
      </c>
      <c r="D51" s="1" t="s">
        <v>1524</v>
      </c>
      <c r="E51" s="1" t="s">
        <v>2280</v>
      </c>
      <c r="F51" s="1" t="s">
        <v>1528</v>
      </c>
      <c r="G51" s="1" t="s">
        <v>2273</v>
      </c>
      <c r="H51" s="1" t="s">
        <v>2255</v>
      </c>
      <c r="I51" s="1" t="s">
        <v>2274</v>
      </c>
      <c r="J51" s="1" t="s">
        <v>2326</v>
      </c>
      <c r="M51" s="38"/>
      <c r="N51" s="38"/>
      <c r="O51" s="38"/>
      <c r="P51" s="38"/>
      <c r="Q51" s="38"/>
      <c r="R51" s="38"/>
      <c r="S51" s="38"/>
      <c r="T51" s="38"/>
      <c r="U51" s="38"/>
      <c r="V51" s="38"/>
      <c r="W51" s="38"/>
      <c r="X51" s="38"/>
      <c r="Y51" s="38"/>
      <c r="Z51" s="38"/>
    </row>
    <row r="52" spans="1:26" ht="15.75" customHeight="1" x14ac:dyDescent="0.2">
      <c r="A52" s="8" t="s">
        <v>380</v>
      </c>
      <c r="B52" s="1">
        <v>57.764361999999998</v>
      </c>
      <c r="C52" s="1" t="s">
        <v>1587</v>
      </c>
      <c r="D52" s="1" t="s">
        <v>1524</v>
      </c>
      <c r="E52" s="1" t="s">
        <v>2280</v>
      </c>
      <c r="F52" s="1" t="s">
        <v>1528</v>
      </c>
      <c r="G52" s="1" t="s">
        <v>2273</v>
      </c>
      <c r="H52" s="1" t="s">
        <v>2255</v>
      </c>
      <c r="I52" s="1" t="s">
        <v>2285</v>
      </c>
      <c r="J52" s="1" t="s">
        <v>2327</v>
      </c>
      <c r="M52" s="38"/>
      <c r="N52" s="38"/>
      <c r="O52" s="38"/>
      <c r="P52" s="38"/>
      <c r="Q52" s="38"/>
      <c r="R52" s="38"/>
      <c r="S52" s="38"/>
      <c r="T52" s="38"/>
      <c r="U52" s="38"/>
      <c r="V52" s="38"/>
      <c r="W52" s="38"/>
      <c r="X52" s="38"/>
      <c r="Y52" s="38"/>
      <c r="Z52" s="38"/>
    </row>
    <row r="53" spans="1:26" ht="15.75" customHeight="1" x14ac:dyDescent="0.2">
      <c r="A53" s="8" t="s">
        <v>380</v>
      </c>
      <c r="B53" s="1">
        <v>57.764361999999998</v>
      </c>
      <c r="C53" s="1" t="s">
        <v>1587</v>
      </c>
      <c r="D53" s="1" t="s">
        <v>1524</v>
      </c>
      <c r="E53" s="1" t="s">
        <v>2280</v>
      </c>
      <c r="F53" s="1" t="s">
        <v>1528</v>
      </c>
      <c r="G53" s="1" t="s">
        <v>2266</v>
      </c>
      <c r="H53" s="1" t="s">
        <v>2255</v>
      </c>
      <c r="I53" s="1" t="s">
        <v>2256</v>
      </c>
      <c r="J53" s="1" t="s">
        <v>2328</v>
      </c>
      <c r="M53" s="38"/>
      <c r="N53" s="38"/>
      <c r="O53" s="38"/>
      <c r="P53" s="38"/>
      <c r="Q53" s="38"/>
      <c r="R53" s="38"/>
      <c r="S53" s="38"/>
      <c r="T53" s="38"/>
      <c r="U53" s="38"/>
      <c r="V53" s="38"/>
      <c r="W53" s="38"/>
      <c r="X53" s="38"/>
      <c r="Y53" s="38"/>
      <c r="Z53" s="38"/>
    </row>
    <row r="54" spans="1:26" ht="15.75" customHeight="1" x14ac:dyDescent="0.2">
      <c r="A54" s="8" t="s">
        <v>380</v>
      </c>
      <c r="B54" s="1">
        <v>57.764361999999998</v>
      </c>
      <c r="C54" s="1" t="s">
        <v>1587</v>
      </c>
      <c r="D54" s="1" t="s">
        <v>1524</v>
      </c>
      <c r="E54" s="1" t="s">
        <v>2280</v>
      </c>
      <c r="F54" s="1" t="s">
        <v>1528</v>
      </c>
      <c r="G54" s="1" t="s">
        <v>2295</v>
      </c>
      <c r="H54" s="1" t="s">
        <v>2260</v>
      </c>
      <c r="I54" s="1" t="s">
        <v>2285</v>
      </c>
      <c r="J54" s="1" t="s">
        <v>2329</v>
      </c>
      <c r="M54" s="38"/>
      <c r="N54" s="38"/>
      <c r="O54" s="38"/>
      <c r="P54" s="38"/>
      <c r="Q54" s="38"/>
      <c r="R54" s="38"/>
      <c r="S54" s="38"/>
      <c r="T54" s="38"/>
      <c r="U54" s="38"/>
      <c r="V54" s="38"/>
      <c r="W54" s="38"/>
      <c r="X54" s="38"/>
      <c r="Y54" s="38"/>
      <c r="Z54" s="38"/>
    </row>
    <row r="55" spans="1:26" ht="15.75" customHeight="1" x14ac:dyDescent="0.2">
      <c r="A55" s="8" t="s">
        <v>387</v>
      </c>
      <c r="B55" s="1">
        <v>62.788421</v>
      </c>
      <c r="C55" s="1" t="s">
        <v>1523</v>
      </c>
      <c r="D55" s="1" t="s">
        <v>1524</v>
      </c>
      <c r="E55" s="1" t="s">
        <v>1525</v>
      </c>
      <c r="F55" s="1" t="s">
        <v>1528</v>
      </c>
      <c r="G55" s="1" t="s">
        <v>2302</v>
      </c>
      <c r="H55" s="1" t="s">
        <v>2255</v>
      </c>
      <c r="I55" s="1" t="s">
        <v>2285</v>
      </c>
      <c r="J55" s="1" t="s">
        <v>2330</v>
      </c>
      <c r="M55" s="38"/>
      <c r="N55" s="38"/>
      <c r="O55" s="38"/>
      <c r="P55" s="38"/>
      <c r="Q55" s="38"/>
      <c r="R55" s="38"/>
      <c r="S55" s="38"/>
      <c r="T55" s="38"/>
      <c r="U55" s="38"/>
      <c r="V55" s="38"/>
      <c r="W55" s="38"/>
      <c r="X55" s="38"/>
      <c r="Y55" s="38"/>
      <c r="Z55" s="38"/>
    </row>
    <row r="56" spans="1:26" ht="15.75" customHeight="1" x14ac:dyDescent="0.2">
      <c r="A56" s="8" t="s">
        <v>387</v>
      </c>
      <c r="B56" s="1">
        <v>62.788421</v>
      </c>
      <c r="C56" s="1" t="s">
        <v>1523</v>
      </c>
      <c r="D56" s="1" t="s">
        <v>1524</v>
      </c>
      <c r="E56" s="1" t="s">
        <v>1525</v>
      </c>
      <c r="F56" s="1" t="s">
        <v>1528</v>
      </c>
      <c r="G56" s="1" t="s">
        <v>2266</v>
      </c>
      <c r="H56" s="1" t="s">
        <v>2255</v>
      </c>
      <c r="I56" s="1" t="s">
        <v>2256</v>
      </c>
      <c r="J56" s="1" t="s">
        <v>2331</v>
      </c>
      <c r="M56" s="38"/>
      <c r="N56" s="38"/>
      <c r="O56" s="38"/>
      <c r="P56" s="38"/>
      <c r="Q56" s="38"/>
      <c r="R56" s="38"/>
      <c r="S56" s="38"/>
      <c r="T56" s="38"/>
      <c r="U56" s="38"/>
      <c r="V56" s="38"/>
      <c r="W56" s="38"/>
      <c r="X56" s="38"/>
      <c r="Y56" s="38"/>
      <c r="Z56" s="38"/>
    </row>
    <row r="57" spans="1:26" ht="15.75" customHeight="1" x14ac:dyDescent="0.2">
      <c r="A57" s="8" t="s">
        <v>387</v>
      </c>
      <c r="B57" s="1">
        <v>62.788421</v>
      </c>
      <c r="C57" s="1" t="s">
        <v>1523</v>
      </c>
      <c r="D57" s="1" t="s">
        <v>1524</v>
      </c>
      <c r="E57" s="1" t="s">
        <v>1525</v>
      </c>
      <c r="F57" s="1" t="s">
        <v>1528</v>
      </c>
      <c r="G57" s="1" t="s">
        <v>2287</v>
      </c>
      <c r="H57" s="1" t="s">
        <v>2260</v>
      </c>
      <c r="I57" s="1" t="s">
        <v>2256</v>
      </c>
      <c r="J57" s="1" t="s">
        <v>2332</v>
      </c>
      <c r="M57" s="38"/>
      <c r="N57" s="38"/>
      <c r="O57" s="38"/>
      <c r="P57" s="38"/>
      <c r="Q57" s="38"/>
      <c r="R57" s="38"/>
      <c r="S57" s="38"/>
      <c r="T57" s="38"/>
      <c r="U57" s="38"/>
      <c r="V57" s="38"/>
      <c r="W57" s="38"/>
      <c r="X57" s="38"/>
      <c r="Y57" s="38"/>
      <c r="Z57" s="38"/>
    </row>
    <row r="58" spans="1:26" ht="15.75" customHeight="1" x14ac:dyDescent="0.2">
      <c r="A58" s="8" t="s">
        <v>387</v>
      </c>
      <c r="B58" s="1">
        <v>62.788421</v>
      </c>
      <c r="C58" s="1" t="s">
        <v>1523</v>
      </c>
      <c r="D58" s="1" t="s">
        <v>1524</v>
      </c>
      <c r="E58" s="1" t="s">
        <v>1525</v>
      </c>
      <c r="F58" s="1" t="s">
        <v>1528</v>
      </c>
      <c r="G58" s="1" t="s">
        <v>2262</v>
      </c>
      <c r="H58" s="1" t="s">
        <v>2260</v>
      </c>
      <c r="I58" s="1" t="s">
        <v>2256</v>
      </c>
      <c r="J58" s="1" t="s">
        <v>2333</v>
      </c>
      <c r="M58" s="38"/>
      <c r="N58" s="38"/>
      <c r="O58" s="38"/>
      <c r="P58" s="38"/>
      <c r="Q58" s="38"/>
      <c r="R58" s="38"/>
      <c r="S58" s="38"/>
      <c r="T58" s="38"/>
      <c r="U58" s="38"/>
      <c r="V58" s="38"/>
      <c r="W58" s="38"/>
      <c r="X58" s="38"/>
      <c r="Y58" s="38"/>
      <c r="Z58" s="38"/>
    </row>
    <row r="59" spans="1:26" ht="15.75" customHeight="1" x14ac:dyDescent="0.2">
      <c r="A59" s="8" t="s">
        <v>394</v>
      </c>
      <c r="B59" s="1">
        <v>46.864753999999998</v>
      </c>
      <c r="C59" s="1" t="s">
        <v>1523</v>
      </c>
      <c r="D59" s="1" t="s">
        <v>1524</v>
      </c>
      <c r="E59" s="1" t="s">
        <v>2280</v>
      </c>
      <c r="F59" s="1" t="s">
        <v>1528</v>
      </c>
      <c r="G59" s="1" t="s">
        <v>2302</v>
      </c>
      <c r="H59" s="1" t="s">
        <v>2255</v>
      </c>
      <c r="I59" s="1" t="s">
        <v>2285</v>
      </c>
      <c r="J59" s="1" t="s">
        <v>2330</v>
      </c>
      <c r="M59" s="38"/>
      <c r="N59" s="38"/>
      <c r="O59" s="38"/>
      <c r="P59" s="38"/>
      <c r="Q59" s="38"/>
      <c r="R59" s="38"/>
      <c r="S59" s="38"/>
      <c r="T59" s="38"/>
      <c r="U59" s="38"/>
      <c r="V59" s="38"/>
      <c r="W59" s="38"/>
      <c r="X59" s="38"/>
      <c r="Y59" s="38"/>
      <c r="Z59" s="38"/>
    </row>
    <row r="60" spans="1:26" ht="15.75" customHeight="1" x14ac:dyDescent="0.2">
      <c r="A60" s="8" t="s">
        <v>394</v>
      </c>
      <c r="B60" s="1">
        <v>46.864753999999998</v>
      </c>
      <c r="C60" s="1" t="s">
        <v>1523</v>
      </c>
      <c r="D60" s="1" t="s">
        <v>1524</v>
      </c>
      <c r="E60" s="1" t="s">
        <v>2280</v>
      </c>
      <c r="F60" s="1" t="s">
        <v>1528</v>
      </c>
      <c r="G60" s="1" t="s">
        <v>2273</v>
      </c>
      <c r="H60" s="1" t="s">
        <v>2255</v>
      </c>
      <c r="I60" s="1" t="s">
        <v>2285</v>
      </c>
      <c r="J60" s="1" t="s">
        <v>2334</v>
      </c>
      <c r="M60" s="38"/>
      <c r="N60" s="38"/>
      <c r="O60" s="38"/>
      <c r="P60" s="38"/>
      <c r="Q60" s="38"/>
      <c r="R60" s="38"/>
      <c r="S60" s="38"/>
      <c r="T60" s="38"/>
      <c r="U60" s="38"/>
      <c r="V60" s="38"/>
      <c r="W60" s="38"/>
      <c r="X60" s="38"/>
      <c r="Y60" s="38"/>
      <c r="Z60" s="38"/>
    </row>
    <row r="61" spans="1:26" ht="15.75" customHeight="1" x14ac:dyDescent="0.2">
      <c r="A61" s="8" t="s">
        <v>400</v>
      </c>
      <c r="B61" s="1">
        <v>24.304514999999999</v>
      </c>
      <c r="C61" s="1" t="s">
        <v>1523</v>
      </c>
      <c r="D61" s="1" t="s">
        <v>1578</v>
      </c>
      <c r="E61" s="1" t="s">
        <v>1525</v>
      </c>
      <c r="F61" s="1" t="s">
        <v>1560</v>
      </c>
      <c r="G61" s="1" t="s">
        <v>2295</v>
      </c>
      <c r="H61" s="1" t="s">
        <v>2260</v>
      </c>
      <c r="I61" s="1" t="s">
        <v>2285</v>
      </c>
      <c r="J61" s="1" t="s">
        <v>2335</v>
      </c>
      <c r="M61" s="38"/>
      <c r="N61" s="38"/>
      <c r="O61" s="38"/>
      <c r="P61" s="38"/>
      <c r="Q61" s="38"/>
      <c r="R61" s="38"/>
      <c r="S61" s="38"/>
      <c r="T61" s="38"/>
      <c r="U61" s="38"/>
      <c r="V61" s="38"/>
      <c r="W61" s="38"/>
      <c r="X61" s="38"/>
      <c r="Y61" s="38"/>
      <c r="Z61" s="38"/>
    </row>
    <row r="62" spans="1:26" ht="15.75" customHeight="1" x14ac:dyDescent="0.2">
      <c r="A62" s="8" t="s">
        <v>400</v>
      </c>
      <c r="B62" s="1">
        <v>24.304514999999999</v>
      </c>
      <c r="C62" s="1" t="s">
        <v>1523</v>
      </c>
      <c r="D62" s="1" t="s">
        <v>1578</v>
      </c>
      <c r="E62" s="1" t="s">
        <v>1525</v>
      </c>
      <c r="F62" s="1" t="s">
        <v>1560</v>
      </c>
      <c r="G62" s="1" t="s">
        <v>2299</v>
      </c>
      <c r="H62" s="1" t="s">
        <v>2260</v>
      </c>
      <c r="I62" s="1" t="s">
        <v>2285</v>
      </c>
      <c r="J62" s="1" t="s">
        <v>2336</v>
      </c>
      <c r="M62" s="38"/>
      <c r="N62" s="38"/>
      <c r="O62" s="38"/>
      <c r="P62" s="38"/>
      <c r="Q62" s="38"/>
      <c r="R62" s="38"/>
      <c r="S62" s="38"/>
      <c r="T62" s="38"/>
      <c r="U62" s="38"/>
      <c r="V62" s="38"/>
      <c r="W62" s="38"/>
      <c r="X62" s="38"/>
      <c r="Y62" s="38"/>
      <c r="Z62" s="38"/>
    </row>
    <row r="63" spans="1:26" ht="15.75" customHeight="1" x14ac:dyDescent="0.2">
      <c r="A63" s="8" t="s">
        <v>400</v>
      </c>
      <c r="B63" s="1">
        <v>24.304514999999999</v>
      </c>
      <c r="C63" s="1" t="s">
        <v>1523</v>
      </c>
      <c r="D63" s="1" t="s">
        <v>1578</v>
      </c>
      <c r="E63" s="1" t="s">
        <v>1525</v>
      </c>
      <c r="F63" s="1" t="s">
        <v>1560</v>
      </c>
      <c r="G63" s="1" t="s">
        <v>2262</v>
      </c>
      <c r="H63" s="1" t="s">
        <v>2260</v>
      </c>
      <c r="I63" s="1" t="s">
        <v>2256</v>
      </c>
      <c r="J63" s="1" t="s">
        <v>2337</v>
      </c>
      <c r="M63" s="38"/>
      <c r="N63" s="38"/>
      <c r="O63" s="38"/>
      <c r="P63" s="38"/>
      <c r="Q63" s="38"/>
      <c r="R63" s="38"/>
      <c r="S63" s="38"/>
      <c r="T63" s="38"/>
      <c r="U63" s="38"/>
      <c r="V63" s="38"/>
      <c r="W63" s="38"/>
      <c r="X63" s="38"/>
      <c r="Y63" s="38"/>
      <c r="Z63" s="38"/>
    </row>
    <row r="64" spans="1:26" ht="15.75" customHeight="1" x14ac:dyDescent="0.2">
      <c r="A64" s="8" t="s">
        <v>400</v>
      </c>
      <c r="B64" s="1">
        <v>24.304514999999999</v>
      </c>
      <c r="C64" s="1" t="s">
        <v>1523</v>
      </c>
      <c r="D64" s="1" t="s">
        <v>1578</v>
      </c>
      <c r="E64" s="1" t="s">
        <v>1525</v>
      </c>
      <c r="F64" s="1" t="s">
        <v>1560</v>
      </c>
      <c r="G64" s="1" t="s">
        <v>2259</v>
      </c>
      <c r="H64" s="1" t="s">
        <v>2263</v>
      </c>
      <c r="I64" s="1" t="s">
        <v>2256</v>
      </c>
      <c r="J64" s="1" t="s">
        <v>2338</v>
      </c>
      <c r="M64" s="38"/>
      <c r="N64" s="38"/>
      <c r="O64" s="38"/>
      <c r="P64" s="38"/>
      <c r="Q64" s="38"/>
      <c r="R64" s="38"/>
      <c r="S64" s="38"/>
      <c r="T64" s="38"/>
      <c r="U64" s="38"/>
      <c r="V64" s="38"/>
      <c r="W64" s="38"/>
      <c r="X64" s="38"/>
      <c r="Y64" s="38"/>
      <c r="Z64" s="38"/>
    </row>
    <row r="65" spans="1:26" ht="15.75" customHeight="1" x14ac:dyDescent="0.2">
      <c r="A65" s="8" t="s">
        <v>406</v>
      </c>
      <c r="B65" s="1">
        <v>23.682782</v>
      </c>
      <c r="C65" s="1" t="s">
        <v>1523</v>
      </c>
      <c r="D65" s="1" t="s">
        <v>1524</v>
      </c>
      <c r="E65" s="1" t="s">
        <v>1525</v>
      </c>
      <c r="F65" s="1" t="s">
        <v>1601</v>
      </c>
      <c r="G65" s="1" t="s">
        <v>2254</v>
      </c>
      <c r="H65" s="1" t="s">
        <v>2255</v>
      </c>
      <c r="I65" s="1" t="s">
        <v>2256</v>
      </c>
      <c r="J65" s="1" t="s">
        <v>2339</v>
      </c>
      <c r="M65" s="38"/>
      <c r="N65" s="38"/>
      <c r="O65" s="38"/>
      <c r="P65" s="38"/>
      <c r="Q65" s="38"/>
      <c r="R65" s="38"/>
      <c r="S65" s="38"/>
      <c r="T65" s="38"/>
      <c r="U65" s="38"/>
      <c r="V65" s="38"/>
      <c r="W65" s="38"/>
      <c r="X65" s="38"/>
      <c r="Y65" s="38"/>
      <c r="Z65" s="38"/>
    </row>
    <row r="66" spans="1:26" ht="15.75" customHeight="1" x14ac:dyDescent="0.2">
      <c r="A66" s="8" t="s">
        <v>406</v>
      </c>
      <c r="B66" s="1">
        <v>23.682782</v>
      </c>
      <c r="C66" s="1" t="s">
        <v>1523</v>
      </c>
      <c r="D66" s="1" t="s">
        <v>1524</v>
      </c>
      <c r="E66" s="1" t="s">
        <v>1525</v>
      </c>
      <c r="F66" s="1" t="s">
        <v>1601</v>
      </c>
      <c r="G66" s="1" t="s">
        <v>2266</v>
      </c>
      <c r="H66" s="1" t="s">
        <v>2255</v>
      </c>
      <c r="I66" s="1" t="s">
        <v>2256</v>
      </c>
      <c r="J66" s="1" t="s">
        <v>2340</v>
      </c>
      <c r="M66" s="38"/>
      <c r="N66" s="38"/>
      <c r="O66" s="38"/>
      <c r="P66" s="38"/>
      <c r="Q66" s="38"/>
      <c r="R66" s="38"/>
      <c r="S66" s="38"/>
      <c r="T66" s="38"/>
      <c r="U66" s="38"/>
      <c r="V66" s="38"/>
      <c r="W66" s="38"/>
      <c r="X66" s="38"/>
      <c r="Y66" s="38"/>
      <c r="Z66" s="38"/>
    </row>
    <row r="67" spans="1:26" ht="15.75" customHeight="1" x14ac:dyDescent="0.2">
      <c r="A67" s="8" t="s">
        <v>406</v>
      </c>
      <c r="B67" s="1">
        <v>23.682782</v>
      </c>
      <c r="C67" s="1" t="s">
        <v>1523</v>
      </c>
      <c r="D67" s="1" t="s">
        <v>1524</v>
      </c>
      <c r="E67" s="1" t="s">
        <v>1525</v>
      </c>
      <c r="F67" s="1" t="s">
        <v>1601</v>
      </c>
      <c r="G67" s="1" t="s">
        <v>2341</v>
      </c>
      <c r="H67" s="1" t="s">
        <v>2263</v>
      </c>
      <c r="I67" s="1" t="s">
        <v>2256</v>
      </c>
      <c r="J67" s="1" t="s">
        <v>2342</v>
      </c>
      <c r="M67" s="38"/>
      <c r="N67" s="38"/>
      <c r="O67" s="38"/>
      <c r="P67" s="38"/>
      <c r="Q67" s="38"/>
      <c r="R67" s="38"/>
      <c r="S67" s="38"/>
      <c r="T67" s="38"/>
      <c r="U67" s="38"/>
      <c r="V67" s="38"/>
      <c r="W67" s="38"/>
      <c r="X67" s="38"/>
      <c r="Y67" s="38"/>
      <c r="Z67" s="38"/>
    </row>
    <row r="68" spans="1:26" ht="15.75" customHeight="1" x14ac:dyDescent="0.2">
      <c r="A68" s="8" t="s">
        <v>412</v>
      </c>
      <c r="B68" s="1">
        <v>51.705373999999999</v>
      </c>
      <c r="C68" s="1" t="s">
        <v>1523</v>
      </c>
      <c r="D68" s="1" t="s">
        <v>1524</v>
      </c>
      <c r="E68" s="1" t="s">
        <v>2343</v>
      </c>
      <c r="F68" s="1" t="s">
        <v>1528</v>
      </c>
      <c r="G68" s="1" t="s">
        <v>2344</v>
      </c>
      <c r="H68" s="1" t="s">
        <v>2260</v>
      </c>
      <c r="I68" s="1" t="s">
        <v>2274</v>
      </c>
      <c r="J68" s="1" t="s">
        <v>2345</v>
      </c>
      <c r="M68" s="38"/>
      <c r="N68" s="38"/>
      <c r="O68" s="38"/>
      <c r="P68" s="38"/>
      <c r="Q68" s="38"/>
      <c r="R68" s="38"/>
      <c r="S68" s="38"/>
      <c r="T68" s="38"/>
      <c r="U68" s="38"/>
      <c r="V68" s="38"/>
      <c r="W68" s="38"/>
      <c r="X68" s="38"/>
      <c r="Y68" s="38"/>
      <c r="Z68" s="38"/>
    </row>
    <row r="69" spans="1:26" ht="15.75" customHeight="1" x14ac:dyDescent="0.2">
      <c r="A69" s="8" t="s">
        <v>412</v>
      </c>
      <c r="B69" s="1">
        <v>51.705373999999999</v>
      </c>
      <c r="C69" s="1" t="s">
        <v>1523</v>
      </c>
      <c r="D69" s="1" t="s">
        <v>1524</v>
      </c>
      <c r="E69" s="1" t="s">
        <v>2343</v>
      </c>
      <c r="F69" s="1" t="s">
        <v>1528</v>
      </c>
      <c r="G69" s="1" t="s">
        <v>2341</v>
      </c>
      <c r="H69" s="1" t="s">
        <v>2260</v>
      </c>
      <c r="I69" s="1" t="s">
        <v>2285</v>
      </c>
      <c r="J69" s="1" t="s">
        <v>2346</v>
      </c>
      <c r="M69" s="38"/>
      <c r="N69" s="38"/>
      <c r="O69" s="38"/>
      <c r="P69" s="38"/>
      <c r="Q69" s="38"/>
      <c r="R69" s="38"/>
      <c r="S69" s="38"/>
      <c r="T69" s="38"/>
      <c r="U69" s="38"/>
      <c r="V69" s="38"/>
      <c r="W69" s="38"/>
      <c r="X69" s="38"/>
      <c r="Y69" s="38"/>
      <c r="Z69" s="38"/>
    </row>
    <row r="70" spans="1:26" ht="15.75" customHeight="1" x14ac:dyDescent="0.2">
      <c r="A70" s="8" t="s">
        <v>416</v>
      </c>
      <c r="B70" s="1">
        <v>29.985558000000001</v>
      </c>
      <c r="C70" s="1" t="s">
        <v>1587</v>
      </c>
      <c r="D70" s="1" t="s">
        <v>1578</v>
      </c>
      <c r="E70" s="1" t="s">
        <v>2280</v>
      </c>
      <c r="F70" s="1" t="s">
        <v>1528</v>
      </c>
      <c r="G70" s="1" t="s">
        <v>2262</v>
      </c>
      <c r="H70" s="1" t="s">
        <v>2260</v>
      </c>
      <c r="I70" s="1" t="s">
        <v>2256</v>
      </c>
      <c r="J70" s="1" t="s">
        <v>2347</v>
      </c>
      <c r="M70" s="38"/>
      <c r="N70" s="38"/>
      <c r="O70" s="38"/>
      <c r="P70" s="38"/>
      <c r="Q70" s="38"/>
      <c r="R70" s="38"/>
      <c r="S70" s="38"/>
      <c r="T70" s="38"/>
      <c r="U70" s="38"/>
      <c r="V70" s="38"/>
      <c r="W70" s="38"/>
      <c r="X70" s="38"/>
      <c r="Y70" s="38"/>
      <c r="Z70" s="38"/>
    </row>
    <row r="71" spans="1:26" ht="15.75" customHeight="1" x14ac:dyDescent="0.2">
      <c r="A71" s="8" t="s">
        <v>425</v>
      </c>
      <c r="B71" s="1">
        <v>25.542048999999999</v>
      </c>
      <c r="C71" s="1" t="s">
        <v>1523</v>
      </c>
      <c r="D71" s="1" t="s">
        <v>1524</v>
      </c>
      <c r="E71" s="1" t="s">
        <v>2280</v>
      </c>
      <c r="F71" s="1" t="s">
        <v>1560</v>
      </c>
      <c r="G71" s="1" t="s">
        <v>2259</v>
      </c>
      <c r="H71" s="1" t="s">
        <v>2255</v>
      </c>
      <c r="I71" s="1" t="s">
        <v>2256</v>
      </c>
      <c r="J71" s="1" t="s">
        <v>2348</v>
      </c>
      <c r="M71" s="38"/>
      <c r="N71" s="38"/>
      <c r="O71" s="38"/>
      <c r="P71" s="38"/>
      <c r="Q71" s="38"/>
      <c r="R71" s="38"/>
      <c r="S71" s="38"/>
      <c r="T71" s="38"/>
      <c r="U71" s="38"/>
      <c r="V71" s="38"/>
      <c r="W71" s="38"/>
      <c r="X71" s="38"/>
      <c r="Y71" s="38"/>
      <c r="Z71" s="38"/>
    </row>
    <row r="72" spans="1:26" ht="15.75" customHeight="1" x14ac:dyDescent="0.2">
      <c r="A72" s="8" t="s">
        <v>425</v>
      </c>
      <c r="B72" s="1">
        <v>25.542048999999999</v>
      </c>
      <c r="C72" s="1" t="s">
        <v>1523</v>
      </c>
      <c r="D72" s="1" t="s">
        <v>1524</v>
      </c>
      <c r="E72" s="1" t="s">
        <v>2280</v>
      </c>
      <c r="F72" s="1" t="s">
        <v>1560</v>
      </c>
      <c r="G72" s="1" t="s">
        <v>2254</v>
      </c>
      <c r="H72" s="1" t="s">
        <v>2255</v>
      </c>
      <c r="I72" s="1" t="s">
        <v>2256</v>
      </c>
      <c r="J72" s="1" t="s">
        <v>2349</v>
      </c>
      <c r="M72" s="38"/>
      <c r="N72" s="38"/>
      <c r="O72" s="38"/>
      <c r="P72" s="38"/>
      <c r="Q72" s="38"/>
      <c r="R72" s="38"/>
      <c r="S72" s="38"/>
      <c r="T72" s="38"/>
      <c r="U72" s="38"/>
      <c r="V72" s="38"/>
      <c r="W72" s="38"/>
      <c r="X72" s="38"/>
      <c r="Y72" s="38"/>
      <c r="Z72" s="38"/>
    </row>
    <row r="73" spans="1:26" ht="15.75" customHeight="1" x14ac:dyDescent="0.2">
      <c r="A73" s="8" t="s">
        <v>425</v>
      </c>
      <c r="B73" s="1">
        <v>25.542048999999999</v>
      </c>
      <c r="C73" s="1" t="s">
        <v>1523</v>
      </c>
      <c r="D73" s="1" t="s">
        <v>1524</v>
      </c>
      <c r="E73" s="1" t="s">
        <v>2280</v>
      </c>
      <c r="F73" s="1" t="s">
        <v>1560</v>
      </c>
      <c r="G73" s="1" t="s">
        <v>2262</v>
      </c>
      <c r="H73" s="1" t="s">
        <v>2260</v>
      </c>
      <c r="I73" s="1" t="s">
        <v>2256</v>
      </c>
      <c r="J73" s="1" t="s">
        <v>2350</v>
      </c>
      <c r="M73" s="38"/>
      <c r="N73" s="38"/>
      <c r="O73" s="38"/>
      <c r="P73" s="38"/>
      <c r="Q73" s="38"/>
      <c r="R73" s="38"/>
      <c r="S73" s="38"/>
      <c r="T73" s="38"/>
      <c r="U73" s="38"/>
      <c r="V73" s="38"/>
      <c r="W73" s="38"/>
      <c r="X73" s="38"/>
      <c r="Y73" s="38"/>
      <c r="Z73" s="38"/>
    </row>
    <row r="74" spans="1:26" ht="15.75" customHeight="1" x14ac:dyDescent="0.2">
      <c r="A74" s="8" t="s">
        <v>430</v>
      </c>
      <c r="B74" s="1">
        <v>28.679690000000001</v>
      </c>
      <c r="C74" s="1" t="s">
        <v>1587</v>
      </c>
      <c r="D74" s="1" t="s">
        <v>1524</v>
      </c>
      <c r="E74" s="1" t="s">
        <v>2280</v>
      </c>
      <c r="F74" s="1" t="s">
        <v>1560</v>
      </c>
      <c r="G74" s="1" t="s">
        <v>2259</v>
      </c>
      <c r="H74" s="1" t="s">
        <v>2255</v>
      </c>
      <c r="I74" s="1" t="s">
        <v>2256</v>
      </c>
      <c r="J74" s="1" t="s">
        <v>2351</v>
      </c>
      <c r="M74" s="38"/>
      <c r="N74" s="38"/>
      <c r="O74" s="38"/>
      <c r="P74" s="38"/>
      <c r="Q74" s="38"/>
      <c r="R74" s="38"/>
      <c r="S74" s="38"/>
      <c r="T74" s="38"/>
      <c r="U74" s="38"/>
      <c r="V74" s="38"/>
      <c r="W74" s="38"/>
      <c r="X74" s="38"/>
      <c r="Y74" s="38"/>
      <c r="Z74" s="38"/>
    </row>
    <row r="75" spans="1:26" ht="15.75" customHeight="1" x14ac:dyDescent="0.2">
      <c r="A75" s="8" t="s">
        <v>430</v>
      </c>
      <c r="B75" s="1">
        <v>28.679690000000001</v>
      </c>
      <c r="C75" s="1" t="s">
        <v>1587</v>
      </c>
      <c r="D75" s="1" t="s">
        <v>1524</v>
      </c>
      <c r="E75" s="1" t="s">
        <v>2280</v>
      </c>
      <c r="F75" s="1" t="s">
        <v>1560</v>
      </c>
      <c r="G75" s="1" t="s">
        <v>2302</v>
      </c>
      <c r="H75" s="1" t="s">
        <v>2255</v>
      </c>
      <c r="I75" s="1" t="s">
        <v>2285</v>
      </c>
      <c r="J75" s="1" t="s">
        <v>2303</v>
      </c>
      <c r="M75" s="38"/>
      <c r="N75" s="38"/>
      <c r="O75" s="38"/>
      <c r="P75" s="38"/>
      <c r="Q75" s="38"/>
      <c r="R75" s="38"/>
      <c r="S75" s="38"/>
      <c r="T75" s="38"/>
      <c r="U75" s="38"/>
      <c r="V75" s="38"/>
      <c r="W75" s="38"/>
      <c r="X75" s="38"/>
      <c r="Y75" s="38"/>
      <c r="Z75" s="38"/>
    </row>
    <row r="76" spans="1:26" ht="15.75" customHeight="1" x14ac:dyDescent="0.2">
      <c r="A76" s="8" t="s">
        <v>430</v>
      </c>
      <c r="B76" s="1">
        <v>28.679690000000001</v>
      </c>
      <c r="C76" s="1" t="s">
        <v>1587</v>
      </c>
      <c r="D76" s="1" t="s">
        <v>1524</v>
      </c>
      <c r="E76" s="1" t="s">
        <v>2280</v>
      </c>
      <c r="F76" s="1" t="s">
        <v>1560</v>
      </c>
      <c r="G76" s="1" t="s">
        <v>2254</v>
      </c>
      <c r="H76" s="1" t="s">
        <v>2255</v>
      </c>
      <c r="I76" s="1" t="s">
        <v>2256</v>
      </c>
      <c r="J76" s="1" t="s">
        <v>2352</v>
      </c>
      <c r="M76" s="38"/>
      <c r="N76" s="38"/>
      <c r="O76" s="38"/>
      <c r="P76" s="38"/>
      <c r="Q76" s="38"/>
      <c r="R76" s="38"/>
      <c r="S76" s="38"/>
      <c r="T76" s="38"/>
      <c r="U76" s="38"/>
      <c r="V76" s="38"/>
      <c r="W76" s="38"/>
      <c r="X76" s="38"/>
      <c r="Y76" s="38"/>
      <c r="Z76" s="38"/>
    </row>
    <row r="77" spans="1:26" ht="15.75" customHeight="1" x14ac:dyDescent="0.2">
      <c r="A77" s="8" t="s">
        <v>430</v>
      </c>
      <c r="B77" s="1">
        <v>28.679690000000001</v>
      </c>
      <c r="C77" s="1" t="s">
        <v>1587</v>
      </c>
      <c r="D77" s="1" t="s">
        <v>1524</v>
      </c>
      <c r="E77" s="1" t="s">
        <v>2280</v>
      </c>
      <c r="F77" s="1" t="s">
        <v>1560</v>
      </c>
      <c r="G77" s="1" t="s">
        <v>2271</v>
      </c>
      <c r="H77" s="1" t="s">
        <v>2260</v>
      </c>
      <c r="I77" s="1" t="s">
        <v>2256</v>
      </c>
      <c r="J77" s="1" t="s">
        <v>2353</v>
      </c>
      <c r="M77" s="38"/>
      <c r="N77" s="38"/>
      <c r="O77" s="38"/>
      <c r="P77" s="38"/>
      <c r="Q77" s="38"/>
      <c r="R77" s="38"/>
      <c r="S77" s="38"/>
      <c r="T77" s="38"/>
      <c r="U77" s="38"/>
      <c r="V77" s="38"/>
      <c r="W77" s="38"/>
      <c r="X77" s="38"/>
      <c r="Y77" s="38"/>
      <c r="Z77" s="38"/>
    </row>
    <row r="78" spans="1:26" ht="15.75" customHeight="1" x14ac:dyDescent="0.2">
      <c r="A78" s="8" t="s">
        <v>430</v>
      </c>
      <c r="B78" s="1">
        <v>28.679690000000001</v>
      </c>
      <c r="C78" s="1" t="s">
        <v>1587</v>
      </c>
      <c r="D78" s="1" t="s">
        <v>1524</v>
      </c>
      <c r="E78" s="1" t="s">
        <v>2280</v>
      </c>
      <c r="F78" s="1" t="s">
        <v>1560</v>
      </c>
      <c r="G78" s="1" t="s">
        <v>2262</v>
      </c>
      <c r="H78" s="1" t="s">
        <v>2260</v>
      </c>
      <c r="I78" s="1" t="s">
        <v>2256</v>
      </c>
      <c r="J78" s="1" t="s">
        <v>2354</v>
      </c>
      <c r="M78" s="38"/>
      <c r="N78" s="38"/>
      <c r="O78" s="38"/>
      <c r="P78" s="38"/>
      <c r="Q78" s="38"/>
      <c r="R78" s="38"/>
      <c r="S78" s="38"/>
      <c r="T78" s="38"/>
      <c r="U78" s="38"/>
      <c r="V78" s="38"/>
      <c r="W78" s="38"/>
      <c r="X78" s="38"/>
      <c r="Y78" s="38"/>
      <c r="Z78" s="38"/>
    </row>
    <row r="79" spans="1:26" ht="15.75" customHeight="1" x14ac:dyDescent="0.2">
      <c r="A79" s="8" t="s">
        <v>430</v>
      </c>
      <c r="B79" s="1">
        <v>28.679690000000001</v>
      </c>
      <c r="C79" s="1" t="s">
        <v>1587</v>
      </c>
      <c r="D79" s="1" t="s">
        <v>1524</v>
      </c>
      <c r="E79" s="1" t="s">
        <v>2280</v>
      </c>
      <c r="F79" s="1" t="s">
        <v>1560</v>
      </c>
      <c r="G79" s="1" t="s">
        <v>2262</v>
      </c>
      <c r="H79" s="1" t="s">
        <v>2260</v>
      </c>
      <c r="I79" s="1" t="s">
        <v>2256</v>
      </c>
      <c r="J79" s="1" t="s">
        <v>2355</v>
      </c>
      <c r="M79" s="38"/>
      <c r="N79" s="38"/>
      <c r="O79" s="38"/>
      <c r="P79" s="38"/>
      <c r="Q79" s="38"/>
      <c r="R79" s="38"/>
      <c r="S79" s="38"/>
      <c r="T79" s="38"/>
      <c r="U79" s="38"/>
      <c r="V79" s="38"/>
      <c r="W79" s="38"/>
      <c r="X79" s="38"/>
      <c r="Y79" s="38"/>
      <c r="Z79" s="38"/>
    </row>
    <row r="80" spans="1:26" ht="15.75" customHeight="1" x14ac:dyDescent="0.2">
      <c r="A80" s="8" t="s">
        <v>498</v>
      </c>
      <c r="B80" s="1">
        <v>32.663231000000003</v>
      </c>
      <c r="C80" s="1" t="s">
        <v>1587</v>
      </c>
      <c r="D80" s="1" t="s">
        <v>1524</v>
      </c>
      <c r="E80" s="1" t="s">
        <v>2280</v>
      </c>
      <c r="F80" s="1" t="s">
        <v>1546</v>
      </c>
      <c r="G80" s="1" t="s">
        <v>2356</v>
      </c>
      <c r="H80" s="1" t="s">
        <v>2255</v>
      </c>
      <c r="I80" s="1" t="s">
        <v>2274</v>
      </c>
      <c r="J80" s="1" t="s">
        <v>2357</v>
      </c>
      <c r="M80" s="38"/>
      <c r="N80" s="38"/>
      <c r="O80" s="38"/>
      <c r="P80" s="38"/>
      <c r="Q80" s="38"/>
      <c r="R80" s="38"/>
      <c r="S80" s="38"/>
      <c r="T80" s="38"/>
      <c r="U80" s="38"/>
      <c r="V80" s="38"/>
      <c r="W80" s="38"/>
      <c r="X80" s="38"/>
      <c r="Y80" s="38"/>
      <c r="Z80" s="38"/>
    </row>
    <row r="81" spans="1:26" ht="15.75" customHeight="1" x14ac:dyDescent="0.2">
      <c r="A81" s="8" t="s">
        <v>438</v>
      </c>
      <c r="B81" s="1">
        <v>56.482906999999997</v>
      </c>
      <c r="C81" s="1" t="s">
        <v>1523</v>
      </c>
      <c r="D81" s="1" t="s">
        <v>1524</v>
      </c>
      <c r="E81" s="1" t="s">
        <v>1525</v>
      </c>
      <c r="F81" s="1" t="s">
        <v>1528</v>
      </c>
      <c r="G81" s="1" t="s">
        <v>2302</v>
      </c>
      <c r="H81" s="1" t="s">
        <v>2255</v>
      </c>
      <c r="I81" s="1" t="s">
        <v>2285</v>
      </c>
      <c r="J81" s="1" t="s">
        <v>2303</v>
      </c>
      <c r="M81" s="38"/>
      <c r="N81" s="38"/>
      <c r="O81" s="38"/>
      <c r="P81" s="38"/>
      <c r="Q81" s="38"/>
      <c r="R81" s="38"/>
      <c r="S81" s="38"/>
      <c r="T81" s="38"/>
      <c r="U81" s="38"/>
      <c r="V81" s="38"/>
      <c r="W81" s="38"/>
      <c r="X81" s="38"/>
      <c r="Y81" s="38"/>
      <c r="Z81" s="38"/>
    </row>
    <row r="82" spans="1:26" ht="15.75" customHeight="1" x14ac:dyDescent="0.2">
      <c r="A82" s="8" t="s">
        <v>438</v>
      </c>
      <c r="B82" s="1">
        <v>56.482906999999997</v>
      </c>
      <c r="C82" s="1" t="s">
        <v>1523</v>
      </c>
      <c r="D82" s="1" t="s">
        <v>1524</v>
      </c>
      <c r="E82" s="1" t="s">
        <v>1525</v>
      </c>
      <c r="F82" s="1" t="s">
        <v>1528</v>
      </c>
      <c r="G82" s="1" t="s">
        <v>2299</v>
      </c>
      <c r="H82" s="1" t="s">
        <v>2260</v>
      </c>
      <c r="I82" s="1" t="s">
        <v>2285</v>
      </c>
      <c r="J82" s="1" t="s">
        <v>2358</v>
      </c>
      <c r="M82" s="38"/>
      <c r="N82" s="38"/>
      <c r="O82" s="38"/>
      <c r="P82" s="38"/>
      <c r="Q82" s="38"/>
      <c r="R82" s="38"/>
      <c r="S82" s="38"/>
      <c r="T82" s="38"/>
      <c r="U82" s="38"/>
      <c r="V82" s="38"/>
      <c r="W82" s="38"/>
      <c r="X82" s="38"/>
      <c r="Y82" s="38"/>
      <c r="Z82" s="38"/>
    </row>
    <row r="83" spans="1:26" ht="15.75" customHeight="1" x14ac:dyDescent="0.2">
      <c r="A83" s="8" t="s">
        <v>438</v>
      </c>
      <c r="B83" s="1">
        <v>56.482906999999997</v>
      </c>
      <c r="C83" s="1" t="s">
        <v>1523</v>
      </c>
      <c r="D83" s="1" t="s">
        <v>1524</v>
      </c>
      <c r="E83" s="1" t="s">
        <v>1525</v>
      </c>
      <c r="F83" s="1" t="s">
        <v>1528</v>
      </c>
      <c r="G83" s="1" t="s">
        <v>2262</v>
      </c>
      <c r="H83" s="1" t="s">
        <v>2260</v>
      </c>
      <c r="I83" s="1" t="s">
        <v>2256</v>
      </c>
      <c r="J83" s="1" t="s">
        <v>2359</v>
      </c>
      <c r="M83" s="38"/>
      <c r="N83" s="38"/>
      <c r="O83" s="38"/>
      <c r="P83" s="38"/>
      <c r="Q83" s="38"/>
      <c r="R83" s="38"/>
      <c r="S83" s="38"/>
      <c r="T83" s="38"/>
      <c r="U83" s="38"/>
      <c r="V83" s="38"/>
      <c r="W83" s="38"/>
      <c r="X83" s="38"/>
      <c r="Y83" s="38"/>
      <c r="Z83" s="38"/>
    </row>
    <row r="84" spans="1:26" ht="15.75" customHeight="1" x14ac:dyDescent="0.2">
      <c r="A84" s="8" t="s">
        <v>438</v>
      </c>
      <c r="B84" s="1">
        <v>56.482906999999997</v>
      </c>
      <c r="C84" s="1" t="s">
        <v>1523</v>
      </c>
      <c r="D84" s="1" t="s">
        <v>1524</v>
      </c>
      <c r="E84" s="1" t="s">
        <v>1525</v>
      </c>
      <c r="F84" s="1" t="s">
        <v>1528</v>
      </c>
      <c r="G84" s="1" t="s">
        <v>2273</v>
      </c>
      <c r="H84" s="1" t="s">
        <v>2263</v>
      </c>
      <c r="I84" s="1" t="s">
        <v>2256</v>
      </c>
      <c r="J84" s="1" t="s">
        <v>2360</v>
      </c>
      <c r="M84" s="38"/>
      <c r="N84" s="38"/>
      <c r="O84" s="38"/>
      <c r="P84" s="38"/>
      <c r="Q84" s="38"/>
      <c r="R84" s="38"/>
      <c r="S84" s="38"/>
      <c r="T84" s="38"/>
      <c r="U84" s="38"/>
      <c r="V84" s="38"/>
      <c r="W84" s="38"/>
      <c r="X84" s="38"/>
      <c r="Y84" s="38"/>
      <c r="Z84" s="38"/>
    </row>
    <row r="85" spans="1:26" ht="15.75" customHeight="1" x14ac:dyDescent="0.2">
      <c r="A85" s="8" t="s">
        <v>443</v>
      </c>
      <c r="B85" s="1">
        <v>78.777798000000004</v>
      </c>
      <c r="C85" s="1" t="s">
        <v>1587</v>
      </c>
      <c r="D85" s="1" t="s">
        <v>1524</v>
      </c>
      <c r="E85" s="1" t="s">
        <v>2280</v>
      </c>
      <c r="F85" s="1" t="s">
        <v>1528</v>
      </c>
      <c r="G85" s="1" t="s">
        <v>2344</v>
      </c>
      <c r="H85" s="1" t="s">
        <v>2255</v>
      </c>
      <c r="I85" s="1" t="s">
        <v>2274</v>
      </c>
      <c r="J85" s="1" t="s">
        <v>2361</v>
      </c>
      <c r="M85" s="38"/>
      <c r="N85" s="38"/>
      <c r="O85" s="38"/>
      <c r="P85" s="38"/>
      <c r="Q85" s="38"/>
      <c r="R85" s="38"/>
      <c r="S85" s="38"/>
      <c r="T85" s="38"/>
      <c r="U85" s="38"/>
      <c r="V85" s="38"/>
      <c r="W85" s="38"/>
      <c r="X85" s="38"/>
      <c r="Y85" s="38"/>
      <c r="Z85" s="38"/>
    </row>
    <row r="86" spans="1:26" ht="15.75" customHeight="1" x14ac:dyDescent="0.2">
      <c r="A86" s="8" t="s">
        <v>443</v>
      </c>
      <c r="B86" s="1">
        <v>78.777798000000004</v>
      </c>
      <c r="C86" s="1" t="s">
        <v>1587</v>
      </c>
      <c r="D86" s="1" t="s">
        <v>1524</v>
      </c>
      <c r="E86" s="1" t="s">
        <v>2280</v>
      </c>
      <c r="F86" s="1" t="s">
        <v>1528</v>
      </c>
      <c r="G86" s="1" t="s">
        <v>2266</v>
      </c>
      <c r="H86" s="1" t="s">
        <v>2255</v>
      </c>
      <c r="I86" s="1" t="s">
        <v>2256</v>
      </c>
      <c r="J86" s="1" t="s">
        <v>2362</v>
      </c>
      <c r="M86" s="38"/>
      <c r="N86" s="38"/>
      <c r="O86" s="38"/>
      <c r="P86" s="38"/>
      <c r="Q86" s="38"/>
      <c r="R86" s="38"/>
      <c r="S86" s="38"/>
      <c r="T86" s="38"/>
      <c r="U86" s="38"/>
      <c r="V86" s="38"/>
      <c r="W86" s="38"/>
      <c r="X86" s="38"/>
      <c r="Y86" s="38"/>
      <c r="Z86" s="38"/>
    </row>
    <row r="87" spans="1:26" ht="15.75" customHeight="1" x14ac:dyDescent="0.2">
      <c r="A87" s="8" t="s">
        <v>443</v>
      </c>
      <c r="B87" s="1">
        <v>78.777798000000004</v>
      </c>
      <c r="C87" s="1" t="s">
        <v>1587</v>
      </c>
      <c r="D87" s="1" t="s">
        <v>1524</v>
      </c>
      <c r="E87" s="1" t="s">
        <v>2280</v>
      </c>
      <c r="F87" s="1" t="s">
        <v>1528</v>
      </c>
      <c r="G87" s="1" t="s">
        <v>2295</v>
      </c>
      <c r="H87" s="1" t="s">
        <v>2260</v>
      </c>
      <c r="I87" s="1" t="s">
        <v>2285</v>
      </c>
      <c r="J87" s="1" t="s">
        <v>2363</v>
      </c>
      <c r="M87" s="38"/>
      <c r="N87" s="38"/>
      <c r="O87" s="38"/>
      <c r="P87" s="38"/>
      <c r="Q87" s="38"/>
      <c r="R87" s="38"/>
      <c r="S87" s="38"/>
      <c r="T87" s="38"/>
      <c r="U87" s="38"/>
      <c r="V87" s="38"/>
      <c r="W87" s="38"/>
      <c r="X87" s="38"/>
      <c r="Y87" s="38"/>
      <c r="Z87" s="38"/>
    </row>
    <row r="88" spans="1:26" ht="15.75" customHeight="1" x14ac:dyDescent="0.2">
      <c r="A88" s="8" t="s">
        <v>508</v>
      </c>
      <c r="B88" s="1">
        <v>33.607694000000002</v>
      </c>
      <c r="C88" s="1" t="s">
        <v>1587</v>
      </c>
      <c r="D88" s="1" t="s">
        <v>1524</v>
      </c>
      <c r="E88" s="1" t="s">
        <v>2280</v>
      </c>
      <c r="F88" s="1" t="s">
        <v>1546</v>
      </c>
      <c r="G88" s="1" t="s">
        <v>1363</v>
      </c>
      <c r="H88" s="1" t="s">
        <v>2260</v>
      </c>
      <c r="I88" s="1" t="s">
        <v>2256</v>
      </c>
      <c r="J88" s="1" t="s">
        <v>2364</v>
      </c>
      <c r="M88" s="38"/>
      <c r="N88" s="38"/>
      <c r="O88" s="38"/>
      <c r="P88" s="38"/>
      <c r="Q88" s="38"/>
      <c r="R88" s="38"/>
      <c r="S88" s="38"/>
      <c r="T88" s="38"/>
      <c r="U88" s="38"/>
      <c r="V88" s="38"/>
      <c r="W88" s="38"/>
      <c r="X88" s="38"/>
      <c r="Y88" s="38"/>
      <c r="Z88" s="38"/>
    </row>
    <row r="89" spans="1:26" ht="15.75" customHeight="1" x14ac:dyDescent="0.2">
      <c r="A89" s="8" t="s">
        <v>508</v>
      </c>
      <c r="B89" s="1">
        <v>33.607694000000002</v>
      </c>
      <c r="C89" s="1" t="s">
        <v>1587</v>
      </c>
      <c r="D89" s="1" t="s">
        <v>1524</v>
      </c>
      <c r="E89" s="1" t="s">
        <v>2280</v>
      </c>
      <c r="F89" s="1" t="s">
        <v>1546</v>
      </c>
      <c r="G89" s="1" t="s">
        <v>1363</v>
      </c>
      <c r="H89" s="1" t="s">
        <v>2260</v>
      </c>
      <c r="I89" s="1" t="s">
        <v>2256</v>
      </c>
      <c r="J89" s="1" t="s">
        <v>2365</v>
      </c>
      <c r="M89" s="38"/>
      <c r="N89" s="38"/>
      <c r="O89" s="38"/>
      <c r="P89" s="38"/>
      <c r="Q89" s="38"/>
      <c r="R89" s="38"/>
      <c r="S89" s="38"/>
      <c r="T89" s="38"/>
      <c r="U89" s="38"/>
      <c r="V89" s="38"/>
      <c r="W89" s="38"/>
      <c r="X89" s="38"/>
      <c r="Y89" s="38"/>
      <c r="Z89" s="38"/>
    </row>
    <row r="90" spans="1:26" ht="15.75" customHeight="1" x14ac:dyDescent="0.2">
      <c r="A90" s="8" t="s">
        <v>508</v>
      </c>
      <c r="B90" s="1">
        <v>33.607694000000002</v>
      </c>
      <c r="C90" s="1" t="s">
        <v>1587</v>
      </c>
      <c r="D90" s="1" t="s">
        <v>1524</v>
      </c>
      <c r="E90" s="1" t="s">
        <v>2280</v>
      </c>
      <c r="F90" s="1" t="s">
        <v>1546</v>
      </c>
      <c r="G90" s="1" t="s">
        <v>2271</v>
      </c>
      <c r="H90" s="1" t="s">
        <v>2260</v>
      </c>
      <c r="I90" s="1" t="s">
        <v>2256</v>
      </c>
      <c r="J90" s="1" t="s">
        <v>2366</v>
      </c>
      <c r="M90" s="38"/>
      <c r="N90" s="38"/>
      <c r="O90" s="38"/>
      <c r="P90" s="38"/>
      <c r="Q90" s="38"/>
      <c r="R90" s="38"/>
      <c r="S90" s="38"/>
      <c r="T90" s="38"/>
      <c r="U90" s="38"/>
      <c r="V90" s="38"/>
      <c r="W90" s="38"/>
      <c r="X90" s="38"/>
      <c r="Y90" s="38"/>
      <c r="Z90" s="38"/>
    </row>
    <row r="91" spans="1:26" ht="15.75" customHeight="1" x14ac:dyDescent="0.2">
      <c r="A91" s="8" t="s">
        <v>508</v>
      </c>
      <c r="B91" s="1">
        <v>33.607694000000002</v>
      </c>
      <c r="C91" s="1" t="s">
        <v>1587</v>
      </c>
      <c r="D91" s="1" t="s">
        <v>1524</v>
      </c>
      <c r="E91" s="1" t="s">
        <v>2280</v>
      </c>
      <c r="F91" s="1" t="s">
        <v>1546</v>
      </c>
      <c r="G91" s="1" t="s">
        <v>2262</v>
      </c>
      <c r="H91" s="1" t="s">
        <v>2260</v>
      </c>
      <c r="I91" s="1" t="s">
        <v>2256</v>
      </c>
      <c r="J91" s="1" t="s">
        <v>2367</v>
      </c>
      <c r="M91" s="38"/>
      <c r="N91" s="38"/>
      <c r="O91" s="38"/>
      <c r="P91" s="38"/>
      <c r="Q91" s="38"/>
      <c r="R91" s="38"/>
      <c r="S91" s="38"/>
      <c r="T91" s="38"/>
      <c r="U91" s="38"/>
      <c r="V91" s="38"/>
      <c r="W91" s="38"/>
      <c r="X91" s="38"/>
      <c r="Y91" s="38"/>
      <c r="Z91" s="38"/>
    </row>
    <row r="92" spans="1:26" ht="15.75" customHeight="1" x14ac:dyDescent="0.2">
      <c r="A92" s="8" t="s">
        <v>508</v>
      </c>
      <c r="B92" s="1">
        <v>33.607694000000002</v>
      </c>
      <c r="C92" s="1" t="s">
        <v>1587</v>
      </c>
      <c r="D92" s="1" t="s">
        <v>1524</v>
      </c>
      <c r="E92" s="1" t="s">
        <v>2280</v>
      </c>
      <c r="F92" s="1" t="s">
        <v>1546</v>
      </c>
      <c r="G92" s="1" t="s">
        <v>2262</v>
      </c>
      <c r="H92" s="1" t="s">
        <v>2260</v>
      </c>
      <c r="I92" s="1" t="s">
        <v>2256</v>
      </c>
      <c r="J92" s="1" t="s">
        <v>2368</v>
      </c>
      <c r="M92" s="38"/>
      <c r="N92" s="38"/>
      <c r="O92" s="38"/>
      <c r="P92" s="38"/>
      <c r="Q92" s="38"/>
      <c r="R92" s="38"/>
      <c r="S92" s="38"/>
      <c r="T92" s="38"/>
      <c r="U92" s="38"/>
      <c r="V92" s="38"/>
      <c r="W92" s="38"/>
      <c r="X92" s="38"/>
      <c r="Y92" s="38"/>
      <c r="Z92" s="38"/>
    </row>
    <row r="93" spans="1:26" ht="15.75" customHeight="1" x14ac:dyDescent="0.2">
      <c r="A93" s="8" t="s">
        <v>515</v>
      </c>
      <c r="B93" s="1">
        <v>47.475192999999997</v>
      </c>
      <c r="C93" s="1" t="s">
        <v>1523</v>
      </c>
      <c r="D93" s="1" t="s">
        <v>1524</v>
      </c>
      <c r="E93" s="1" t="s">
        <v>2280</v>
      </c>
      <c r="F93" s="1" t="s">
        <v>1528</v>
      </c>
      <c r="G93" s="1" t="s">
        <v>2266</v>
      </c>
      <c r="H93" s="1" t="s">
        <v>2255</v>
      </c>
      <c r="I93" s="1" t="s">
        <v>2256</v>
      </c>
      <c r="J93" s="1" t="s">
        <v>2369</v>
      </c>
      <c r="M93" s="38"/>
      <c r="N93" s="38"/>
      <c r="O93" s="38"/>
      <c r="P93" s="38"/>
      <c r="Q93" s="38"/>
      <c r="R93" s="38"/>
      <c r="S93" s="38"/>
      <c r="T93" s="38"/>
      <c r="U93" s="38"/>
      <c r="V93" s="38"/>
      <c r="W93" s="38"/>
      <c r="X93" s="38"/>
      <c r="Y93" s="38"/>
      <c r="Z93" s="38"/>
    </row>
    <row r="94" spans="1:26" ht="15.75" customHeight="1" x14ac:dyDescent="0.2">
      <c r="A94" s="8" t="s">
        <v>515</v>
      </c>
      <c r="B94" s="1">
        <v>47.475192999999997</v>
      </c>
      <c r="C94" s="1" t="s">
        <v>1523</v>
      </c>
      <c r="D94" s="1" t="s">
        <v>1524</v>
      </c>
      <c r="E94" s="1" t="s">
        <v>2280</v>
      </c>
      <c r="F94" s="1" t="s">
        <v>1528</v>
      </c>
      <c r="G94" s="1" t="s">
        <v>2262</v>
      </c>
      <c r="H94" s="1" t="s">
        <v>2260</v>
      </c>
      <c r="I94" s="1" t="s">
        <v>2256</v>
      </c>
      <c r="J94" s="1" t="s">
        <v>2370</v>
      </c>
      <c r="M94" s="38"/>
      <c r="N94" s="38"/>
      <c r="O94" s="38"/>
      <c r="P94" s="38"/>
      <c r="Q94" s="38"/>
      <c r="R94" s="38"/>
      <c r="S94" s="38"/>
      <c r="T94" s="38"/>
      <c r="U94" s="38"/>
      <c r="V94" s="38"/>
      <c r="W94" s="38"/>
      <c r="X94" s="38"/>
      <c r="Y94" s="38"/>
      <c r="Z94" s="38"/>
    </row>
    <row r="95" spans="1:26" ht="15.75" customHeight="1" x14ac:dyDescent="0.2">
      <c r="A95" s="8" t="s">
        <v>515</v>
      </c>
      <c r="B95" s="1">
        <v>47.475192999999997</v>
      </c>
      <c r="C95" s="1" t="s">
        <v>1523</v>
      </c>
      <c r="D95" s="1" t="s">
        <v>1524</v>
      </c>
      <c r="E95" s="1" t="s">
        <v>2280</v>
      </c>
      <c r="F95" s="1" t="s">
        <v>1528</v>
      </c>
      <c r="G95" s="1" t="s">
        <v>2271</v>
      </c>
      <c r="H95" s="1" t="s">
        <v>2263</v>
      </c>
      <c r="I95" s="1" t="s">
        <v>2285</v>
      </c>
      <c r="J95" s="1" t="s">
        <v>2371</v>
      </c>
      <c r="M95" s="38"/>
      <c r="N95" s="38"/>
      <c r="O95" s="38"/>
      <c r="P95" s="38"/>
      <c r="Q95" s="38"/>
      <c r="R95" s="38"/>
      <c r="S95" s="38"/>
      <c r="T95" s="38"/>
      <c r="U95" s="38"/>
      <c r="V95" s="38"/>
      <c r="W95" s="38"/>
      <c r="X95" s="38"/>
      <c r="Y95" s="38"/>
      <c r="Z95" s="38"/>
    </row>
    <row r="96" spans="1:26" ht="15.75" customHeight="1" x14ac:dyDescent="0.2">
      <c r="A96" s="8" t="s">
        <v>448</v>
      </c>
      <c r="B96" s="1">
        <v>68.598146</v>
      </c>
      <c r="C96" s="1" t="s">
        <v>1587</v>
      </c>
      <c r="D96" s="1" t="s">
        <v>1524</v>
      </c>
      <c r="E96" s="1" t="s">
        <v>2280</v>
      </c>
      <c r="F96" s="1" t="s">
        <v>1528</v>
      </c>
      <c r="G96" s="1" t="s">
        <v>2344</v>
      </c>
      <c r="H96" s="1" t="s">
        <v>2255</v>
      </c>
      <c r="I96" s="1" t="s">
        <v>2274</v>
      </c>
      <c r="J96" s="1" t="s">
        <v>2372</v>
      </c>
      <c r="M96" s="38"/>
      <c r="N96" s="38"/>
      <c r="O96" s="38"/>
      <c r="P96" s="38"/>
      <c r="Q96" s="38"/>
      <c r="R96" s="38"/>
      <c r="S96" s="38"/>
      <c r="T96" s="38"/>
      <c r="U96" s="38"/>
      <c r="V96" s="38"/>
      <c r="W96" s="38"/>
      <c r="X96" s="38"/>
      <c r="Y96" s="38"/>
      <c r="Z96" s="38"/>
    </row>
    <row r="97" spans="1:26" ht="15.75" customHeight="1" x14ac:dyDescent="0.2">
      <c r="A97" s="8" t="s">
        <v>448</v>
      </c>
      <c r="B97" s="1">
        <v>68.598146</v>
      </c>
      <c r="C97" s="1" t="s">
        <v>1587</v>
      </c>
      <c r="D97" s="1" t="s">
        <v>1524</v>
      </c>
      <c r="E97" s="1" t="s">
        <v>2280</v>
      </c>
      <c r="F97" s="1" t="s">
        <v>1528</v>
      </c>
      <c r="G97" s="1" t="s">
        <v>2266</v>
      </c>
      <c r="H97" s="1" t="s">
        <v>2255</v>
      </c>
      <c r="I97" s="1" t="s">
        <v>2256</v>
      </c>
      <c r="J97" s="1" t="s">
        <v>2373</v>
      </c>
      <c r="M97" s="38"/>
      <c r="N97" s="38"/>
      <c r="O97" s="38"/>
      <c r="P97" s="38"/>
      <c r="Q97" s="38"/>
      <c r="R97" s="38"/>
      <c r="S97" s="38"/>
      <c r="T97" s="38"/>
      <c r="U97" s="38"/>
      <c r="V97" s="38"/>
      <c r="W97" s="38"/>
      <c r="X97" s="38"/>
      <c r="Y97" s="38"/>
      <c r="Z97" s="38"/>
    </row>
    <row r="98" spans="1:26" ht="15.75" customHeight="1" x14ac:dyDescent="0.2">
      <c r="A98" s="8" t="s">
        <v>452</v>
      </c>
      <c r="B98" s="1">
        <v>50.196787</v>
      </c>
      <c r="C98" s="1" t="s">
        <v>1523</v>
      </c>
      <c r="D98" s="1" t="s">
        <v>1524</v>
      </c>
      <c r="E98" s="1" t="s">
        <v>2280</v>
      </c>
      <c r="F98" s="1" t="s">
        <v>1583</v>
      </c>
      <c r="G98" s="1" t="s">
        <v>2356</v>
      </c>
      <c r="H98" s="1" t="s">
        <v>2255</v>
      </c>
      <c r="I98" s="1" t="s">
        <v>2274</v>
      </c>
      <c r="J98" s="1" t="s">
        <v>2374</v>
      </c>
      <c r="M98" s="38"/>
      <c r="N98" s="38"/>
      <c r="O98" s="38"/>
      <c r="P98" s="38"/>
      <c r="Q98" s="38"/>
      <c r="R98" s="38"/>
      <c r="S98" s="38"/>
      <c r="T98" s="38"/>
      <c r="U98" s="38"/>
      <c r="V98" s="38"/>
      <c r="W98" s="38"/>
      <c r="X98" s="38"/>
      <c r="Y98" s="38"/>
      <c r="Z98" s="38"/>
    </row>
    <row r="99" spans="1:26" ht="15.75" customHeight="1" x14ac:dyDescent="0.2">
      <c r="A99" s="8" t="s">
        <v>460</v>
      </c>
      <c r="B99" s="1">
        <v>51.228864000000002</v>
      </c>
      <c r="C99" s="1" t="s">
        <v>1523</v>
      </c>
      <c r="D99" s="1" t="s">
        <v>1524</v>
      </c>
      <c r="E99" s="1" t="s">
        <v>2253</v>
      </c>
      <c r="F99" s="1" t="s">
        <v>1528</v>
      </c>
      <c r="G99" s="1" t="s">
        <v>2273</v>
      </c>
      <c r="H99" s="1" t="s">
        <v>2255</v>
      </c>
      <c r="I99" s="1" t="s">
        <v>2285</v>
      </c>
      <c r="J99" s="1" t="s">
        <v>2375</v>
      </c>
      <c r="M99" s="38"/>
      <c r="N99" s="38"/>
      <c r="O99" s="38"/>
      <c r="P99" s="38"/>
      <c r="Q99" s="38"/>
      <c r="R99" s="38"/>
      <c r="S99" s="38"/>
      <c r="T99" s="38"/>
      <c r="U99" s="38"/>
      <c r="V99" s="38"/>
      <c r="W99" s="38"/>
      <c r="X99" s="38"/>
      <c r="Y99" s="38"/>
      <c r="Z99" s="38"/>
    </row>
    <row r="100" spans="1:26" ht="15.75" customHeight="1" x14ac:dyDescent="0.2">
      <c r="A100" s="8" t="s">
        <v>460</v>
      </c>
      <c r="B100" s="1">
        <v>51.228864000000002</v>
      </c>
      <c r="C100" s="1" t="s">
        <v>1523</v>
      </c>
      <c r="D100" s="1" t="s">
        <v>1524</v>
      </c>
      <c r="E100" s="1" t="s">
        <v>2253</v>
      </c>
      <c r="F100" s="1" t="s">
        <v>1528</v>
      </c>
      <c r="G100" s="1" t="s">
        <v>2266</v>
      </c>
      <c r="H100" s="1" t="s">
        <v>2255</v>
      </c>
      <c r="I100" s="1" t="s">
        <v>2256</v>
      </c>
      <c r="J100" s="1" t="s">
        <v>2376</v>
      </c>
      <c r="M100" s="38"/>
      <c r="N100" s="38"/>
      <c r="O100" s="38"/>
      <c r="P100" s="38"/>
      <c r="Q100" s="38"/>
      <c r="R100" s="38"/>
      <c r="S100" s="38"/>
      <c r="T100" s="38"/>
      <c r="U100" s="38"/>
      <c r="V100" s="38"/>
      <c r="W100" s="38"/>
      <c r="X100" s="38"/>
      <c r="Y100" s="38"/>
      <c r="Z100" s="38"/>
    </row>
    <row r="101" spans="1:26" ht="15.75" customHeight="1" x14ac:dyDescent="0.2">
      <c r="A101" s="8" t="s">
        <v>460</v>
      </c>
      <c r="B101" s="1">
        <v>51.228864000000002</v>
      </c>
      <c r="C101" s="1" t="s">
        <v>1523</v>
      </c>
      <c r="D101" s="1" t="s">
        <v>1524</v>
      </c>
      <c r="E101" s="1" t="s">
        <v>2253</v>
      </c>
      <c r="F101" s="1" t="s">
        <v>1528</v>
      </c>
      <c r="G101" s="1" t="s">
        <v>2295</v>
      </c>
      <c r="H101" s="1" t="s">
        <v>2260</v>
      </c>
      <c r="I101" s="1" t="s">
        <v>2285</v>
      </c>
      <c r="J101" s="1" t="s">
        <v>2377</v>
      </c>
      <c r="M101" s="38"/>
      <c r="N101" s="38"/>
      <c r="O101" s="38"/>
      <c r="P101" s="38"/>
      <c r="Q101" s="38"/>
      <c r="R101" s="38"/>
      <c r="S101" s="38"/>
      <c r="T101" s="38"/>
      <c r="U101" s="38"/>
      <c r="V101" s="38"/>
      <c r="W101" s="38"/>
      <c r="X101" s="38"/>
      <c r="Y101" s="38"/>
      <c r="Z101" s="38"/>
    </row>
    <row r="102" spans="1:26" ht="15.75" customHeight="1" x14ac:dyDescent="0.2">
      <c r="A102" s="8" t="s">
        <v>465</v>
      </c>
      <c r="B102" s="1">
        <v>41.049326000000001</v>
      </c>
      <c r="C102" s="1" t="s">
        <v>1523</v>
      </c>
      <c r="D102" s="1" t="s">
        <v>1524</v>
      </c>
      <c r="E102" s="1" t="s">
        <v>2253</v>
      </c>
      <c r="F102" s="1" t="s">
        <v>1560</v>
      </c>
      <c r="G102" s="1" t="s">
        <v>2254</v>
      </c>
      <c r="H102" s="1" t="s">
        <v>2255</v>
      </c>
      <c r="I102" s="1" t="s">
        <v>2256</v>
      </c>
      <c r="J102" s="1" t="s">
        <v>2339</v>
      </c>
      <c r="M102" s="38"/>
      <c r="N102" s="38"/>
      <c r="O102" s="38"/>
      <c r="P102" s="38"/>
      <c r="Q102" s="38"/>
      <c r="R102" s="38"/>
      <c r="S102" s="38"/>
      <c r="T102" s="38"/>
      <c r="U102" s="38"/>
      <c r="V102" s="38"/>
      <c r="W102" s="38"/>
      <c r="X102" s="38"/>
      <c r="Y102" s="38"/>
      <c r="Z102" s="38"/>
    </row>
    <row r="103" spans="1:26" ht="15.75" customHeight="1" x14ac:dyDescent="0.2">
      <c r="A103" s="8" t="s">
        <v>465</v>
      </c>
      <c r="B103" s="1">
        <v>41.049326000000001</v>
      </c>
      <c r="C103" s="1" t="s">
        <v>1523</v>
      </c>
      <c r="D103" s="1" t="s">
        <v>1524</v>
      </c>
      <c r="E103" s="1" t="s">
        <v>2253</v>
      </c>
      <c r="F103" s="1" t="s">
        <v>1560</v>
      </c>
      <c r="G103" s="1" t="s">
        <v>2378</v>
      </c>
      <c r="H103" s="1" t="s">
        <v>2260</v>
      </c>
      <c r="I103" s="1" t="s">
        <v>2274</v>
      </c>
      <c r="J103" s="1" t="s">
        <v>2379</v>
      </c>
      <c r="M103" s="38"/>
      <c r="N103" s="38"/>
      <c r="O103" s="38"/>
      <c r="P103" s="38"/>
      <c r="Q103" s="38"/>
      <c r="R103" s="38"/>
      <c r="S103" s="38"/>
      <c r="T103" s="38"/>
      <c r="U103" s="38"/>
      <c r="V103" s="38"/>
      <c r="W103" s="38"/>
      <c r="X103" s="38"/>
      <c r="Y103" s="38"/>
      <c r="Z103" s="38"/>
    </row>
    <row r="104" spans="1:26" ht="15.75" customHeight="1" x14ac:dyDescent="0.2">
      <c r="A104" s="8" t="s">
        <v>465</v>
      </c>
      <c r="B104" s="1">
        <v>41.049326000000001</v>
      </c>
      <c r="C104" s="1" t="s">
        <v>1523</v>
      </c>
      <c r="D104" s="1" t="s">
        <v>1524</v>
      </c>
      <c r="E104" s="1" t="s">
        <v>2253</v>
      </c>
      <c r="F104" s="1" t="s">
        <v>1560</v>
      </c>
      <c r="G104" s="1" t="s">
        <v>2259</v>
      </c>
      <c r="H104" s="1" t="s">
        <v>2260</v>
      </c>
      <c r="I104" s="1" t="s">
        <v>2256</v>
      </c>
      <c r="J104" s="1" t="s">
        <v>2380</v>
      </c>
      <c r="M104" s="38"/>
      <c r="N104" s="38"/>
      <c r="O104" s="38"/>
      <c r="P104" s="38"/>
      <c r="Q104" s="38"/>
      <c r="R104" s="38"/>
      <c r="S104" s="38"/>
      <c r="T104" s="38"/>
      <c r="U104" s="38"/>
      <c r="V104" s="38"/>
      <c r="W104" s="38"/>
      <c r="X104" s="38"/>
      <c r="Y104" s="38"/>
      <c r="Z104" s="38"/>
    </row>
    <row r="105" spans="1:26" ht="15.75" customHeight="1" x14ac:dyDescent="0.2">
      <c r="A105" s="8" t="s">
        <v>465</v>
      </c>
      <c r="B105" s="1">
        <v>41.049326000000001</v>
      </c>
      <c r="C105" s="1" t="s">
        <v>1523</v>
      </c>
      <c r="D105" s="1" t="s">
        <v>1524</v>
      </c>
      <c r="E105" s="1" t="s">
        <v>2253</v>
      </c>
      <c r="F105" s="1" t="s">
        <v>1560</v>
      </c>
      <c r="G105" s="1" t="s">
        <v>2295</v>
      </c>
      <c r="H105" s="1" t="s">
        <v>2260</v>
      </c>
      <c r="I105" s="1" t="s">
        <v>2285</v>
      </c>
      <c r="J105" s="1" t="s">
        <v>2381</v>
      </c>
      <c r="M105" s="38"/>
      <c r="N105" s="38"/>
      <c r="O105" s="38"/>
      <c r="P105" s="38"/>
      <c r="Q105" s="38"/>
      <c r="R105" s="38"/>
      <c r="S105" s="38"/>
      <c r="T105" s="38"/>
      <c r="U105" s="38"/>
      <c r="V105" s="38"/>
      <c r="W105" s="38"/>
      <c r="X105" s="38"/>
      <c r="Y105" s="38"/>
      <c r="Z105" s="38"/>
    </row>
    <row r="106" spans="1:26" ht="15.75" customHeight="1" x14ac:dyDescent="0.2">
      <c r="A106" s="8" t="s">
        <v>465</v>
      </c>
      <c r="B106" s="1">
        <v>41.049326000000001</v>
      </c>
      <c r="C106" s="1" t="s">
        <v>1523</v>
      </c>
      <c r="D106" s="1" t="s">
        <v>1524</v>
      </c>
      <c r="E106" s="1" t="s">
        <v>2253</v>
      </c>
      <c r="F106" s="1" t="s">
        <v>1560</v>
      </c>
      <c r="G106" s="1" t="s">
        <v>2262</v>
      </c>
      <c r="H106" s="1" t="s">
        <v>2260</v>
      </c>
      <c r="I106" s="1" t="s">
        <v>2256</v>
      </c>
      <c r="J106" s="1" t="s">
        <v>2382</v>
      </c>
      <c r="M106" s="38"/>
      <c r="N106" s="38"/>
      <c r="O106" s="38"/>
      <c r="P106" s="38"/>
      <c r="Q106" s="38"/>
      <c r="R106" s="38"/>
      <c r="S106" s="38"/>
      <c r="T106" s="38"/>
      <c r="U106" s="38"/>
      <c r="V106" s="38"/>
      <c r="W106" s="38"/>
      <c r="X106" s="38"/>
      <c r="Y106" s="38"/>
      <c r="Z106" s="38"/>
    </row>
    <row r="107" spans="1:26" ht="15.75" customHeight="1" x14ac:dyDescent="0.2">
      <c r="A107" s="8" t="s">
        <v>154</v>
      </c>
      <c r="B107" s="1">
        <v>26.103204999999999</v>
      </c>
      <c r="C107" s="1" t="s">
        <v>1587</v>
      </c>
      <c r="D107" s="1" t="s">
        <v>1524</v>
      </c>
      <c r="E107" s="1" t="s">
        <v>2280</v>
      </c>
      <c r="F107" s="1" t="s">
        <v>1601</v>
      </c>
      <c r="G107" s="1" t="s">
        <v>2254</v>
      </c>
      <c r="H107" s="1" t="s">
        <v>2255</v>
      </c>
      <c r="I107" s="1" t="s">
        <v>2256</v>
      </c>
      <c r="J107" s="1" t="s">
        <v>2383</v>
      </c>
      <c r="M107" s="38"/>
      <c r="N107" s="38"/>
      <c r="O107" s="38"/>
      <c r="P107" s="38"/>
      <c r="Q107" s="38"/>
      <c r="R107" s="38"/>
      <c r="S107" s="38"/>
      <c r="T107" s="38"/>
      <c r="U107" s="38"/>
      <c r="V107" s="38"/>
      <c r="W107" s="38"/>
      <c r="X107" s="38"/>
      <c r="Y107" s="38"/>
      <c r="Z107" s="38"/>
    </row>
    <row r="108" spans="1:26" ht="15.75" customHeight="1" x14ac:dyDescent="0.2">
      <c r="A108" s="8" t="s">
        <v>154</v>
      </c>
      <c r="B108" s="1">
        <v>26.103204999999999</v>
      </c>
      <c r="C108" s="1" t="s">
        <v>1587</v>
      </c>
      <c r="D108" s="1" t="s">
        <v>1524</v>
      </c>
      <c r="E108" s="1" t="s">
        <v>2280</v>
      </c>
      <c r="F108" s="1" t="s">
        <v>1601</v>
      </c>
      <c r="G108" s="1" t="s">
        <v>2262</v>
      </c>
      <c r="H108" s="1" t="s">
        <v>2260</v>
      </c>
      <c r="I108" s="1" t="s">
        <v>2256</v>
      </c>
      <c r="J108" s="1" t="s">
        <v>2384</v>
      </c>
      <c r="M108" s="38"/>
      <c r="N108" s="38"/>
      <c r="O108" s="38"/>
      <c r="P108" s="38"/>
      <c r="Q108" s="38"/>
      <c r="R108" s="38"/>
      <c r="S108" s="38"/>
      <c r="T108" s="38"/>
      <c r="U108" s="38"/>
      <c r="V108" s="38"/>
      <c r="W108" s="38"/>
      <c r="X108" s="38"/>
      <c r="Y108" s="38"/>
      <c r="Z108" s="38"/>
    </row>
    <row r="109" spans="1:26" ht="15.75" customHeight="1" x14ac:dyDescent="0.2">
      <c r="A109" s="8" t="s">
        <v>159</v>
      </c>
      <c r="B109" s="1">
        <v>77.061131000000003</v>
      </c>
      <c r="C109" s="1" t="s">
        <v>1523</v>
      </c>
      <c r="D109" s="1" t="s">
        <v>1524</v>
      </c>
      <c r="E109" s="1" t="s">
        <v>2280</v>
      </c>
      <c r="F109" s="1" t="s">
        <v>1528</v>
      </c>
      <c r="G109" s="1" t="s">
        <v>2259</v>
      </c>
      <c r="H109" s="1" t="s">
        <v>2255</v>
      </c>
      <c r="I109" s="1" t="s">
        <v>2256</v>
      </c>
      <c r="J109" s="1" t="s">
        <v>2385</v>
      </c>
      <c r="M109" s="38"/>
      <c r="N109" s="38"/>
      <c r="O109" s="38"/>
      <c r="P109" s="38"/>
      <c r="Q109" s="38"/>
      <c r="R109" s="38"/>
      <c r="S109" s="38"/>
      <c r="T109" s="38"/>
      <c r="U109" s="38"/>
      <c r="V109" s="38"/>
      <c r="W109" s="38"/>
      <c r="X109" s="38"/>
      <c r="Y109" s="38"/>
      <c r="Z109" s="38"/>
    </row>
    <row r="110" spans="1:26" ht="15.75" customHeight="1" x14ac:dyDescent="0.2">
      <c r="A110" s="8" t="s">
        <v>159</v>
      </c>
      <c r="B110" s="1">
        <v>77.061131000000003</v>
      </c>
      <c r="C110" s="1" t="s">
        <v>1523</v>
      </c>
      <c r="D110" s="1" t="s">
        <v>1524</v>
      </c>
      <c r="E110" s="1" t="s">
        <v>2280</v>
      </c>
      <c r="F110" s="1" t="s">
        <v>1528</v>
      </c>
      <c r="G110" s="1" t="s">
        <v>2262</v>
      </c>
      <c r="H110" s="1" t="s">
        <v>2260</v>
      </c>
      <c r="I110" s="1" t="s">
        <v>2256</v>
      </c>
      <c r="J110" s="1" t="s">
        <v>2386</v>
      </c>
      <c r="M110" s="38"/>
      <c r="N110" s="38"/>
      <c r="O110" s="38"/>
      <c r="P110" s="38"/>
      <c r="Q110" s="38"/>
      <c r="R110" s="38"/>
      <c r="S110" s="38"/>
      <c r="T110" s="38"/>
      <c r="U110" s="38"/>
      <c r="V110" s="38"/>
      <c r="W110" s="38"/>
      <c r="X110" s="38"/>
      <c r="Y110" s="38"/>
      <c r="Z110" s="38"/>
    </row>
    <row r="111" spans="1:26" ht="15.75" customHeight="1" x14ac:dyDescent="0.2">
      <c r="A111" s="8" t="s">
        <v>159</v>
      </c>
      <c r="B111" s="1">
        <v>77.061131000000003</v>
      </c>
      <c r="C111" s="1" t="s">
        <v>1523</v>
      </c>
      <c r="D111" s="1" t="s">
        <v>1524</v>
      </c>
      <c r="E111" s="1" t="s">
        <v>2280</v>
      </c>
      <c r="F111" s="1" t="s">
        <v>1528</v>
      </c>
      <c r="G111" s="1" t="s">
        <v>2302</v>
      </c>
      <c r="H111" s="1" t="s">
        <v>2263</v>
      </c>
      <c r="I111" s="1" t="s">
        <v>2256</v>
      </c>
      <c r="J111" s="1" t="s">
        <v>2387</v>
      </c>
      <c r="M111" s="38"/>
      <c r="N111" s="38"/>
      <c r="O111" s="38"/>
      <c r="P111" s="38"/>
      <c r="Q111" s="38"/>
      <c r="R111" s="38"/>
      <c r="S111" s="38"/>
      <c r="T111" s="38"/>
      <c r="U111" s="38"/>
      <c r="V111" s="38"/>
      <c r="W111" s="38"/>
      <c r="X111" s="38"/>
      <c r="Y111" s="38"/>
      <c r="Z111" s="38"/>
    </row>
    <row r="112" spans="1:26" ht="15.75" customHeight="1" x14ac:dyDescent="0.2">
      <c r="A112" s="8" t="s">
        <v>164</v>
      </c>
      <c r="B112" s="1">
        <v>27.291457000000001</v>
      </c>
      <c r="C112" s="1" t="s">
        <v>1587</v>
      </c>
      <c r="D112" s="1" t="s">
        <v>1524</v>
      </c>
      <c r="E112" s="1" t="s">
        <v>2280</v>
      </c>
      <c r="F112" s="1" t="s">
        <v>1601</v>
      </c>
      <c r="G112" s="1" t="s">
        <v>2254</v>
      </c>
      <c r="H112" s="1" t="s">
        <v>2255</v>
      </c>
      <c r="I112" s="1" t="s">
        <v>2256</v>
      </c>
      <c r="J112" s="1" t="s">
        <v>2388</v>
      </c>
      <c r="M112" s="38"/>
      <c r="N112" s="38"/>
      <c r="O112" s="38"/>
      <c r="P112" s="38"/>
      <c r="Q112" s="38"/>
      <c r="R112" s="38"/>
      <c r="S112" s="38"/>
      <c r="T112" s="38"/>
      <c r="U112" s="38"/>
      <c r="V112" s="38"/>
      <c r="W112" s="38"/>
      <c r="X112" s="38"/>
      <c r="Y112" s="38"/>
      <c r="Z112" s="38"/>
    </row>
    <row r="113" spans="1:26" ht="15.75" customHeight="1" x14ac:dyDescent="0.2">
      <c r="A113" s="8" t="s">
        <v>164</v>
      </c>
      <c r="B113" s="1">
        <v>27.291457000000001</v>
      </c>
      <c r="C113" s="1" t="s">
        <v>1587</v>
      </c>
      <c r="D113" s="1" t="s">
        <v>1524</v>
      </c>
      <c r="E113" s="1" t="s">
        <v>2280</v>
      </c>
      <c r="F113" s="1" t="s">
        <v>1601</v>
      </c>
      <c r="G113" s="1" t="s">
        <v>2266</v>
      </c>
      <c r="H113" s="1" t="s">
        <v>2255</v>
      </c>
      <c r="I113" s="1" t="s">
        <v>2256</v>
      </c>
      <c r="J113" s="1" t="s">
        <v>2389</v>
      </c>
      <c r="M113" s="38"/>
      <c r="N113" s="38"/>
      <c r="O113" s="38"/>
      <c r="P113" s="38"/>
      <c r="Q113" s="38"/>
      <c r="R113" s="38"/>
      <c r="S113" s="38"/>
      <c r="T113" s="38"/>
      <c r="U113" s="38"/>
      <c r="V113" s="38"/>
      <c r="W113" s="38"/>
      <c r="X113" s="38"/>
      <c r="Y113" s="38"/>
      <c r="Z113" s="38"/>
    </row>
    <row r="114" spans="1:26" ht="15.75" customHeight="1" x14ac:dyDescent="0.2">
      <c r="A114" s="8" t="s">
        <v>170</v>
      </c>
      <c r="B114" s="1">
        <v>39.028863999999999</v>
      </c>
      <c r="C114" s="1" t="s">
        <v>1523</v>
      </c>
      <c r="D114" s="1" t="s">
        <v>1524</v>
      </c>
      <c r="E114" s="1" t="s">
        <v>2280</v>
      </c>
      <c r="F114" s="1" t="s">
        <v>1560</v>
      </c>
      <c r="G114" s="1" t="s">
        <v>2254</v>
      </c>
      <c r="H114" s="1" t="s">
        <v>2255</v>
      </c>
      <c r="I114" s="1" t="s">
        <v>2256</v>
      </c>
      <c r="J114" s="1" t="s">
        <v>2390</v>
      </c>
      <c r="M114" s="38"/>
      <c r="N114" s="38"/>
      <c r="O114" s="38"/>
      <c r="P114" s="38"/>
      <c r="Q114" s="38"/>
      <c r="R114" s="38"/>
      <c r="S114" s="38"/>
      <c r="T114" s="38"/>
      <c r="U114" s="38"/>
      <c r="V114" s="38"/>
      <c r="W114" s="38"/>
      <c r="X114" s="38"/>
      <c r="Y114" s="38"/>
      <c r="Z114" s="38"/>
    </row>
    <row r="115" spans="1:26" ht="15.75" customHeight="1" x14ac:dyDescent="0.2">
      <c r="A115" s="8" t="s">
        <v>170</v>
      </c>
      <c r="B115" s="1">
        <v>39.028863999999999</v>
      </c>
      <c r="C115" s="1" t="s">
        <v>1523</v>
      </c>
      <c r="D115" s="1" t="s">
        <v>1524</v>
      </c>
      <c r="E115" s="1" t="s">
        <v>2280</v>
      </c>
      <c r="F115" s="1" t="s">
        <v>1560</v>
      </c>
      <c r="G115" s="1" t="s">
        <v>2262</v>
      </c>
      <c r="H115" s="1" t="s">
        <v>2260</v>
      </c>
      <c r="I115" s="1" t="s">
        <v>2256</v>
      </c>
      <c r="J115" s="1" t="s">
        <v>2391</v>
      </c>
      <c r="M115" s="38"/>
      <c r="N115" s="38"/>
      <c r="O115" s="38"/>
      <c r="P115" s="38"/>
      <c r="Q115" s="38"/>
      <c r="R115" s="38"/>
      <c r="S115" s="38"/>
      <c r="T115" s="38"/>
      <c r="U115" s="38"/>
      <c r="V115" s="38"/>
      <c r="W115" s="38"/>
      <c r="X115" s="38"/>
      <c r="Y115" s="38"/>
      <c r="Z115" s="38"/>
    </row>
    <row r="116" spans="1:26" ht="15.75" customHeight="1" x14ac:dyDescent="0.2">
      <c r="A116" s="8" t="s">
        <v>175</v>
      </c>
      <c r="B116" s="1">
        <v>48.474528999999997</v>
      </c>
      <c r="C116" s="1" t="s">
        <v>1587</v>
      </c>
      <c r="D116" s="1" t="s">
        <v>1524</v>
      </c>
      <c r="E116" s="1" t="s">
        <v>1525</v>
      </c>
      <c r="F116" s="1" t="s">
        <v>1546</v>
      </c>
      <c r="G116" s="1" t="s">
        <v>2392</v>
      </c>
      <c r="H116" s="1" t="s">
        <v>2260</v>
      </c>
      <c r="I116" s="1" t="s">
        <v>2256</v>
      </c>
      <c r="J116" s="1" t="s">
        <v>2393</v>
      </c>
      <c r="M116" s="38"/>
      <c r="N116" s="38"/>
      <c r="O116" s="38"/>
      <c r="P116" s="38"/>
      <c r="Q116" s="38"/>
      <c r="R116" s="38"/>
      <c r="S116" s="38"/>
      <c r="T116" s="38"/>
      <c r="U116" s="38"/>
      <c r="V116" s="38"/>
      <c r="W116" s="38"/>
      <c r="X116" s="38"/>
      <c r="Y116" s="38"/>
      <c r="Z116" s="38"/>
    </row>
    <row r="117" spans="1:26" ht="15.75" customHeight="1" x14ac:dyDescent="0.2">
      <c r="A117" s="8" t="s">
        <v>175</v>
      </c>
      <c r="B117" s="1">
        <v>48.474528999999997</v>
      </c>
      <c r="C117" s="1" t="s">
        <v>1587</v>
      </c>
      <c r="D117" s="1" t="s">
        <v>1524</v>
      </c>
      <c r="E117" s="1" t="s">
        <v>1525</v>
      </c>
      <c r="F117" s="1" t="s">
        <v>1546</v>
      </c>
      <c r="G117" s="1" t="s">
        <v>1363</v>
      </c>
      <c r="H117" s="1" t="s">
        <v>2260</v>
      </c>
      <c r="I117" s="1" t="s">
        <v>2256</v>
      </c>
      <c r="J117" s="1" t="s">
        <v>2394</v>
      </c>
      <c r="M117" s="38"/>
      <c r="N117" s="38"/>
      <c r="O117" s="38"/>
      <c r="P117" s="38"/>
      <c r="Q117" s="38"/>
      <c r="R117" s="38"/>
      <c r="S117" s="38"/>
      <c r="T117" s="38"/>
      <c r="U117" s="38"/>
      <c r="V117" s="38"/>
      <c r="W117" s="38"/>
      <c r="X117" s="38"/>
      <c r="Y117" s="38"/>
      <c r="Z117" s="38"/>
    </row>
    <row r="118" spans="1:26" ht="15.75" customHeight="1" x14ac:dyDescent="0.2">
      <c r="A118" s="8" t="s">
        <v>175</v>
      </c>
      <c r="B118" s="1">
        <v>48.474528999999997</v>
      </c>
      <c r="C118" s="1" t="s">
        <v>1587</v>
      </c>
      <c r="D118" s="1" t="s">
        <v>1524</v>
      </c>
      <c r="E118" s="1" t="s">
        <v>1525</v>
      </c>
      <c r="F118" s="1" t="s">
        <v>1546</v>
      </c>
      <c r="G118" s="1" t="s">
        <v>1363</v>
      </c>
      <c r="H118" s="1" t="s">
        <v>2260</v>
      </c>
      <c r="I118" s="1" t="s">
        <v>2256</v>
      </c>
      <c r="J118" s="1" t="s">
        <v>2395</v>
      </c>
      <c r="M118" s="38"/>
      <c r="N118" s="38"/>
      <c r="O118" s="38"/>
      <c r="P118" s="38"/>
      <c r="Q118" s="38"/>
      <c r="R118" s="38"/>
      <c r="S118" s="38"/>
      <c r="T118" s="38"/>
      <c r="U118" s="38"/>
      <c r="V118" s="38"/>
      <c r="W118" s="38"/>
      <c r="X118" s="38"/>
      <c r="Y118" s="38"/>
      <c r="Z118" s="38"/>
    </row>
    <row r="119" spans="1:26" ht="15.75" customHeight="1" x14ac:dyDescent="0.2">
      <c r="A119" s="8" t="s">
        <v>175</v>
      </c>
      <c r="B119" s="1">
        <v>48.474528999999997</v>
      </c>
      <c r="C119" s="1" t="s">
        <v>1587</v>
      </c>
      <c r="D119" s="1" t="s">
        <v>1524</v>
      </c>
      <c r="E119" s="1" t="s">
        <v>1525</v>
      </c>
      <c r="F119" s="1" t="s">
        <v>1546</v>
      </c>
      <c r="G119" s="1" t="s">
        <v>2271</v>
      </c>
      <c r="H119" s="1" t="s">
        <v>2260</v>
      </c>
      <c r="I119" s="1" t="s">
        <v>2256</v>
      </c>
      <c r="J119" s="1" t="s">
        <v>2396</v>
      </c>
      <c r="M119" s="38"/>
      <c r="N119" s="38"/>
      <c r="O119" s="38"/>
      <c r="P119" s="38"/>
      <c r="Q119" s="38"/>
      <c r="R119" s="38"/>
      <c r="S119" s="38"/>
      <c r="T119" s="38"/>
      <c r="U119" s="38"/>
      <c r="V119" s="38"/>
      <c r="W119" s="38"/>
      <c r="X119" s="38"/>
      <c r="Y119" s="38"/>
      <c r="Z119" s="38"/>
    </row>
    <row r="120" spans="1:26" ht="15.75" customHeight="1" x14ac:dyDescent="0.2">
      <c r="A120" s="8" t="s">
        <v>175</v>
      </c>
      <c r="B120" s="1">
        <v>48.474528999999997</v>
      </c>
      <c r="C120" s="1" t="s">
        <v>1587</v>
      </c>
      <c r="D120" s="1" t="s">
        <v>1524</v>
      </c>
      <c r="E120" s="1" t="s">
        <v>1525</v>
      </c>
      <c r="F120" s="1" t="s">
        <v>1546</v>
      </c>
      <c r="G120" s="1" t="s">
        <v>2397</v>
      </c>
      <c r="H120" s="1" t="s">
        <v>2260</v>
      </c>
      <c r="I120" s="1" t="s">
        <v>2256</v>
      </c>
      <c r="J120" s="1" t="s">
        <v>2398</v>
      </c>
      <c r="M120" s="38"/>
      <c r="N120" s="38"/>
      <c r="O120" s="38"/>
      <c r="P120" s="38"/>
      <c r="Q120" s="38"/>
      <c r="R120" s="38"/>
      <c r="S120" s="38"/>
      <c r="T120" s="38"/>
      <c r="U120" s="38"/>
      <c r="V120" s="38"/>
      <c r="W120" s="38"/>
      <c r="X120" s="38"/>
      <c r="Y120" s="38"/>
      <c r="Z120" s="38"/>
    </row>
    <row r="121" spans="1:26" ht="15.75" customHeight="1" x14ac:dyDescent="0.2">
      <c r="A121" s="8" t="s">
        <v>175</v>
      </c>
      <c r="B121" s="1">
        <v>48.474528999999997</v>
      </c>
      <c r="C121" s="1" t="s">
        <v>1587</v>
      </c>
      <c r="D121" s="1" t="s">
        <v>1524</v>
      </c>
      <c r="E121" s="1" t="s">
        <v>1525</v>
      </c>
      <c r="F121" s="1" t="s">
        <v>1546</v>
      </c>
      <c r="G121" s="1" t="s">
        <v>2399</v>
      </c>
      <c r="H121" s="1" t="s">
        <v>2260</v>
      </c>
      <c r="I121" s="1" t="s">
        <v>2256</v>
      </c>
      <c r="J121" s="1" t="s">
        <v>2400</v>
      </c>
      <c r="M121" s="38"/>
      <c r="N121" s="38"/>
      <c r="O121" s="38"/>
      <c r="P121" s="38"/>
      <c r="Q121" s="38"/>
      <c r="R121" s="38"/>
      <c r="S121" s="38"/>
      <c r="T121" s="38"/>
      <c r="U121" s="38"/>
      <c r="V121" s="38"/>
      <c r="W121" s="38"/>
      <c r="X121" s="38"/>
      <c r="Y121" s="38"/>
      <c r="Z121" s="38"/>
    </row>
    <row r="122" spans="1:26" ht="15.75" customHeight="1" x14ac:dyDescent="0.2">
      <c r="A122" s="8" t="s">
        <v>175</v>
      </c>
      <c r="B122" s="1">
        <v>48.474528999999997</v>
      </c>
      <c r="C122" s="1" t="s">
        <v>1587</v>
      </c>
      <c r="D122" s="1" t="s">
        <v>1524</v>
      </c>
      <c r="E122" s="1" t="s">
        <v>1525</v>
      </c>
      <c r="F122" s="1" t="s">
        <v>1546</v>
      </c>
      <c r="G122" s="1" t="s">
        <v>2262</v>
      </c>
      <c r="H122" s="1" t="s">
        <v>2260</v>
      </c>
      <c r="I122" s="1" t="s">
        <v>2256</v>
      </c>
      <c r="J122" s="1" t="s">
        <v>2401</v>
      </c>
      <c r="M122" s="38"/>
      <c r="N122" s="38"/>
      <c r="O122" s="38"/>
      <c r="P122" s="38"/>
      <c r="Q122" s="38"/>
      <c r="R122" s="38"/>
      <c r="S122" s="38"/>
      <c r="T122" s="38"/>
      <c r="U122" s="38"/>
      <c r="V122" s="38"/>
      <c r="W122" s="38"/>
      <c r="X122" s="38"/>
      <c r="Y122" s="38"/>
      <c r="Z122" s="38"/>
    </row>
    <row r="123" spans="1:26" ht="15.75" customHeight="1" x14ac:dyDescent="0.2">
      <c r="A123" s="8" t="s">
        <v>175</v>
      </c>
      <c r="B123" s="1">
        <v>48.474528999999997</v>
      </c>
      <c r="C123" s="1" t="s">
        <v>1587</v>
      </c>
      <c r="D123" s="1" t="s">
        <v>1524</v>
      </c>
      <c r="E123" s="1" t="s">
        <v>1525</v>
      </c>
      <c r="F123" s="1" t="s">
        <v>1546</v>
      </c>
      <c r="G123" s="1" t="s">
        <v>2402</v>
      </c>
      <c r="H123" s="1" t="s">
        <v>2263</v>
      </c>
      <c r="I123" s="1" t="s">
        <v>2256</v>
      </c>
      <c r="J123" s="1" t="s">
        <v>2403</v>
      </c>
      <c r="M123" s="38"/>
      <c r="N123" s="38"/>
      <c r="O123" s="38"/>
      <c r="P123" s="38"/>
      <c r="Q123" s="38"/>
      <c r="R123" s="38"/>
      <c r="S123" s="38"/>
      <c r="T123" s="38"/>
      <c r="U123" s="38"/>
      <c r="V123" s="38"/>
      <c r="W123" s="38"/>
      <c r="X123" s="38"/>
      <c r="Y123" s="38"/>
      <c r="Z123" s="38"/>
    </row>
    <row r="124" spans="1:26" ht="15.75" customHeight="1" x14ac:dyDescent="0.2">
      <c r="A124" s="8" t="s">
        <v>175</v>
      </c>
      <c r="B124" s="1">
        <v>48.474528999999997</v>
      </c>
      <c r="C124" s="1" t="s">
        <v>1587</v>
      </c>
      <c r="D124" s="1" t="s">
        <v>1524</v>
      </c>
      <c r="E124" s="1" t="s">
        <v>1525</v>
      </c>
      <c r="F124" s="1" t="s">
        <v>1546</v>
      </c>
      <c r="G124" s="1" t="s">
        <v>2402</v>
      </c>
      <c r="H124" s="1" t="s">
        <v>2263</v>
      </c>
      <c r="I124" s="1" t="s">
        <v>2256</v>
      </c>
      <c r="J124" s="1" t="s">
        <v>2404</v>
      </c>
      <c r="M124" s="38"/>
      <c r="N124" s="38"/>
      <c r="O124" s="38"/>
      <c r="P124" s="38"/>
      <c r="Q124" s="38"/>
      <c r="R124" s="38"/>
      <c r="S124" s="38"/>
      <c r="T124" s="38"/>
      <c r="U124" s="38"/>
      <c r="V124" s="38"/>
      <c r="W124" s="38"/>
      <c r="X124" s="38"/>
      <c r="Y124" s="38"/>
      <c r="Z124" s="38"/>
    </row>
    <row r="125" spans="1:26" ht="15.75" customHeight="1" x14ac:dyDescent="0.2">
      <c r="A125" s="8" t="s">
        <v>175</v>
      </c>
      <c r="B125" s="1">
        <v>48.474528999999997</v>
      </c>
      <c r="C125" s="1" t="s">
        <v>1587</v>
      </c>
      <c r="D125" s="1" t="s">
        <v>1524</v>
      </c>
      <c r="E125" s="1" t="s">
        <v>1525</v>
      </c>
      <c r="F125" s="1" t="s">
        <v>1546</v>
      </c>
      <c r="G125" s="1" t="s">
        <v>2402</v>
      </c>
      <c r="H125" s="1" t="s">
        <v>2263</v>
      </c>
      <c r="I125" s="1" t="s">
        <v>2256</v>
      </c>
      <c r="J125" s="1" t="s">
        <v>2404</v>
      </c>
      <c r="M125" s="38"/>
      <c r="N125" s="38"/>
      <c r="O125" s="38"/>
      <c r="P125" s="38"/>
      <c r="Q125" s="38"/>
      <c r="R125" s="38"/>
      <c r="S125" s="38"/>
      <c r="T125" s="38"/>
      <c r="U125" s="38"/>
      <c r="V125" s="38"/>
      <c r="W125" s="38"/>
      <c r="X125" s="38"/>
      <c r="Y125" s="38"/>
      <c r="Z125" s="38"/>
    </row>
    <row r="126" spans="1:26" ht="15.75" customHeight="1" x14ac:dyDescent="0.2">
      <c r="A126" s="8" t="s">
        <v>175</v>
      </c>
      <c r="B126" s="1">
        <v>48.474528999999997</v>
      </c>
      <c r="C126" s="1" t="s">
        <v>1587</v>
      </c>
      <c r="D126" s="1" t="s">
        <v>1524</v>
      </c>
      <c r="E126" s="1" t="s">
        <v>1525</v>
      </c>
      <c r="F126" s="1" t="s">
        <v>1546</v>
      </c>
      <c r="G126" s="1" t="s">
        <v>2259</v>
      </c>
      <c r="H126" s="1" t="s">
        <v>2263</v>
      </c>
      <c r="I126" s="1" t="s">
        <v>2256</v>
      </c>
      <c r="J126" s="1" t="s">
        <v>2405</v>
      </c>
      <c r="M126" s="38"/>
      <c r="N126" s="38"/>
      <c r="O126" s="38"/>
      <c r="P126" s="38"/>
      <c r="Q126" s="38"/>
      <c r="R126" s="38"/>
      <c r="S126" s="38"/>
      <c r="T126" s="38"/>
      <c r="U126" s="38"/>
      <c r="V126" s="38"/>
      <c r="W126" s="38"/>
      <c r="X126" s="38"/>
      <c r="Y126" s="38"/>
      <c r="Z126" s="38"/>
    </row>
    <row r="127" spans="1:26" ht="15.75" customHeight="1" x14ac:dyDescent="0.2">
      <c r="A127" s="8" t="s">
        <v>175</v>
      </c>
      <c r="B127" s="1">
        <v>48.474528999999997</v>
      </c>
      <c r="C127" s="1" t="s">
        <v>1587</v>
      </c>
      <c r="D127" s="1" t="s">
        <v>1524</v>
      </c>
      <c r="E127" s="1" t="s">
        <v>1525</v>
      </c>
      <c r="F127" s="1" t="s">
        <v>1546</v>
      </c>
      <c r="G127" s="1" t="s">
        <v>2259</v>
      </c>
      <c r="H127" s="1" t="s">
        <v>2263</v>
      </c>
      <c r="I127" s="1" t="s">
        <v>2256</v>
      </c>
      <c r="J127" s="1" t="s">
        <v>2406</v>
      </c>
      <c r="M127" s="38"/>
      <c r="N127" s="38"/>
      <c r="O127" s="38"/>
      <c r="P127" s="38"/>
      <c r="Q127" s="38"/>
      <c r="R127" s="38"/>
      <c r="S127" s="38"/>
      <c r="T127" s="38"/>
      <c r="U127" s="38"/>
      <c r="V127" s="38"/>
      <c r="W127" s="38"/>
      <c r="X127" s="38"/>
      <c r="Y127" s="38"/>
      <c r="Z127" s="38"/>
    </row>
    <row r="128" spans="1:26" ht="15.75" customHeight="1" x14ac:dyDescent="0.2">
      <c r="A128" s="8" t="s">
        <v>175</v>
      </c>
      <c r="B128" s="1">
        <v>48.474528999999997</v>
      </c>
      <c r="C128" s="1" t="s">
        <v>1587</v>
      </c>
      <c r="D128" s="1" t="s">
        <v>1524</v>
      </c>
      <c r="E128" s="1" t="s">
        <v>1525</v>
      </c>
      <c r="F128" s="1" t="s">
        <v>1546</v>
      </c>
      <c r="G128" s="1" t="s">
        <v>2259</v>
      </c>
      <c r="H128" s="1" t="s">
        <v>2263</v>
      </c>
      <c r="I128" s="1" t="s">
        <v>2256</v>
      </c>
      <c r="J128" s="1" t="s">
        <v>2407</v>
      </c>
      <c r="M128" s="38"/>
      <c r="N128" s="38"/>
      <c r="O128" s="38"/>
      <c r="P128" s="38"/>
      <c r="Q128" s="38"/>
      <c r="R128" s="38"/>
      <c r="S128" s="38"/>
      <c r="T128" s="38"/>
      <c r="U128" s="38"/>
      <c r="V128" s="38"/>
      <c r="W128" s="38"/>
      <c r="X128" s="38"/>
      <c r="Y128" s="38"/>
      <c r="Z128" s="38"/>
    </row>
    <row r="129" spans="1:26" ht="15.75" customHeight="1" x14ac:dyDescent="0.2">
      <c r="A129" s="8" t="s">
        <v>175</v>
      </c>
      <c r="B129" s="1">
        <v>48.474528999999997</v>
      </c>
      <c r="C129" s="1" t="s">
        <v>1587</v>
      </c>
      <c r="D129" s="1" t="s">
        <v>1524</v>
      </c>
      <c r="E129" s="1" t="s">
        <v>1525</v>
      </c>
      <c r="F129" s="1" t="s">
        <v>1546</v>
      </c>
      <c r="G129" s="1" t="s">
        <v>2259</v>
      </c>
      <c r="H129" s="1" t="s">
        <v>2263</v>
      </c>
      <c r="I129" s="1" t="s">
        <v>2256</v>
      </c>
      <c r="J129" s="1" t="s">
        <v>2408</v>
      </c>
      <c r="M129" s="38"/>
      <c r="N129" s="38"/>
      <c r="O129" s="38"/>
      <c r="P129" s="38"/>
      <c r="Q129" s="38"/>
      <c r="R129" s="38"/>
      <c r="S129" s="38"/>
      <c r="T129" s="38"/>
      <c r="U129" s="38"/>
      <c r="V129" s="38"/>
      <c r="W129" s="38"/>
      <c r="X129" s="38"/>
      <c r="Y129" s="38"/>
      <c r="Z129" s="38"/>
    </row>
    <row r="130" spans="1:26" ht="15.75" customHeight="1" x14ac:dyDescent="0.2">
      <c r="A130" s="8" t="s">
        <v>175</v>
      </c>
      <c r="B130" s="1">
        <v>48.474528999999997</v>
      </c>
      <c r="C130" s="1" t="s">
        <v>1587</v>
      </c>
      <c r="D130" s="1" t="s">
        <v>1524</v>
      </c>
      <c r="E130" s="1" t="s">
        <v>1525</v>
      </c>
      <c r="F130" s="1" t="s">
        <v>1546</v>
      </c>
      <c r="G130" s="1" t="s">
        <v>2259</v>
      </c>
      <c r="H130" s="1" t="s">
        <v>2263</v>
      </c>
      <c r="I130" s="1" t="s">
        <v>2256</v>
      </c>
      <c r="J130" s="1" t="s">
        <v>2409</v>
      </c>
      <c r="M130" s="38"/>
      <c r="N130" s="38"/>
      <c r="O130" s="38"/>
      <c r="P130" s="38"/>
      <c r="Q130" s="38"/>
      <c r="R130" s="38"/>
      <c r="S130" s="38"/>
      <c r="T130" s="38"/>
      <c r="U130" s="38"/>
      <c r="V130" s="38"/>
      <c r="W130" s="38"/>
      <c r="X130" s="38"/>
      <c r="Y130" s="38"/>
      <c r="Z130" s="38"/>
    </row>
    <row r="131" spans="1:26" ht="15.75" customHeight="1" x14ac:dyDescent="0.2">
      <c r="A131" s="8" t="s">
        <v>175</v>
      </c>
      <c r="B131" s="1">
        <v>48.474528999999997</v>
      </c>
      <c r="C131" s="1" t="s">
        <v>1587</v>
      </c>
      <c r="D131" s="1" t="s">
        <v>1524</v>
      </c>
      <c r="E131" s="1" t="s">
        <v>1525</v>
      </c>
      <c r="F131" s="1" t="s">
        <v>1546</v>
      </c>
      <c r="G131" s="1" t="s">
        <v>2259</v>
      </c>
      <c r="H131" s="1" t="s">
        <v>2263</v>
      </c>
      <c r="I131" s="1" t="s">
        <v>2256</v>
      </c>
      <c r="J131" s="1" t="s">
        <v>2410</v>
      </c>
      <c r="M131" s="38"/>
      <c r="N131" s="38"/>
      <c r="O131" s="38"/>
      <c r="P131" s="38"/>
      <c r="Q131" s="38"/>
      <c r="R131" s="38"/>
      <c r="S131" s="38"/>
      <c r="T131" s="38"/>
      <c r="U131" s="38"/>
      <c r="V131" s="38"/>
      <c r="W131" s="38"/>
      <c r="X131" s="38"/>
      <c r="Y131" s="38"/>
      <c r="Z131" s="38"/>
    </row>
    <row r="132" spans="1:26" ht="15.75" customHeight="1" x14ac:dyDescent="0.2">
      <c r="A132" s="8" t="s">
        <v>175</v>
      </c>
      <c r="B132" s="1">
        <v>48.474528999999997</v>
      </c>
      <c r="C132" s="1" t="s">
        <v>1587</v>
      </c>
      <c r="D132" s="1" t="s">
        <v>1524</v>
      </c>
      <c r="E132" s="1" t="s">
        <v>1525</v>
      </c>
      <c r="F132" s="1" t="s">
        <v>1546</v>
      </c>
      <c r="G132" s="1" t="s">
        <v>2259</v>
      </c>
      <c r="H132" s="1" t="s">
        <v>2263</v>
      </c>
      <c r="I132" s="1" t="s">
        <v>2256</v>
      </c>
      <c r="J132" s="1" t="s">
        <v>2411</v>
      </c>
      <c r="M132" s="38"/>
      <c r="N132" s="38"/>
      <c r="O132" s="38"/>
      <c r="P132" s="38"/>
      <c r="Q132" s="38"/>
      <c r="R132" s="38"/>
      <c r="S132" s="38"/>
      <c r="T132" s="38"/>
      <c r="U132" s="38"/>
      <c r="V132" s="38"/>
      <c r="W132" s="38"/>
      <c r="X132" s="38"/>
      <c r="Y132" s="38"/>
      <c r="Z132" s="38"/>
    </row>
    <row r="133" spans="1:26" ht="15.75" customHeight="1" x14ac:dyDescent="0.2">
      <c r="A133" s="8" t="s">
        <v>175</v>
      </c>
      <c r="B133" s="1">
        <v>48.474528999999997</v>
      </c>
      <c r="C133" s="1" t="s">
        <v>1587</v>
      </c>
      <c r="D133" s="1" t="s">
        <v>1524</v>
      </c>
      <c r="E133" s="1" t="s">
        <v>1525</v>
      </c>
      <c r="F133" s="1" t="s">
        <v>1546</v>
      </c>
      <c r="G133" s="1" t="s">
        <v>2273</v>
      </c>
      <c r="H133" s="1" t="s">
        <v>2263</v>
      </c>
      <c r="I133" s="1" t="s">
        <v>2256</v>
      </c>
      <c r="J133" s="1" t="s">
        <v>2412</v>
      </c>
      <c r="M133" s="38"/>
      <c r="N133" s="38"/>
      <c r="O133" s="38"/>
      <c r="P133" s="38"/>
      <c r="Q133" s="38"/>
      <c r="R133" s="38"/>
      <c r="S133" s="38"/>
      <c r="T133" s="38"/>
      <c r="U133" s="38"/>
      <c r="V133" s="38"/>
      <c r="W133" s="38"/>
      <c r="X133" s="38"/>
      <c r="Y133" s="38"/>
      <c r="Z133" s="38"/>
    </row>
    <row r="134" spans="1:26" ht="15.75" customHeight="1" x14ac:dyDescent="0.2">
      <c r="A134" s="8" t="s">
        <v>175</v>
      </c>
      <c r="B134" s="1">
        <v>48.474528999999997</v>
      </c>
      <c r="C134" s="1" t="s">
        <v>1587</v>
      </c>
      <c r="D134" s="1" t="s">
        <v>1524</v>
      </c>
      <c r="E134" s="1" t="s">
        <v>1525</v>
      </c>
      <c r="F134" s="1" t="s">
        <v>1546</v>
      </c>
      <c r="G134" s="1" t="s">
        <v>2413</v>
      </c>
      <c r="H134" s="1" t="s">
        <v>2263</v>
      </c>
      <c r="I134" s="1" t="s">
        <v>2256</v>
      </c>
      <c r="J134" s="1" t="s">
        <v>2414</v>
      </c>
      <c r="M134" s="38"/>
      <c r="N134" s="38"/>
      <c r="O134" s="38"/>
      <c r="P134" s="38"/>
      <c r="Q134" s="38"/>
      <c r="R134" s="38"/>
      <c r="S134" s="38"/>
      <c r="T134" s="38"/>
      <c r="U134" s="38"/>
      <c r="V134" s="38"/>
      <c r="W134" s="38"/>
      <c r="X134" s="38"/>
      <c r="Y134" s="38"/>
      <c r="Z134" s="38"/>
    </row>
    <row r="135" spans="1:26" ht="15.75" customHeight="1" x14ac:dyDescent="0.2">
      <c r="A135" s="8" t="s">
        <v>175</v>
      </c>
      <c r="B135" s="1">
        <v>48.474528999999997</v>
      </c>
      <c r="C135" s="1" t="s">
        <v>1587</v>
      </c>
      <c r="D135" s="1" t="s">
        <v>1524</v>
      </c>
      <c r="E135" s="1" t="s">
        <v>1525</v>
      </c>
      <c r="F135" s="1" t="s">
        <v>1546</v>
      </c>
      <c r="G135" s="1" t="s">
        <v>2297</v>
      </c>
      <c r="H135" s="1" t="s">
        <v>2263</v>
      </c>
      <c r="I135" s="1" t="s">
        <v>2256</v>
      </c>
      <c r="J135" s="1" t="s">
        <v>2415</v>
      </c>
      <c r="M135" s="38"/>
      <c r="N135" s="38"/>
      <c r="O135" s="38"/>
      <c r="P135" s="38"/>
      <c r="Q135" s="38"/>
      <c r="R135" s="38"/>
      <c r="S135" s="38"/>
      <c r="T135" s="38"/>
      <c r="U135" s="38"/>
      <c r="V135" s="38"/>
      <c r="W135" s="38"/>
      <c r="X135" s="38"/>
      <c r="Y135" s="38"/>
      <c r="Z135" s="38"/>
    </row>
    <row r="136" spans="1:26" ht="15.75" customHeight="1" x14ac:dyDescent="0.2">
      <c r="A136" s="8" t="s">
        <v>175</v>
      </c>
      <c r="B136" s="1">
        <v>48.474528999999997</v>
      </c>
      <c r="C136" s="1" t="s">
        <v>1587</v>
      </c>
      <c r="D136" s="1" t="s">
        <v>1524</v>
      </c>
      <c r="E136" s="1" t="s">
        <v>1525</v>
      </c>
      <c r="F136" s="1" t="s">
        <v>1546</v>
      </c>
      <c r="G136" s="1" t="s">
        <v>2416</v>
      </c>
      <c r="H136" s="1" t="s">
        <v>2263</v>
      </c>
      <c r="I136" s="1" t="s">
        <v>2256</v>
      </c>
      <c r="J136" s="1" t="s">
        <v>2417</v>
      </c>
      <c r="M136" s="38"/>
      <c r="N136" s="38"/>
      <c r="O136" s="38"/>
      <c r="P136" s="38"/>
      <c r="Q136" s="38"/>
      <c r="R136" s="38"/>
      <c r="S136" s="38"/>
      <c r="T136" s="38"/>
      <c r="U136" s="38"/>
      <c r="V136" s="38"/>
      <c r="W136" s="38"/>
      <c r="X136" s="38"/>
      <c r="Y136" s="38"/>
      <c r="Z136" s="38"/>
    </row>
    <row r="137" spans="1:26" ht="15.75" customHeight="1" x14ac:dyDescent="0.2">
      <c r="A137" s="8" t="s">
        <v>175</v>
      </c>
      <c r="B137" s="1">
        <v>48.474528999999997</v>
      </c>
      <c r="C137" s="1" t="s">
        <v>1587</v>
      </c>
      <c r="D137" s="1" t="s">
        <v>1524</v>
      </c>
      <c r="E137" s="1" t="s">
        <v>1525</v>
      </c>
      <c r="F137" s="1" t="s">
        <v>1546</v>
      </c>
      <c r="G137" s="1" t="s">
        <v>2418</v>
      </c>
      <c r="H137" s="1" t="s">
        <v>2263</v>
      </c>
      <c r="I137" s="1" t="s">
        <v>2256</v>
      </c>
      <c r="J137" s="1" t="s">
        <v>2419</v>
      </c>
      <c r="M137" s="38"/>
      <c r="N137" s="38"/>
      <c r="O137" s="38"/>
      <c r="P137" s="38"/>
      <c r="Q137" s="38"/>
      <c r="R137" s="38"/>
      <c r="S137" s="38"/>
      <c r="T137" s="38"/>
      <c r="U137" s="38"/>
      <c r="V137" s="38"/>
      <c r="W137" s="38"/>
      <c r="X137" s="38"/>
      <c r="Y137" s="38"/>
      <c r="Z137" s="38"/>
    </row>
    <row r="138" spans="1:26" ht="15.75" customHeight="1" x14ac:dyDescent="0.2">
      <c r="A138" s="8" t="s">
        <v>175</v>
      </c>
      <c r="B138" s="1">
        <v>48.474528999999997</v>
      </c>
      <c r="C138" s="1" t="s">
        <v>1587</v>
      </c>
      <c r="D138" s="1" t="s">
        <v>1524</v>
      </c>
      <c r="E138" s="1" t="s">
        <v>1525</v>
      </c>
      <c r="F138" s="1" t="s">
        <v>1546</v>
      </c>
      <c r="G138" s="1" t="s">
        <v>2418</v>
      </c>
      <c r="H138" s="1" t="s">
        <v>2263</v>
      </c>
      <c r="I138" s="1" t="s">
        <v>2256</v>
      </c>
      <c r="J138" s="1" t="s">
        <v>2420</v>
      </c>
      <c r="M138" s="38"/>
      <c r="N138" s="38"/>
      <c r="O138" s="38"/>
      <c r="P138" s="38"/>
      <c r="Q138" s="38"/>
      <c r="R138" s="38"/>
      <c r="S138" s="38"/>
      <c r="T138" s="38"/>
      <c r="U138" s="38"/>
      <c r="V138" s="38"/>
      <c r="W138" s="38"/>
      <c r="X138" s="38"/>
      <c r="Y138" s="38"/>
      <c r="Z138" s="38"/>
    </row>
    <row r="139" spans="1:26" ht="15.75" customHeight="1" x14ac:dyDescent="0.2">
      <c r="A139" s="8" t="s">
        <v>175</v>
      </c>
      <c r="B139" s="1">
        <v>48.474528999999997</v>
      </c>
      <c r="C139" s="1" t="s">
        <v>1587</v>
      </c>
      <c r="D139" s="1" t="s">
        <v>1524</v>
      </c>
      <c r="E139" s="1" t="s">
        <v>1525</v>
      </c>
      <c r="F139" s="1" t="s">
        <v>1546</v>
      </c>
      <c r="G139" s="1" t="s">
        <v>2392</v>
      </c>
      <c r="H139" s="1" t="s">
        <v>2263</v>
      </c>
      <c r="I139" s="1" t="s">
        <v>2256</v>
      </c>
      <c r="J139" s="1" t="s">
        <v>2421</v>
      </c>
      <c r="M139" s="38"/>
      <c r="N139" s="38"/>
      <c r="O139" s="38"/>
      <c r="P139" s="38"/>
      <c r="Q139" s="38"/>
      <c r="R139" s="38"/>
      <c r="S139" s="38"/>
      <c r="T139" s="38"/>
      <c r="U139" s="38"/>
      <c r="V139" s="38"/>
      <c r="W139" s="38"/>
      <c r="X139" s="38"/>
      <c r="Y139" s="38"/>
      <c r="Z139" s="38"/>
    </row>
    <row r="140" spans="1:26" ht="15.75" customHeight="1" x14ac:dyDescent="0.2">
      <c r="A140" s="8" t="s">
        <v>175</v>
      </c>
      <c r="B140" s="1">
        <v>48.474528999999997</v>
      </c>
      <c r="C140" s="1" t="s">
        <v>1587</v>
      </c>
      <c r="D140" s="1" t="s">
        <v>1524</v>
      </c>
      <c r="E140" s="1" t="s">
        <v>1525</v>
      </c>
      <c r="F140" s="1" t="s">
        <v>1546</v>
      </c>
      <c r="G140" s="1" t="s">
        <v>2392</v>
      </c>
      <c r="H140" s="1" t="s">
        <v>2263</v>
      </c>
      <c r="I140" s="1" t="s">
        <v>2256</v>
      </c>
      <c r="J140" s="1" t="s">
        <v>2422</v>
      </c>
      <c r="M140" s="38"/>
      <c r="N140" s="38"/>
      <c r="O140" s="38"/>
      <c r="P140" s="38"/>
      <c r="Q140" s="38"/>
      <c r="R140" s="38"/>
      <c r="S140" s="38"/>
      <c r="T140" s="38"/>
      <c r="U140" s="38"/>
      <c r="V140" s="38"/>
      <c r="W140" s="38"/>
      <c r="X140" s="38"/>
      <c r="Y140" s="38"/>
      <c r="Z140" s="38"/>
    </row>
    <row r="141" spans="1:26" ht="15.75" customHeight="1" x14ac:dyDescent="0.2">
      <c r="A141" s="8" t="s">
        <v>175</v>
      </c>
      <c r="B141" s="1">
        <v>48.474528999999997</v>
      </c>
      <c r="C141" s="1" t="s">
        <v>1587</v>
      </c>
      <c r="D141" s="1" t="s">
        <v>1524</v>
      </c>
      <c r="E141" s="1" t="s">
        <v>1525</v>
      </c>
      <c r="F141" s="1" t="s">
        <v>1546</v>
      </c>
      <c r="G141" s="1" t="s">
        <v>1363</v>
      </c>
      <c r="H141" s="1" t="s">
        <v>2263</v>
      </c>
      <c r="I141" s="1" t="s">
        <v>2256</v>
      </c>
      <c r="J141" s="1" t="s">
        <v>2423</v>
      </c>
      <c r="M141" s="38"/>
      <c r="N141" s="38"/>
      <c r="O141" s="38"/>
      <c r="P141" s="38"/>
      <c r="Q141" s="38"/>
      <c r="R141" s="38"/>
      <c r="S141" s="38"/>
      <c r="T141" s="38"/>
      <c r="U141" s="38"/>
      <c r="V141" s="38"/>
      <c r="W141" s="38"/>
      <c r="X141" s="38"/>
      <c r="Y141" s="38"/>
      <c r="Z141" s="38"/>
    </row>
    <row r="142" spans="1:26" ht="15.75" customHeight="1" x14ac:dyDescent="0.2">
      <c r="A142" s="8" t="s">
        <v>175</v>
      </c>
      <c r="B142" s="1">
        <v>48.474528999999997</v>
      </c>
      <c r="C142" s="1" t="s">
        <v>1587</v>
      </c>
      <c r="D142" s="1" t="s">
        <v>1524</v>
      </c>
      <c r="E142" s="1" t="s">
        <v>1525</v>
      </c>
      <c r="F142" s="1" t="s">
        <v>1546</v>
      </c>
      <c r="G142" s="1" t="s">
        <v>1363</v>
      </c>
      <c r="H142" s="1" t="s">
        <v>2263</v>
      </c>
      <c r="I142" s="1" t="s">
        <v>2256</v>
      </c>
      <c r="J142" s="1" t="s">
        <v>2424</v>
      </c>
      <c r="M142" s="38"/>
      <c r="N142" s="38"/>
      <c r="O142" s="38"/>
      <c r="P142" s="38"/>
      <c r="Q142" s="38"/>
      <c r="R142" s="38"/>
      <c r="S142" s="38"/>
      <c r="T142" s="38"/>
      <c r="U142" s="38"/>
      <c r="V142" s="38"/>
      <c r="W142" s="38"/>
      <c r="X142" s="38"/>
      <c r="Y142" s="38"/>
      <c r="Z142" s="38"/>
    </row>
    <row r="143" spans="1:26" ht="15.75" customHeight="1" x14ac:dyDescent="0.2">
      <c r="A143" s="8" t="s">
        <v>175</v>
      </c>
      <c r="B143" s="1">
        <v>48.474528999999997</v>
      </c>
      <c r="C143" s="1" t="s">
        <v>1587</v>
      </c>
      <c r="D143" s="1" t="s">
        <v>1524</v>
      </c>
      <c r="E143" s="1" t="s">
        <v>1525</v>
      </c>
      <c r="F143" s="1" t="s">
        <v>1546</v>
      </c>
      <c r="G143" s="1" t="s">
        <v>1363</v>
      </c>
      <c r="H143" s="1" t="s">
        <v>2263</v>
      </c>
      <c r="I143" s="1" t="s">
        <v>2256</v>
      </c>
      <c r="J143" s="1" t="s">
        <v>2425</v>
      </c>
      <c r="M143" s="38"/>
      <c r="N143" s="38"/>
      <c r="O143" s="38"/>
      <c r="P143" s="38"/>
      <c r="Q143" s="38"/>
      <c r="R143" s="38"/>
      <c r="S143" s="38"/>
      <c r="T143" s="38"/>
      <c r="U143" s="38"/>
      <c r="V143" s="38"/>
      <c r="W143" s="38"/>
      <c r="X143" s="38"/>
      <c r="Y143" s="38"/>
      <c r="Z143" s="38"/>
    </row>
    <row r="144" spans="1:26" ht="15.75" customHeight="1" x14ac:dyDescent="0.2">
      <c r="A144" s="8" t="s">
        <v>175</v>
      </c>
      <c r="B144" s="1">
        <v>48.474528999999997</v>
      </c>
      <c r="C144" s="1" t="s">
        <v>1587</v>
      </c>
      <c r="D144" s="1" t="s">
        <v>1524</v>
      </c>
      <c r="E144" s="1" t="s">
        <v>1525</v>
      </c>
      <c r="F144" s="1" t="s">
        <v>1546</v>
      </c>
      <c r="G144" s="1" t="s">
        <v>1363</v>
      </c>
      <c r="H144" s="1" t="s">
        <v>2263</v>
      </c>
      <c r="I144" s="1" t="s">
        <v>2256</v>
      </c>
      <c r="J144" s="1" t="s">
        <v>2426</v>
      </c>
      <c r="M144" s="38"/>
      <c r="N144" s="38"/>
      <c r="O144" s="38"/>
      <c r="P144" s="38"/>
      <c r="Q144" s="38"/>
      <c r="R144" s="38"/>
      <c r="S144" s="38"/>
      <c r="T144" s="38"/>
      <c r="U144" s="38"/>
      <c r="V144" s="38"/>
      <c r="W144" s="38"/>
      <c r="X144" s="38"/>
      <c r="Y144" s="38"/>
      <c r="Z144" s="38"/>
    </row>
    <row r="145" spans="1:26" ht="15.75" customHeight="1" x14ac:dyDescent="0.2">
      <c r="A145" s="8" t="s">
        <v>175</v>
      </c>
      <c r="B145" s="1">
        <v>48.474528999999997</v>
      </c>
      <c r="C145" s="1" t="s">
        <v>1587</v>
      </c>
      <c r="D145" s="1" t="s">
        <v>1524</v>
      </c>
      <c r="E145" s="1" t="s">
        <v>1525</v>
      </c>
      <c r="F145" s="1" t="s">
        <v>1546</v>
      </c>
      <c r="G145" s="1" t="s">
        <v>1363</v>
      </c>
      <c r="H145" s="1" t="s">
        <v>2263</v>
      </c>
      <c r="I145" s="1" t="s">
        <v>2256</v>
      </c>
      <c r="J145" s="1" t="s">
        <v>2427</v>
      </c>
      <c r="M145" s="38"/>
      <c r="N145" s="38"/>
      <c r="O145" s="38"/>
      <c r="P145" s="38"/>
      <c r="Q145" s="38"/>
      <c r="R145" s="38"/>
      <c r="S145" s="38"/>
      <c r="T145" s="38"/>
      <c r="U145" s="38"/>
      <c r="V145" s="38"/>
      <c r="W145" s="38"/>
      <c r="X145" s="38"/>
      <c r="Y145" s="38"/>
      <c r="Z145" s="38"/>
    </row>
    <row r="146" spans="1:26" ht="15.75" customHeight="1" x14ac:dyDescent="0.2">
      <c r="A146" s="8" t="s">
        <v>175</v>
      </c>
      <c r="B146" s="1">
        <v>48.474528999999997</v>
      </c>
      <c r="C146" s="1" t="s">
        <v>1587</v>
      </c>
      <c r="D146" s="1" t="s">
        <v>1524</v>
      </c>
      <c r="E146" s="1" t="s">
        <v>1525</v>
      </c>
      <c r="F146" s="1" t="s">
        <v>1546</v>
      </c>
      <c r="G146" s="1" t="s">
        <v>2299</v>
      </c>
      <c r="H146" s="1" t="s">
        <v>2263</v>
      </c>
      <c r="I146" s="1" t="s">
        <v>2256</v>
      </c>
      <c r="J146" s="1" t="s">
        <v>2428</v>
      </c>
      <c r="M146" s="38"/>
      <c r="N146" s="38"/>
      <c r="O146" s="38"/>
      <c r="P146" s="38"/>
      <c r="Q146" s="38"/>
      <c r="R146" s="38"/>
      <c r="S146" s="38"/>
      <c r="T146" s="38"/>
      <c r="U146" s="38"/>
      <c r="V146" s="38"/>
      <c r="W146" s="38"/>
      <c r="X146" s="38"/>
      <c r="Y146" s="38"/>
      <c r="Z146" s="38"/>
    </row>
    <row r="147" spans="1:26" ht="15.75" customHeight="1" x14ac:dyDescent="0.2">
      <c r="A147" s="8" t="s">
        <v>175</v>
      </c>
      <c r="B147" s="1">
        <v>48.474528999999997</v>
      </c>
      <c r="C147" s="1" t="s">
        <v>1587</v>
      </c>
      <c r="D147" s="1" t="s">
        <v>1524</v>
      </c>
      <c r="E147" s="1" t="s">
        <v>1525</v>
      </c>
      <c r="F147" s="1" t="s">
        <v>1546</v>
      </c>
      <c r="G147" s="1" t="s">
        <v>2399</v>
      </c>
      <c r="H147" s="1" t="s">
        <v>2263</v>
      </c>
      <c r="I147" s="1" t="s">
        <v>2256</v>
      </c>
      <c r="J147" s="1" t="s">
        <v>2429</v>
      </c>
      <c r="M147" s="38"/>
      <c r="N147" s="38"/>
      <c r="O147" s="38"/>
      <c r="P147" s="38"/>
      <c r="Q147" s="38"/>
      <c r="R147" s="38"/>
      <c r="S147" s="38"/>
      <c r="T147" s="38"/>
      <c r="U147" s="38"/>
      <c r="V147" s="38"/>
      <c r="W147" s="38"/>
      <c r="X147" s="38"/>
      <c r="Y147" s="38"/>
      <c r="Z147" s="38"/>
    </row>
    <row r="148" spans="1:26" ht="15.75" customHeight="1" x14ac:dyDescent="0.2">
      <c r="A148" s="8" t="s">
        <v>175</v>
      </c>
      <c r="B148" s="1">
        <v>48.474528999999997</v>
      </c>
      <c r="C148" s="1" t="s">
        <v>1587</v>
      </c>
      <c r="D148" s="1" t="s">
        <v>1524</v>
      </c>
      <c r="E148" s="1" t="s">
        <v>1525</v>
      </c>
      <c r="F148" s="1" t="s">
        <v>1546</v>
      </c>
      <c r="G148" s="1" t="s">
        <v>2399</v>
      </c>
      <c r="H148" s="1" t="s">
        <v>2263</v>
      </c>
      <c r="I148" s="1" t="s">
        <v>2256</v>
      </c>
      <c r="J148" s="1" t="s">
        <v>2430</v>
      </c>
      <c r="M148" s="38"/>
      <c r="N148" s="38"/>
      <c r="O148" s="38"/>
      <c r="P148" s="38"/>
      <c r="Q148" s="38"/>
      <c r="R148" s="38"/>
      <c r="S148" s="38"/>
      <c r="T148" s="38"/>
      <c r="U148" s="38"/>
      <c r="V148" s="38"/>
      <c r="W148" s="38"/>
      <c r="X148" s="38"/>
      <c r="Y148" s="38"/>
      <c r="Z148" s="38"/>
    </row>
    <row r="149" spans="1:26" ht="15.75" customHeight="1" x14ac:dyDescent="0.2">
      <c r="A149" s="8" t="s">
        <v>175</v>
      </c>
      <c r="B149" s="1">
        <v>48.474528999999997</v>
      </c>
      <c r="C149" s="1" t="s">
        <v>1587</v>
      </c>
      <c r="D149" s="1" t="s">
        <v>1524</v>
      </c>
      <c r="E149" s="1" t="s">
        <v>1525</v>
      </c>
      <c r="F149" s="1" t="s">
        <v>1546</v>
      </c>
      <c r="G149" s="1" t="s">
        <v>2431</v>
      </c>
      <c r="H149" s="1" t="s">
        <v>2263</v>
      </c>
      <c r="I149" s="1" t="s">
        <v>2256</v>
      </c>
      <c r="J149" s="1" t="s">
        <v>2432</v>
      </c>
      <c r="M149" s="38"/>
      <c r="N149" s="38"/>
      <c r="O149" s="38"/>
      <c r="P149" s="38"/>
      <c r="Q149" s="38"/>
      <c r="R149" s="38"/>
      <c r="S149" s="38"/>
      <c r="T149" s="38"/>
      <c r="U149" s="38"/>
      <c r="V149" s="38"/>
      <c r="W149" s="38"/>
      <c r="X149" s="38"/>
      <c r="Y149" s="38"/>
      <c r="Z149" s="38"/>
    </row>
    <row r="150" spans="1:26" ht="15.75" customHeight="1" x14ac:dyDescent="0.2">
      <c r="A150" s="8" t="s">
        <v>214</v>
      </c>
      <c r="B150" s="1">
        <v>41.802250000000001</v>
      </c>
      <c r="C150" s="1" t="s">
        <v>1523</v>
      </c>
      <c r="D150" s="1" t="s">
        <v>1524</v>
      </c>
      <c r="E150" s="1" t="s">
        <v>1525</v>
      </c>
      <c r="F150" s="1" t="s">
        <v>1560</v>
      </c>
      <c r="G150" s="1" t="s">
        <v>2254</v>
      </c>
      <c r="H150" s="1" t="s">
        <v>2255</v>
      </c>
      <c r="I150" s="1" t="s">
        <v>2256</v>
      </c>
      <c r="J150" s="1" t="s">
        <v>2433</v>
      </c>
      <c r="M150" s="38"/>
      <c r="N150" s="38"/>
      <c r="O150" s="38"/>
      <c r="P150" s="38"/>
      <c r="Q150" s="38"/>
      <c r="R150" s="38"/>
      <c r="S150" s="38"/>
      <c r="T150" s="38"/>
      <c r="U150" s="38"/>
      <c r="V150" s="38"/>
      <c r="W150" s="38"/>
      <c r="X150" s="38"/>
      <c r="Y150" s="38"/>
      <c r="Z150" s="38"/>
    </row>
    <row r="151" spans="1:26" ht="15.75" customHeight="1" x14ac:dyDescent="0.2">
      <c r="A151" s="8" t="s">
        <v>214</v>
      </c>
      <c r="B151" s="1">
        <v>41.802250000000001</v>
      </c>
      <c r="C151" s="1" t="s">
        <v>1523</v>
      </c>
      <c r="D151" s="1" t="s">
        <v>1524</v>
      </c>
      <c r="E151" s="1" t="s">
        <v>1525</v>
      </c>
      <c r="F151" s="1" t="s">
        <v>1560</v>
      </c>
      <c r="G151" s="1" t="s">
        <v>2262</v>
      </c>
      <c r="H151" s="1" t="s">
        <v>2260</v>
      </c>
      <c r="I151" s="1" t="s">
        <v>2256</v>
      </c>
      <c r="J151" s="1" t="s">
        <v>2434</v>
      </c>
      <c r="M151" s="38"/>
      <c r="N151" s="38"/>
      <c r="O151" s="38"/>
      <c r="P151" s="38"/>
      <c r="Q151" s="38"/>
      <c r="R151" s="38"/>
      <c r="S151" s="38"/>
      <c r="T151" s="38"/>
      <c r="U151" s="38"/>
      <c r="V151" s="38"/>
      <c r="W151" s="38"/>
      <c r="X151" s="38"/>
      <c r="Y151" s="38"/>
      <c r="Z151" s="38"/>
    </row>
    <row r="152" spans="1:26" ht="15.75" customHeight="1" x14ac:dyDescent="0.2">
      <c r="A152" s="8" t="s">
        <v>218</v>
      </c>
      <c r="B152" s="1">
        <v>5.3362949999999998</v>
      </c>
      <c r="C152" s="1" t="s">
        <v>1523</v>
      </c>
      <c r="D152" s="1" t="s">
        <v>1524</v>
      </c>
      <c r="E152" s="1" t="s">
        <v>2280</v>
      </c>
      <c r="F152" s="1" t="s">
        <v>1583</v>
      </c>
      <c r="G152" s="1" t="s">
        <v>2356</v>
      </c>
      <c r="H152" s="1" t="s">
        <v>2255</v>
      </c>
      <c r="I152" s="1" t="s">
        <v>2274</v>
      </c>
      <c r="J152" s="1" t="s">
        <v>2435</v>
      </c>
      <c r="M152" s="38"/>
      <c r="N152" s="38"/>
      <c r="O152" s="38"/>
      <c r="P152" s="38"/>
      <c r="Q152" s="38"/>
      <c r="R152" s="38"/>
      <c r="S152" s="38"/>
      <c r="T152" s="38"/>
      <c r="U152" s="38"/>
      <c r="V152" s="38"/>
      <c r="W152" s="38"/>
      <c r="X152" s="38"/>
      <c r="Y152" s="38"/>
      <c r="Z152" s="38"/>
    </row>
    <row r="153" spans="1:26" ht="15.75" customHeight="1" x14ac:dyDescent="0.2">
      <c r="A153" s="8" t="s">
        <v>218</v>
      </c>
      <c r="B153" s="1">
        <v>5.3362949999999998</v>
      </c>
      <c r="C153" s="1" t="s">
        <v>1523</v>
      </c>
      <c r="D153" s="1" t="s">
        <v>1524</v>
      </c>
      <c r="E153" s="1" t="s">
        <v>2280</v>
      </c>
      <c r="F153" s="1" t="s">
        <v>1583</v>
      </c>
      <c r="G153" s="1" t="s">
        <v>2436</v>
      </c>
      <c r="H153" s="1" t="s">
        <v>2263</v>
      </c>
      <c r="I153" s="1" t="s">
        <v>2256</v>
      </c>
      <c r="J153" s="1" t="s">
        <v>2437</v>
      </c>
      <c r="M153" s="38"/>
      <c r="N153" s="38"/>
      <c r="O153" s="38"/>
      <c r="P153" s="38"/>
      <c r="Q153" s="38"/>
      <c r="R153" s="38"/>
      <c r="S153" s="38"/>
      <c r="T153" s="38"/>
      <c r="U153" s="38"/>
      <c r="V153" s="38"/>
      <c r="W153" s="38"/>
      <c r="X153" s="38"/>
      <c r="Y153" s="38"/>
      <c r="Z153" s="38"/>
    </row>
    <row r="154" spans="1:26" ht="15.75" customHeight="1" x14ac:dyDescent="0.2">
      <c r="A154" s="8" t="s">
        <v>520</v>
      </c>
      <c r="B154" s="1">
        <v>19.255700000000001</v>
      </c>
      <c r="C154" s="1" t="s">
        <v>1523</v>
      </c>
      <c r="D154" s="1" t="s">
        <v>1524</v>
      </c>
      <c r="E154" s="1" t="s">
        <v>2280</v>
      </c>
      <c r="F154" s="1" t="s">
        <v>1528</v>
      </c>
      <c r="G154" s="1" t="s">
        <v>2431</v>
      </c>
      <c r="H154" s="1" t="s">
        <v>2260</v>
      </c>
      <c r="I154" s="1" t="s">
        <v>2256</v>
      </c>
      <c r="J154" s="1" t="s">
        <v>2438</v>
      </c>
      <c r="M154" s="38"/>
      <c r="N154" s="38"/>
      <c r="O154" s="38"/>
      <c r="P154" s="38"/>
      <c r="Q154" s="38"/>
      <c r="R154" s="38"/>
      <c r="S154" s="38"/>
      <c r="T154" s="38"/>
      <c r="U154" s="38"/>
      <c r="V154" s="38"/>
      <c r="W154" s="38"/>
      <c r="X154" s="38"/>
      <c r="Y154" s="38"/>
      <c r="Z154" s="38"/>
    </row>
    <row r="155" spans="1:26" ht="15.75" customHeight="1" x14ac:dyDescent="0.2">
      <c r="A155" s="8" t="s">
        <v>520</v>
      </c>
      <c r="B155" s="1">
        <v>19.255700000000001</v>
      </c>
      <c r="C155" s="1" t="s">
        <v>1523</v>
      </c>
      <c r="D155" s="1" t="s">
        <v>1524</v>
      </c>
      <c r="E155" s="1" t="s">
        <v>2280</v>
      </c>
      <c r="F155" s="1" t="s">
        <v>1528</v>
      </c>
      <c r="G155" s="1" t="s">
        <v>2262</v>
      </c>
      <c r="H155" s="1" t="s">
        <v>2260</v>
      </c>
      <c r="I155" s="1" t="s">
        <v>2256</v>
      </c>
      <c r="J155" s="1" t="s">
        <v>2439</v>
      </c>
      <c r="M155" s="38"/>
      <c r="N155" s="38"/>
      <c r="O155" s="38"/>
      <c r="P155" s="38"/>
      <c r="Q155" s="38"/>
      <c r="R155" s="38"/>
      <c r="S155" s="38"/>
      <c r="T155" s="38"/>
      <c r="U155" s="38"/>
      <c r="V155" s="38"/>
      <c r="W155" s="38"/>
      <c r="X155" s="38"/>
      <c r="Y155" s="38"/>
      <c r="Z155" s="38"/>
    </row>
    <row r="156" spans="1:26" ht="15.75" customHeight="1" x14ac:dyDescent="0.2">
      <c r="A156" s="8" t="s">
        <v>520</v>
      </c>
      <c r="B156" s="1">
        <v>19.255700000000001</v>
      </c>
      <c r="C156" s="1" t="s">
        <v>1523</v>
      </c>
      <c r="D156" s="1" t="s">
        <v>1524</v>
      </c>
      <c r="E156" s="1" t="s">
        <v>2280</v>
      </c>
      <c r="F156" s="1" t="s">
        <v>1528</v>
      </c>
      <c r="G156" s="1" t="s">
        <v>2259</v>
      </c>
      <c r="H156" s="1" t="s">
        <v>2263</v>
      </c>
      <c r="I156" s="1" t="s">
        <v>2256</v>
      </c>
      <c r="J156" s="1" t="s">
        <v>2440</v>
      </c>
      <c r="M156" s="38"/>
      <c r="N156" s="38"/>
      <c r="O156" s="38"/>
      <c r="P156" s="38"/>
      <c r="Q156" s="38"/>
      <c r="R156" s="38"/>
      <c r="S156" s="38"/>
      <c r="T156" s="38"/>
      <c r="U156" s="38"/>
      <c r="V156" s="38"/>
      <c r="W156" s="38"/>
      <c r="X156" s="38"/>
      <c r="Y156" s="38"/>
      <c r="Z156" s="38"/>
    </row>
    <row r="157" spans="1:26" ht="15.75" customHeight="1" x14ac:dyDescent="0.2">
      <c r="A157" s="8" t="s">
        <v>520</v>
      </c>
      <c r="B157" s="1">
        <v>19.255700000000001</v>
      </c>
      <c r="C157" s="1" t="s">
        <v>1523</v>
      </c>
      <c r="D157" s="1" t="s">
        <v>1524</v>
      </c>
      <c r="E157" s="1" t="s">
        <v>2280</v>
      </c>
      <c r="F157" s="1" t="s">
        <v>1528</v>
      </c>
      <c r="G157" s="1" t="s">
        <v>2259</v>
      </c>
      <c r="H157" s="1" t="s">
        <v>2263</v>
      </c>
      <c r="I157" s="1" t="s">
        <v>2256</v>
      </c>
      <c r="J157" s="1" t="s">
        <v>2441</v>
      </c>
      <c r="M157" s="38"/>
      <c r="N157" s="38"/>
      <c r="O157" s="38"/>
      <c r="P157" s="38"/>
      <c r="Q157" s="38"/>
      <c r="R157" s="38"/>
      <c r="S157" s="38"/>
      <c r="T157" s="38"/>
      <c r="U157" s="38"/>
      <c r="V157" s="38"/>
      <c r="W157" s="38"/>
      <c r="X157" s="38"/>
      <c r="Y157" s="38"/>
      <c r="Z157" s="38"/>
    </row>
    <row r="158" spans="1:26" ht="15.75" customHeight="1" x14ac:dyDescent="0.2">
      <c r="A158" s="8" t="s">
        <v>520</v>
      </c>
      <c r="B158" s="1">
        <v>19.255700000000001</v>
      </c>
      <c r="C158" s="1" t="s">
        <v>1523</v>
      </c>
      <c r="D158" s="1" t="s">
        <v>1524</v>
      </c>
      <c r="E158" s="1" t="s">
        <v>2280</v>
      </c>
      <c r="F158" s="1" t="s">
        <v>1528</v>
      </c>
      <c r="G158" s="1" t="s">
        <v>2442</v>
      </c>
      <c r="H158" s="1" t="s">
        <v>2263</v>
      </c>
      <c r="I158" s="1" t="s">
        <v>2256</v>
      </c>
      <c r="J158" s="1" t="s">
        <v>2443</v>
      </c>
      <c r="M158" s="38"/>
      <c r="N158" s="38"/>
      <c r="O158" s="38"/>
      <c r="P158" s="38"/>
      <c r="Q158" s="38"/>
      <c r="R158" s="38"/>
      <c r="S158" s="38"/>
      <c r="T158" s="38"/>
      <c r="U158" s="38"/>
      <c r="V158" s="38"/>
      <c r="W158" s="38"/>
      <c r="X158" s="38"/>
      <c r="Y158" s="38"/>
      <c r="Z158" s="38"/>
    </row>
    <row r="159" spans="1:26" ht="15.75" customHeight="1" x14ac:dyDescent="0.2">
      <c r="A159" s="8" t="s">
        <v>224</v>
      </c>
      <c r="B159" s="1">
        <v>68.628263000000004</v>
      </c>
      <c r="C159" s="1" t="s">
        <v>1523</v>
      </c>
      <c r="D159" s="1" t="s">
        <v>1524</v>
      </c>
      <c r="E159" s="1" t="s">
        <v>2253</v>
      </c>
      <c r="F159" s="1" t="s">
        <v>1601</v>
      </c>
      <c r="G159" s="1" t="s">
        <v>2254</v>
      </c>
      <c r="H159" s="1" t="s">
        <v>2255</v>
      </c>
      <c r="I159" s="1" t="s">
        <v>2256</v>
      </c>
      <c r="J159" s="1" t="s">
        <v>2315</v>
      </c>
      <c r="M159" s="38"/>
      <c r="N159" s="38"/>
      <c r="O159" s="38"/>
      <c r="P159" s="38"/>
      <c r="Q159" s="38"/>
      <c r="R159" s="38"/>
      <c r="S159" s="38"/>
      <c r="T159" s="38"/>
      <c r="U159" s="38"/>
      <c r="V159" s="38"/>
      <c r="W159" s="38"/>
      <c r="X159" s="38"/>
      <c r="Y159" s="38"/>
      <c r="Z159" s="38"/>
    </row>
    <row r="160" spans="1:26" ht="15.75" customHeight="1" x14ac:dyDescent="0.2">
      <c r="A160" s="8" t="s">
        <v>224</v>
      </c>
      <c r="B160" s="1">
        <v>68.628263000000004</v>
      </c>
      <c r="C160" s="1" t="s">
        <v>1523</v>
      </c>
      <c r="D160" s="1" t="s">
        <v>1524</v>
      </c>
      <c r="E160" s="1" t="s">
        <v>2253</v>
      </c>
      <c r="F160" s="1" t="s">
        <v>1601</v>
      </c>
      <c r="G160" s="1" t="s">
        <v>2266</v>
      </c>
      <c r="H160" s="1" t="s">
        <v>2255</v>
      </c>
      <c r="I160" s="1" t="s">
        <v>2256</v>
      </c>
      <c r="J160" s="1" t="s">
        <v>2444</v>
      </c>
      <c r="M160" s="38"/>
      <c r="N160" s="38"/>
      <c r="O160" s="38"/>
      <c r="P160" s="38"/>
      <c r="Q160" s="38"/>
      <c r="R160" s="38"/>
      <c r="S160" s="38"/>
      <c r="T160" s="38"/>
      <c r="U160" s="38"/>
      <c r="V160" s="38"/>
      <c r="W160" s="38"/>
      <c r="X160" s="38"/>
      <c r="Y160" s="38"/>
      <c r="Z160" s="38"/>
    </row>
    <row r="161" spans="1:26" ht="15.75" customHeight="1" x14ac:dyDescent="0.2">
      <c r="A161" s="8" t="s">
        <v>228</v>
      </c>
      <c r="B161" s="1">
        <v>19.825071000000001</v>
      </c>
      <c r="C161" s="1" t="s">
        <v>1523</v>
      </c>
      <c r="D161" s="1" t="s">
        <v>1524</v>
      </c>
      <c r="E161" s="1" t="s">
        <v>2280</v>
      </c>
      <c r="F161" s="1" t="s">
        <v>1583</v>
      </c>
      <c r="G161" s="1" t="s">
        <v>2290</v>
      </c>
      <c r="H161" s="1" t="s">
        <v>2260</v>
      </c>
      <c r="I161" s="1" t="s">
        <v>2256</v>
      </c>
      <c r="J161" s="1" t="s">
        <v>2445</v>
      </c>
      <c r="M161" s="38"/>
      <c r="N161" s="38"/>
      <c r="O161" s="38"/>
      <c r="P161" s="38"/>
      <c r="Q161" s="38"/>
      <c r="R161" s="38"/>
      <c r="S161" s="38"/>
      <c r="T161" s="38"/>
      <c r="U161" s="38"/>
      <c r="V161" s="38"/>
      <c r="W161" s="38"/>
      <c r="X161" s="38"/>
      <c r="Y161" s="38"/>
      <c r="Z161" s="38"/>
    </row>
    <row r="162" spans="1:26" ht="15.75" customHeight="1" x14ac:dyDescent="0.2">
      <c r="A162" s="8" t="s">
        <v>234</v>
      </c>
      <c r="B162" s="1">
        <v>20.515022999999999</v>
      </c>
      <c r="C162" s="1" t="s">
        <v>1523</v>
      </c>
      <c r="D162" s="1" t="s">
        <v>1524</v>
      </c>
      <c r="E162" s="1" t="s">
        <v>2253</v>
      </c>
      <c r="F162" s="1" t="s">
        <v>1583</v>
      </c>
      <c r="G162" s="1" t="s">
        <v>2446</v>
      </c>
      <c r="H162" s="1" t="s">
        <v>2260</v>
      </c>
      <c r="I162" s="1" t="s">
        <v>2274</v>
      </c>
      <c r="J162" s="1" t="s">
        <v>2447</v>
      </c>
      <c r="M162" s="38"/>
      <c r="N162" s="38"/>
      <c r="O162" s="38"/>
      <c r="P162" s="38"/>
      <c r="Q162" s="38"/>
      <c r="R162" s="38"/>
      <c r="S162" s="38"/>
      <c r="T162" s="38"/>
      <c r="U162" s="38"/>
      <c r="V162" s="38"/>
      <c r="W162" s="38"/>
      <c r="X162" s="38"/>
      <c r="Y162" s="38"/>
      <c r="Z162" s="38"/>
    </row>
    <row r="163" spans="1:26" ht="15.75" customHeight="1" x14ac:dyDescent="0.2">
      <c r="A163" s="8" t="s">
        <v>239</v>
      </c>
      <c r="B163" s="1">
        <v>62.933529999999998</v>
      </c>
      <c r="C163" s="1" t="s">
        <v>1523</v>
      </c>
      <c r="D163" s="1" t="s">
        <v>1524</v>
      </c>
      <c r="E163" s="1" t="s">
        <v>2253</v>
      </c>
      <c r="F163" s="1" t="s">
        <v>1601</v>
      </c>
      <c r="G163" s="1" t="s">
        <v>2254</v>
      </c>
      <c r="H163" s="1" t="s">
        <v>2255</v>
      </c>
      <c r="I163" s="1" t="s">
        <v>2256</v>
      </c>
      <c r="J163" s="1" t="s">
        <v>2383</v>
      </c>
      <c r="M163" s="38"/>
      <c r="N163" s="38"/>
      <c r="O163" s="38"/>
      <c r="P163" s="38"/>
      <c r="Q163" s="38"/>
      <c r="R163" s="38"/>
      <c r="S163" s="38"/>
      <c r="T163" s="38"/>
      <c r="U163" s="38"/>
      <c r="V163" s="38"/>
      <c r="W163" s="38"/>
      <c r="X163" s="38"/>
      <c r="Y163" s="38"/>
      <c r="Z163" s="38"/>
    </row>
    <row r="164" spans="1:26" ht="15.75" customHeight="1" x14ac:dyDescent="0.2">
      <c r="A164" s="8" t="s">
        <v>239</v>
      </c>
      <c r="B164" s="1">
        <v>62.933529999999998</v>
      </c>
      <c r="C164" s="1" t="s">
        <v>1523</v>
      </c>
      <c r="D164" s="1" t="s">
        <v>1524</v>
      </c>
      <c r="E164" s="1" t="s">
        <v>2253</v>
      </c>
      <c r="F164" s="1" t="s">
        <v>1601</v>
      </c>
      <c r="G164" s="1" t="s">
        <v>2271</v>
      </c>
      <c r="H164" s="1" t="s">
        <v>2260</v>
      </c>
      <c r="I164" s="1" t="s">
        <v>2256</v>
      </c>
      <c r="J164" s="1" t="s">
        <v>2448</v>
      </c>
      <c r="M164" s="38"/>
      <c r="N164" s="38"/>
      <c r="O164" s="38"/>
      <c r="P164" s="38"/>
      <c r="Q164" s="38"/>
      <c r="R164" s="38"/>
      <c r="S164" s="38"/>
      <c r="T164" s="38"/>
      <c r="U164" s="38"/>
      <c r="V164" s="38"/>
      <c r="W164" s="38"/>
      <c r="X164" s="38"/>
      <c r="Y164" s="38"/>
      <c r="Z164" s="38"/>
    </row>
    <row r="165" spans="1:26" ht="15.75" customHeight="1" x14ac:dyDescent="0.2">
      <c r="A165" s="8" t="s">
        <v>245</v>
      </c>
      <c r="B165" s="1">
        <v>49.476602999999997</v>
      </c>
      <c r="C165" s="1" t="s">
        <v>1523</v>
      </c>
      <c r="D165" s="1" t="s">
        <v>1524</v>
      </c>
      <c r="E165" s="1" t="s">
        <v>2253</v>
      </c>
      <c r="F165" s="1" t="s">
        <v>1528</v>
      </c>
      <c r="G165" s="1" t="s">
        <v>2273</v>
      </c>
      <c r="H165" s="1" t="s">
        <v>2255</v>
      </c>
      <c r="I165" s="1" t="s">
        <v>2285</v>
      </c>
      <c r="J165" s="1" t="s">
        <v>2449</v>
      </c>
      <c r="M165" s="38"/>
      <c r="N165" s="38"/>
      <c r="O165" s="38"/>
      <c r="P165" s="38"/>
      <c r="Q165" s="38"/>
      <c r="R165" s="38"/>
      <c r="S165" s="38"/>
      <c r="T165" s="38"/>
      <c r="U165" s="38"/>
      <c r="V165" s="38"/>
      <c r="W165" s="38"/>
      <c r="X165" s="38"/>
      <c r="Y165" s="38"/>
      <c r="Z165" s="38"/>
    </row>
    <row r="166" spans="1:26" ht="15.75" customHeight="1" x14ac:dyDescent="0.2">
      <c r="A166" s="8" t="s">
        <v>245</v>
      </c>
      <c r="B166" s="1">
        <v>49.476602999999997</v>
      </c>
      <c r="C166" s="1" t="s">
        <v>1523</v>
      </c>
      <c r="D166" s="1" t="s">
        <v>1524</v>
      </c>
      <c r="E166" s="1" t="s">
        <v>2253</v>
      </c>
      <c r="F166" s="1" t="s">
        <v>1528</v>
      </c>
      <c r="G166" s="1" t="s">
        <v>2273</v>
      </c>
      <c r="H166" s="1" t="s">
        <v>2260</v>
      </c>
      <c r="I166" s="1" t="s">
        <v>2256</v>
      </c>
      <c r="J166" s="1" t="s">
        <v>2450</v>
      </c>
      <c r="M166" s="38"/>
      <c r="N166" s="38"/>
      <c r="O166" s="38"/>
      <c r="P166" s="38"/>
      <c r="Q166" s="38"/>
      <c r="R166" s="38"/>
      <c r="S166" s="38"/>
      <c r="T166" s="38"/>
      <c r="U166" s="38"/>
      <c r="V166" s="38"/>
      <c r="W166" s="38"/>
      <c r="X166" s="38"/>
      <c r="Y166" s="38"/>
      <c r="Z166" s="38"/>
    </row>
    <row r="167" spans="1:26" ht="15.75" customHeight="1" x14ac:dyDescent="0.2">
      <c r="A167" s="8" t="s">
        <v>251</v>
      </c>
      <c r="B167" s="1">
        <v>19.206417999999999</v>
      </c>
      <c r="C167" s="1" t="s">
        <v>1587</v>
      </c>
      <c r="D167" s="1" t="s">
        <v>1524</v>
      </c>
      <c r="E167" s="1" t="s">
        <v>2280</v>
      </c>
      <c r="F167" s="1" t="s">
        <v>1546</v>
      </c>
      <c r="G167" s="1" t="s">
        <v>2290</v>
      </c>
      <c r="H167" s="1" t="s">
        <v>2255</v>
      </c>
      <c r="I167" s="1" t="s">
        <v>2256</v>
      </c>
      <c r="J167" s="1" t="s">
        <v>2451</v>
      </c>
      <c r="M167" s="38"/>
      <c r="N167" s="38"/>
      <c r="O167" s="38"/>
      <c r="P167" s="38"/>
      <c r="Q167" s="38"/>
      <c r="R167" s="38"/>
      <c r="S167" s="38"/>
      <c r="T167" s="38"/>
      <c r="U167" s="38"/>
      <c r="V167" s="38"/>
      <c r="W167" s="38"/>
      <c r="X167" s="38"/>
      <c r="Y167" s="38"/>
      <c r="Z167" s="38"/>
    </row>
    <row r="168" spans="1:26" ht="15.75" customHeight="1" x14ac:dyDescent="0.2">
      <c r="A168" s="8" t="s">
        <v>251</v>
      </c>
      <c r="B168" s="1">
        <v>19.206417999999999</v>
      </c>
      <c r="C168" s="1" t="s">
        <v>1587</v>
      </c>
      <c r="D168" s="1" t="s">
        <v>1524</v>
      </c>
      <c r="E168" s="1" t="s">
        <v>2280</v>
      </c>
      <c r="F168" s="1" t="s">
        <v>1546</v>
      </c>
      <c r="G168" s="1" t="s">
        <v>2266</v>
      </c>
      <c r="H168" s="1" t="s">
        <v>2255</v>
      </c>
      <c r="I168" s="1" t="s">
        <v>2256</v>
      </c>
      <c r="J168" s="1" t="s">
        <v>2452</v>
      </c>
      <c r="M168" s="38"/>
      <c r="N168" s="38"/>
      <c r="O168" s="38"/>
      <c r="P168" s="38"/>
      <c r="Q168" s="38"/>
      <c r="R168" s="38"/>
      <c r="S168" s="38"/>
      <c r="T168" s="38"/>
      <c r="U168" s="38"/>
      <c r="V168" s="38"/>
      <c r="W168" s="38"/>
      <c r="X168" s="38"/>
      <c r="Y168" s="38"/>
      <c r="Z168" s="38"/>
    </row>
    <row r="169" spans="1:26" ht="15.75" customHeight="1" x14ac:dyDescent="0.2">
      <c r="A169" s="8" t="s">
        <v>257</v>
      </c>
      <c r="B169" s="1">
        <v>53.947719999999997</v>
      </c>
      <c r="C169" s="1" t="s">
        <v>1587</v>
      </c>
      <c r="D169" s="1" t="s">
        <v>1524</v>
      </c>
      <c r="E169" s="1" t="s">
        <v>2280</v>
      </c>
      <c r="F169" s="1" t="s">
        <v>1528</v>
      </c>
      <c r="G169" s="1" t="s">
        <v>2266</v>
      </c>
      <c r="H169" s="1" t="s">
        <v>2255</v>
      </c>
      <c r="I169" s="1" t="s">
        <v>2256</v>
      </c>
      <c r="J169" s="1" t="s">
        <v>2453</v>
      </c>
      <c r="M169" s="38"/>
      <c r="N169" s="38"/>
      <c r="O169" s="38"/>
      <c r="P169" s="38"/>
      <c r="Q169" s="38"/>
      <c r="R169" s="38"/>
      <c r="S169" s="38"/>
      <c r="T169" s="38"/>
      <c r="U169" s="38"/>
      <c r="V169" s="38"/>
      <c r="W169" s="38"/>
      <c r="X169" s="38"/>
      <c r="Y169" s="38"/>
      <c r="Z169" s="38"/>
    </row>
    <row r="170" spans="1:26" ht="15.75" customHeight="1" x14ac:dyDescent="0.2">
      <c r="A170" s="8" t="s">
        <v>257</v>
      </c>
      <c r="B170" s="1">
        <v>53.947719999999997</v>
      </c>
      <c r="C170" s="1" t="s">
        <v>1587</v>
      </c>
      <c r="D170" s="1" t="s">
        <v>1524</v>
      </c>
      <c r="E170" s="1" t="s">
        <v>2280</v>
      </c>
      <c r="F170" s="1" t="s">
        <v>1528</v>
      </c>
      <c r="G170" s="1" t="s">
        <v>1363</v>
      </c>
      <c r="H170" s="1" t="s">
        <v>2260</v>
      </c>
      <c r="I170" s="1" t="s">
        <v>2256</v>
      </c>
      <c r="J170" s="1" t="s">
        <v>2454</v>
      </c>
      <c r="M170" s="38"/>
      <c r="N170" s="38"/>
      <c r="O170" s="38"/>
      <c r="P170" s="38"/>
      <c r="Q170" s="38"/>
      <c r="R170" s="38"/>
      <c r="S170" s="38"/>
      <c r="T170" s="38"/>
      <c r="U170" s="38"/>
      <c r="V170" s="38"/>
      <c r="W170" s="38"/>
      <c r="X170" s="38"/>
      <c r="Y170" s="38"/>
      <c r="Z170" s="38"/>
    </row>
    <row r="171" spans="1:26" ht="15.75" customHeight="1" x14ac:dyDescent="0.2">
      <c r="A171" s="8" t="s">
        <v>257</v>
      </c>
      <c r="B171" s="1">
        <v>53.947719999999997</v>
      </c>
      <c r="C171" s="1" t="s">
        <v>1587</v>
      </c>
      <c r="D171" s="1" t="s">
        <v>1524</v>
      </c>
      <c r="E171" s="1" t="s">
        <v>2280</v>
      </c>
      <c r="F171" s="1" t="s">
        <v>1528</v>
      </c>
      <c r="G171" s="1" t="s">
        <v>1363</v>
      </c>
      <c r="H171" s="1" t="s">
        <v>2260</v>
      </c>
      <c r="I171" s="1" t="s">
        <v>2256</v>
      </c>
      <c r="J171" s="1" t="s">
        <v>2455</v>
      </c>
      <c r="M171" s="38"/>
      <c r="N171" s="38"/>
      <c r="O171" s="38"/>
      <c r="P171" s="38"/>
      <c r="Q171" s="38"/>
      <c r="R171" s="38"/>
      <c r="S171" s="38"/>
      <c r="T171" s="38"/>
      <c r="U171" s="38"/>
      <c r="V171" s="38"/>
      <c r="W171" s="38"/>
      <c r="X171" s="38"/>
      <c r="Y171" s="38"/>
      <c r="Z171" s="38"/>
    </row>
    <row r="172" spans="1:26" ht="15.75" customHeight="1" x14ac:dyDescent="0.2">
      <c r="A172" s="8" t="s">
        <v>257</v>
      </c>
      <c r="B172" s="1">
        <v>53.947719999999997</v>
      </c>
      <c r="C172" s="1" t="s">
        <v>1587</v>
      </c>
      <c r="D172" s="1" t="s">
        <v>1524</v>
      </c>
      <c r="E172" s="1" t="s">
        <v>2280</v>
      </c>
      <c r="F172" s="1" t="s">
        <v>1528</v>
      </c>
      <c r="G172" s="1" t="s">
        <v>1363</v>
      </c>
      <c r="H172" s="1" t="s">
        <v>2260</v>
      </c>
      <c r="I172" s="1" t="s">
        <v>2256</v>
      </c>
      <c r="J172" s="1" t="s">
        <v>2456</v>
      </c>
      <c r="M172" s="38"/>
      <c r="N172" s="38"/>
      <c r="O172" s="38"/>
      <c r="P172" s="38"/>
      <c r="Q172" s="38"/>
      <c r="R172" s="38"/>
      <c r="S172" s="38"/>
      <c r="T172" s="38"/>
      <c r="U172" s="38"/>
      <c r="V172" s="38"/>
      <c r="W172" s="38"/>
      <c r="X172" s="38"/>
      <c r="Y172" s="38"/>
      <c r="Z172" s="38"/>
    </row>
    <row r="173" spans="1:26" ht="15.75" customHeight="1" x14ac:dyDescent="0.2">
      <c r="A173" s="8" t="s">
        <v>257</v>
      </c>
      <c r="B173" s="1">
        <v>53.947719999999997</v>
      </c>
      <c r="C173" s="1" t="s">
        <v>1587</v>
      </c>
      <c r="D173" s="1" t="s">
        <v>1524</v>
      </c>
      <c r="E173" s="1" t="s">
        <v>2280</v>
      </c>
      <c r="F173" s="1" t="s">
        <v>1528</v>
      </c>
      <c r="G173" s="1" t="s">
        <v>2271</v>
      </c>
      <c r="H173" s="1" t="s">
        <v>2260</v>
      </c>
      <c r="I173" s="1" t="s">
        <v>2256</v>
      </c>
      <c r="J173" s="1" t="s">
        <v>2457</v>
      </c>
      <c r="M173" s="38"/>
      <c r="N173" s="38"/>
      <c r="O173" s="38"/>
      <c r="P173" s="38"/>
      <c r="Q173" s="38"/>
      <c r="R173" s="38"/>
      <c r="S173" s="38"/>
      <c r="T173" s="38"/>
      <c r="U173" s="38"/>
      <c r="V173" s="38"/>
      <c r="W173" s="38"/>
      <c r="X173" s="38"/>
      <c r="Y173" s="38"/>
      <c r="Z173" s="38"/>
    </row>
    <row r="174" spans="1:26" ht="15.75" customHeight="1" x14ac:dyDescent="0.2">
      <c r="A174" s="8" t="s">
        <v>257</v>
      </c>
      <c r="B174" s="1">
        <v>53.947719999999997</v>
      </c>
      <c r="C174" s="1" t="s">
        <v>1587</v>
      </c>
      <c r="D174" s="1" t="s">
        <v>1524</v>
      </c>
      <c r="E174" s="1" t="s">
        <v>2280</v>
      </c>
      <c r="F174" s="1" t="s">
        <v>1528</v>
      </c>
      <c r="G174" s="1" t="s">
        <v>2458</v>
      </c>
      <c r="H174" s="1" t="s">
        <v>2263</v>
      </c>
      <c r="I174" s="1" t="s">
        <v>2256</v>
      </c>
      <c r="J174" s="1" t="s">
        <v>2459</v>
      </c>
      <c r="M174" s="38"/>
      <c r="N174" s="38"/>
      <c r="O174" s="38"/>
      <c r="P174" s="38"/>
      <c r="Q174" s="38"/>
      <c r="R174" s="38"/>
      <c r="S174" s="38"/>
      <c r="T174" s="38"/>
      <c r="U174" s="38"/>
      <c r="V174" s="38"/>
      <c r="W174" s="38"/>
      <c r="X174" s="38"/>
      <c r="Y174" s="38"/>
      <c r="Z174" s="38"/>
    </row>
    <row r="175" spans="1:26" ht="15.75" customHeight="1" x14ac:dyDescent="0.2">
      <c r="A175" s="8" t="s">
        <v>257</v>
      </c>
      <c r="B175" s="1">
        <v>53.947719999999997</v>
      </c>
      <c r="C175" s="1" t="s">
        <v>1587</v>
      </c>
      <c r="D175" s="1" t="s">
        <v>1524</v>
      </c>
      <c r="E175" s="1" t="s">
        <v>2280</v>
      </c>
      <c r="F175" s="1" t="s">
        <v>1528</v>
      </c>
      <c r="G175" s="1" t="s">
        <v>1363</v>
      </c>
      <c r="H175" s="1" t="s">
        <v>2263</v>
      </c>
      <c r="I175" s="1" t="s">
        <v>2256</v>
      </c>
      <c r="J175" s="1" t="s">
        <v>2460</v>
      </c>
      <c r="M175" s="38"/>
      <c r="N175" s="38"/>
      <c r="O175" s="38"/>
      <c r="P175" s="38"/>
      <c r="Q175" s="38"/>
      <c r="R175" s="38"/>
      <c r="S175" s="38"/>
      <c r="T175" s="38"/>
      <c r="U175" s="38"/>
      <c r="V175" s="38"/>
      <c r="W175" s="38"/>
      <c r="X175" s="38"/>
      <c r="Y175" s="38"/>
      <c r="Z175" s="38"/>
    </row>
    <row r="176" spans="1:26" ht="15.75" customHeight="1" x14ac:dyDescent="0.2">
      <c r="A176" s="8" t="s">
        <v>528</v>
      </c>
      <c r="B176" s="1">
        <v>65.580972000000003</v>
      </c>
      <c r="C176" s="1" t="s">
        <v>1523</v>
      </c>
      <c r="D176" s="1" t="s">
        <v>1578</v>
      </c>
      <c r="E176" s="1" t="s">
        <v>2280</v>
      </c>
      <c r="F176" s="1" t="s">
        <v>1583</v>
      </c>
      <c r="G176" s="1" t="s">
        <v>2461</v>
      </c>
      <c r="H176" s="1" t="s">
        <v>2263</v>
      </c>
      <c r="I176" s="1" t="s">
        <v>2256</v>
      </c>
      <c r="J176" s="1" t="s">
        <v>2462</v>
      </c>
      <c r="M176" s="38"/>
      <c r="N176" s="38"/>
      <c r="O176" s="38"/>
      <c r="P176" s="38"/>
      <c r="Q176" s="38"/>
      <c r="R176" s="38"/>
      <c r="S176" s="38"/>
      <c r="T176" s="38"/>
      <c r="U176" s="38"/>
      <c r="V176" s="38"/>
      <c r="W176" s="38"/>
      <c r="X176" s="38"/>
      <c r="Y176" s="38"/>
      <c r="Z176" s="38"/>
    </row>
    <row r="177" spans="1:26" ht="15.75" customHeight="1" x14ac:dyDescent="0.2">
      <c r="A177" s="8" t="s">
        <v>266</v>
      </c>
      <c r="B177" s="1">
        <v>38.867213999999997</v>
      </c>
      <c r="C177" s="1" t="s">
        <v>1587</v>
      </c>
      <c r="D177" s="1" t="s">
        <v>1524</v>
      </c>
      <c r="E177" s="1" t="s">
        <v>2280</v>
      </c>
      <c r="F177" s="1" t="s">
        <v>1583</v>
      </c>
      <c r="G177" s="1" t="s">
        <v>2463</v>
      </c>
      <c r="H177" s="1" t="s">
        <v>2260</v>
      </c>
      <c r="I177" s="1" t="s">
        <v>2285</v>
      </c>
      <c r="J177" s="1" t="s">
        <v>2464</v>
      </c>
      <c r="M177" s="38"/>
      <c r="N177" s="38"/>
      <c r="O177" s="38"/>
      <c r="P177" s="38"/>
      <c r="Q177" s="38"/>
      <c r="R177" s="38"/>
      <c r="S177" s="38"/>
      <c r="T177" s="38"/>
      <c r="U177" s="38"/>
      <c r="V177" s="38"/>
      <c r="W177" s="38"/>
      <c r="X177" s="38"/>
      <c r="Y177" s="38"/>
      <c r="Z177" s="38"/>
    </row>
    <row r="178" spans="1:26" ht="15.75" customHeight="1" x14ac:dyDescent="0.2">
      <c r="A178" s="8" t="s">
        <v>266</v>
      </c>
      <c r="B178" s="1">
        <v>38.867213999999997</v>
      </c>
      <c r="C178" s="1" t="s">
        <v>1587</v>
      </c>
      <c r="D178" s="1" t="s">
        <v>1524</v>
      </c>
      <c r="E178" s="1" t="s">
        <v>2280</v>
      </c>
      <c r="F178" s="1" t="s">
        <v>1583</v>
      </c>
      <c r="G178" s="1" t="s">
        <v>2299</v>
      </c>
      <c r="H178" s="1" t="s">
        <v>2260</v>
      </c>
      <c r="I178" s="1" t="s">
        <v>2285</v>
      </c>
      <c r="J178" s="1" t="s">
        <v>2465</v>
      </c>
      <c r="M178" s="38"/>
      <c r="N178" s="38"/>
      <c r="O178" s="38"/>
      <c r="P178" s="38"/>
      <c r="Q178" s="38"/>
      <c r="R178" s="38"/>
      <c r="S178" s="38"/>
      <c r="T178" s="38"/>
      <c r="U178" s="38"/>
      <c r="V178" s="38"/>
      <c r="W178" s="38"/>
      <c r="X178" s="38"/>
      <c r="Y178" s="38"/>
      <c r="Z178" s="38"/>
    </row>
    <row r="179" spans="1:26" ht="15.75" customHeight="1" x14ac:dyDescent="0.2">
      <c r="A179" s="8" t="s">
        <v>266</v>
      </c>
      <c r="B179" s="1">
        <v>38.867213999999997</v>
      </c>
      <c r="C179" s="1" t="s">
        <v>1587</v>
      </c>
      <c r="D179" s="1" t="s">
        <v>1524</v>
      </c>
      <c r="E179" s="1" t="s">
        <v>2280</v>
      </c>
      <c r="F179" s="1" t="s">
        <v>1583</v>
      </c>
      <c r="G179" s="1" t="s">
        <v>2262</v>
      </c>
      <c r="H179" s="1" t="s">
        <v>2260</v>
      </c>
      <c r="I179" s="1" t="s">
        <v>2256</v>
      </c>
      <c r="J179" s="1" t="s">
        <v>2466</v>
      </c>
      <c r="M179" s="38"/>
      <c r="N179" s="38"/>
      <c r="O179" s="38"/>
      <c r="P179" s="38"/>
      <c r="Q179" s="38"/>
      <c r="R179" s="38"/>
      <c r="S179" s="38"/>
      <c r="T179" s="38"/>
      <c r="U179" s="38"/>
      <c r="V179" s="38"/>
      <c r="W179" s="38"/>
      <c r="X179" s="38"/>
      <c r="Y179" s="38"/>
      <c r="Z179" s="38"/>
    </row>
    <row r="180" spans="1:26" ht="15.75" customHeight="1" x14ac:dyDescent="0.2">
      <c r="A180" s="8" t="s">
        <v>536</v>
      </c>
      <c r="B180" s="1">
        <v>56.447315000000003</v>
      </c>
      <c r="C180" s="1" t="s">
        <v>1523</v>
      </c>
      <c r="D180" s="1" t="s">
        <v>1524</v>
      </c>
      <c r="E180" s="1" t="s">
        <v>2280</v>
      </c>
      <c r="F180" s="1" t="s">
        <v>1528</v>
      </c>
      <c r="G180" s="1" t="s">
        <v>2266</v>
      </c>
      <c r="H180" s="1" t="s">
        <v>2255</v>
      </c>
      <c r="I180" s="1" t="s">
        <v>2256</v>
      </c>
      <c r="J180" s="1" t="s">
        <v>2467</v>
      </c>
      <c r="M180" s="38"/>
      <c r="N180" s="38"/>
      <c r="O180" s="38"/>
      <c r="P180" s="38"/>
      <c r="Q180" s="38"/>
      <c r="R180" s="38"/>
      <c r="S180" s="38"/>
      <c r="T180" s="38"/>
      <c r="U180" s="38"/>
      <c r="V180" s="38"/>
      <c r="W180" s="38"/>
      <c r="X180" s="38"/>
      <c r="Y180" s="38"/>
      <c r="Z180" s="38"/>
    </row>
    <row r="181" spans="1:26" ht="15.75" customHeight="1" x14ac:dyDescent="0.2">
      <c r="A181" s="8" t="s">
        <v>536</v>
      </c>
      <c r="B181" s="1">
        <v>56.447315000000003</v>
      </c>
      <c r="C181" s="1" t="s">
        <v>1523</v>
      </c>
      <c r="D181" s="1" t="s">
        <v>1524</v>
      </c>
      <c r="E181" s="1" t="s">
        <v>2280</v>
      </c>
      <c r="F181" s="1" t="s">
        <v>1528</v>
      </c>
      <c r="G181" s="1" t="s">
        <v>2416</v>
      </c>
      <c r="H181" s="1" t="s">
        <v>2260</v>
      </c>
      <c r="I181" s="1" t="s">
        <v>2274</v>
      </c>
      <c r="J181" s="1" t="s">
        <v>2468</v>
      </c>
      <c r="M181" s="38"/>
      <c r="N181" s="38"/>
      <c r="O181" s="38"/>
      <c r="P181" s="38"/>
      <c r="Q181" s="38"/>
      <c r="R181" s="38"/>
      <c r="S181" s="38"/>
      <c r="T181" s="38"/>
      <c r="U181" s="38"/>
      <c r="V181" s="38"/>
      <c r="W181" s="38"/>
      <c r="X181" s="38"/>
      <c r="Y181" s="38"/>
      <c r="Z181" s="38"/>
    </row>
    <row r="182" spans="1:26" ht="15.75" customHeight="1" x14ac:dyDescent="0.2">
      <c r="A182" s="8" t="s">
        <v>536</v>
      </c>
      <c r="B182" s="1">
        <v>56.447315000000003</v>
      </c>
      <c r="C182" s="1" t="s">
        <v>1523</v>
      </c>
      <c r="D182" s="1" t="s">
        <v>1524</v>
      </c>
      <c r="E182" s="1" t="s">
        <v>2280</v>
      </c>
      <c r="F182" s="1" t="s">
        <v>1528</v>
      </c>
      <c r="G182" s="1" t="s">
        <v>2295</v>
      </c>
      <c r="H182" s="1" t="s">
        <v>2260</v>
      </c>
      <c r="I182" s="1" t="s">
        <v>2285</v>
      </c>
      <c r="J182" s="1" t="s">
        <v>2469</v>
      </c>
      <c r="M182" s="38"/>
      <c r="N182" s="38"/>
      <c r="O182" s="38"/>
      <c r="P182" s="38"/>
      <c r="Q182" s="38"/>
      <c r="R182" s="38"/>
      <c r="S182" s="38"/>
      <c r="T182" s="38"/>
      <c r="U182" s="38"/>
      <c r="V182" s="38"/>
      <c r="W182" s="38"/>
      <c r="X182" s="38"/>
      <c r="Y182" s="38"/>
      <c r="Z182" s="38"/>
    </row>
    <row r="183" spans="1:26" ht="15.75" customHeight="1" x14ac:dyDescent="0.2">
      <c r="A183" s="8" t="s">
        <v>536</v>
      </c>
      <c r="B183" s="1">
        <v>56.447315000000003</v>
      </c>
      <c r="C183" s="1" t="s">
        <v>1523</v>
      </c>
      <c r="D183" s="1" t="s">
        <v>1524</v>
      </c>
      <c r="E183" s="1" t="s">
        <v>2280</v>
      </c>
      <c r="F183" s="1" t="s">
        <v>1528</v>
      </c>
      <c r="G183" s="1" t="s">
        <v>2416</v>
      </c>
      <c r="H183" s="1" t="s">
        <v>2260</v>
      </c>
      <c r="I183" s="1" t="s">
        <v>2285</v>
      </c>
      <c r="J183" s="1" t="s">
        <v>2470</v>
      </c>
      <c r="M183" s="38"/>
      <c r="N183" s="38"/>
      <c r="O183" s="38"/>
      <c r="P183" s="38"/>
      <c r="Q183" s="38"/>
      <c r="R183" s="38"/>
      <c r="S183" s="38"/>
      <c r="T183" s="38"/>
      <c r="U183" s="38"/>
      <c r="V183" s="38"/>
      <c r="W183" s="38"/>
      <c r="X183" s="38"/>
      <c r="Y183" s="38"/>
      <c r="Z183" s="38"/>
    </row>
    <row r="184" spans="1:26" ht="15.75" customHeight="1" x14ac:dyDescent="0.2">
      <c r="A184" s="8" t="s">
        <v>536</v>
      </c>
      <c r="B184" s="1">
        <v>56.447315000000003</v>
      </c>
      <c r="C184" s="1" t="s">
        <v>1523</v>
      </c>
      <c r="D184" s="1" t="s">
        <v>1524</v>
      </c>
      <c r="E184" s="1" t="s">
        <v>2280</v>
      </c>
      <c r="F184" s="1" t="s">
        <v>1528</v>
      </c>
      <c r="G184" s="1" t="s">
        <v>2299</v>
      </c>
      <c r="H184" s="1" t="s">
        <v>2260</v>
      </c>
      <c r="I184" s="1" t="s">
        <v>2285</v>
      </c>
      <c r="J184" s="1" t="s">
        <v>2471</v>
      </c>
      <c r="M184" s="38"/>
      <c r="N184" s="38"/>
      <c r="O184" s="38"/>
      <c r="P184" s="38"/>
      <c r="Q184" s="38"/>
      <c r="R184" s="38"/>
      <c r="S184" s="38"/>
      <c r="T184" s="38"/>
      <c r="U184" s="38"/>
      <c r="V184" s="38"/>
      <c r="W184" s="38"/>
      <c r="X184" s="38"/>
      <c r="Y184" s="38"/>
      <c r="Z184" s="38"/>
    </row>
    <row r="185" spans="1:26" ht="15.75" customHeight="1" x14ac:dyDescent="0.2">
      <c r="A185" s="8" t="s">
        <v>536</v>
      </c>
      <c r="B185" s="1">
        <v>56.447315000000003</v>
      </c>
      <c r="C185" s="1" t="s">
        <v>1523</v>
      </c>
      <c r="D185" s="1" t="s">
        <v>1524</v>
      </c>
      <c r="E185" s="1" t="s">
        <v>2280</v>
      </c>
      <c r="F185" s="1" t="s">
        <v>1528</v>
      </c>
      <c r="G185" s="1" t="s">
        <v>2287</v>
      </c>
      <c r="H185" s="1" t="s">
        <v>2260</v>
      </c>
      <c r="I185" s="1" t="s">
        <v>2256</v>
      </c>
      <c r="J185" s="1" t="s">
        <v>2472</v>
      </c>
      <c r="M185" s="38"/>
      <c r="N185" s="38"/>
      <c r="O185" s="38"/>
      <c r="P185" s="38"/>
      <c r="Q185" s="38"/>
      <c r="R185" s="38"/>
      <c r="S185" s="38"/>
      <c r="T185" s="38"/>
      <c r="U185" s="38"/>
      <c r="V185" s="38"/>
      <c r="W185" s="38"/>
      <c r="X185" s="38"/>
      <c r="Y185" s="38"/>
      <c r="Z185" s="38"/>
    </row>
    <row r="186" spans="1:26" ht="15.75" customHeight="1" x14ac:dyDescent="0.2">
      <c r="A186" s="8" t="s">
        <v>536</v>
      </c>
      <c r="B186" s="1">
        <v>56.447315000000003</v>
      </c>
      <c r="C186" s="1" t="s">
        <v>1523</v>
      </c>
      <c r="D186" s="1" t="s">
        <v>1524</v>
      </c>
      <c r="E186" s="1" t="s">
        <v>2280</v>
      </c>
      <c r="F186" s="1" t="s">
        <v>1528</v>
      </c>
      <c r="G186" s="1" t="s">
        <v>2262</v>
      </c>
      <c r="H186" s="1" t="s">
        <v>2260</v>
      </c>
      <c r="I186" s="1" t="s">
        <v>2256</v>
      </c>
      <c r="J186" s="1" t="s">
        <v>2473</v>
      </c>
      <c r="M186" s="38"/>
      <c r="N186" s="38"/>
      <c r="O186" s="38"/>
      <c r="P186" s="38"/>
      <c r="Q186" s="38"/>
      <c r="R186" s="38"/>
      <c r="S186" s="38"/>
      <c r="T186" s="38"/>
      <c r="U186" s="38"/>
      <c r="V186" s="38"/>
      <c r="W186" s="38"/>
      <c r="X186" s="38"/>
      <c r="Y186" s="38"/>
      <c r="Z186" s="38"/>
    </row>
    <row r="187" spans="1:26" ht="15.75" customHeight="1" x14ac:dyDescent="0.2">
      <c r="A187" s="8" t="s">
        <v>536</v>
      </c>
      <c r="B187" s="1">
        <v>56.447315000000003</v>
      </c>
      <c r="C187" s="1" t="s">
        <v>1523</v>
      </c>
      <c r="D187" s="1" t="s">
        <v>1524</v>
      </c>
      <c r="E187" s="1" t="s">
        <v>2280</v>
      </c>
      <c r="F187" s="1" t="s">
        <v>1528</v>
      </c>
      <c r="G187" s="1" t="s">
        <v>2262</v>
      </c>
      <c r="H187" s="1" t="s">
        <v>2260</v>
      </c>
      <c r="I187" s="1" t="s">
        <v>2256</v>
      </c>
      <c r="J187" s="1" t="s">
        <v>2474</v>
      </c>
      <c r="M187" s="38"/>
      <c r="N187" s="38"/>
      <c r="O187" s="38"/>
      <c r="P187" s="38"/>
      <c r="Q187" s="38"/>
      <c r="R187" s="38"/>
      <c r="S187" s="38"/>
      <c r="T187" s="38"/>
      <c r="U187" s="38"/>
      <c r="V187" s="38"/>
      <c r="W187" s="38"/>
      <c r="X187" s="38"/>
      <c r="Y187" s="38"/>
      <c r="Z187" s="38"/>
    </row>
    <row r="188" spans="1:26" ht="15.75" customHeight="1" x14ac:dyDescent="0.2">
      <c r="A188" s="8" t="s">
        <v>536</v>
      </c>
      <c r="B188" s="1">
        <v>56.447315000000003</v>
      </c>
      <c r="C188" s="1" t="s">
        <v>1523</v>
      </c>
      <c r="D188" s="1" t="s">
        <v>1524</v>
      </c>
      <c r="E188" s="1" t="s">
        <v>2280</v>
      </c>
      <c r="F188" s="1" t="s">
        <v>1528</v>
      </c>
      <c r="G188" s="1" t="s">
        <v>2378</v>
      </c>
      <c r="H188" s="1" t="s">
        <v>2263</v>
      </c>
      <c r="I188" s="1" t="s">
        <v>2274</v>
      </c>
      <c r="J188" s="1" t="s">
        <v>2475</v>
      </c>
      <c r="M188" s="38"/>
      <c r="N188" s="38"/>
      <c r="O188" s="38"/>
      <c r="P188" s="38"/>
      <c r="Q188" s="38"/>
      <c r="R188" s="38"/>
      <c r="S188" s="38"/>
      <c r="T188" s="38"/>
      <c r="U188" s="38"/>
      <c r="V188" s="38"/>
      <c r="W188" s="38"/>
      <c r="X188" s="38"/>
      <c r="Y188" s="38"/>
      <c r="Z188" s="38"/>
    </row>
    <row r="189" spans="1:26" ht="15.75" customHeight="1" x14ac:dyDescent="0.2">
      <c r="A189" s="8" t="s">
        <v>271</v>
      </c>
      <c r="B189" s="1">
        <v>55.010027999999998</v>
      </c>
      <c r="C189" s="1" t="s">
        <v>1523</v>
      </c>
      <c r="D189" s="1" t="s">
        <v>1524</v>
      </c>
      <c r="E189" s="1" t="s">
        <v>2343</v>
      </c>
      <c r="F189" s="1" t="s">
        <v>1528</v>
      </c>
      <c r="G189" s="1" t="s">
        <v>2266</v>
      </c>
      <c r="H189" s="1" t="s">
        <v>2255</v>
      </c>
      <c r="I189" s="1" t="s">
        <v>2256</v>
      </c>
      <c r="J189" s="1" t="s">
        <v>2476</v>
      </c>
      <c r="M189" s="38"/>
      <c r="N189" s="38"/>
      <c r="O189" s="38"/>
      <c r="P189" s="38"/>
      <c r="Q189" s="38"/>
      <c r="R189" s="38"/>
      <c r="S189" s="38"/>
      <c r="T189" s="38"/>
      <c r="U189" s="38"/>
      <c r="V189" s="38"/>
      <c r="W189" s="38"/>
      <c r="X189" s="38"/>
      <c r="Y189" s="38"/>
      <c r="Z189" s="38"/>
    </row>
    <row r="190" spans="1:26" ht="15.75" customHeight="1" x14ac:dyDescent="0.2">
      <c r="A190" s="8" t="s">
        <v>271</v>
      </c>
      <c r="B190" s="1">
        <v>55.010027999999998</v>
      </c>
      <c r="C190" s="1" t="s">
        <v>1523</v>
      </c>
      <c r="D190" s="1" t="s">
        <v>1524</v>
      </c>
      <c r="E190" s="1" t="s">
        <v>2343</v>
      </c>
      <c r="F190" s="1" t="s">
        <v>1528</v>
      </c>
      <c r="G190" s="1" t="s">
        <v>1363</v>
      </c>
      <c r="H190" s="1" t="s">
        <v>2260</v>
      </c>
      <c r="I190" s="1" t="s">
        <v>2256</v>
      </c>
      <c r="J190" s="1" t="s">
        <v>2477</v>
      </c>
      <c r="M190" s="38"/>
      <c r="N190" s="38"/>
      <c r="O190" s="38"/>
      <c r="P190" s="38"/>
      <c r="Q190" s="38"/>
      <c r="R190" s="38"/>
      <c r="S190" s="38"/>
      <c r="T190" s="38"/>
      <c r="U190" s="38"/>
      <c r="V190" s="38"/>
      <c r="W190" s="38"/>
      <c r="X190" s="38"/>
      <c r="Y190" s="38"/>
      <c r="Z190" s="38"/>
    </row>
    <row r="191" spans="1:26" ht="15.75" customHeight="1" x14ac:dyDescent="0.2">
      <c r="A191" s="8" t="s">
        <v>271</v>
      </c>
      <c r="B191" s="1">
        <v>55.010027999999998</v>
      </c>
      <c r="C191" s="1" t="s">
        <v>1523</v>
      </c>
      <c r="D191" s="1" t="s">
        <v>1524</v>
      </c>
      <c r="E191" s="1" t="s">
        <v>2343</v>
      </c>
      <c r="F191" s="1" t="s">
        <v>1528</v>
      </c>
      <c r="G191" s="1" t="s">
        <v>2271</v>
      </c>
      <c r="H191" s="1" t="s">
        <v>2260</v>
      </c>
      <c r="I191" s="1" t="s">
        <v>2256</v>
      </c>
      <c r="J191" s="1" t="s">
        <v>2478</v>
      </c>
      <c r="M191" s="38"/>
      <c r="N191" s="38"/>
      <c r="O191" s="38"/>
      <c r="P191" s="38"/>
      <c r="Q191" s="38"/>
      <c r="R191" s="38"/>
      <c r="S191" s="38"/>
      <c r="T191" s="38"/>
      <c r="U191" s="38"/>
      <c r="V191" s="38"/>
      <c r="W191" s="38"/>
      <c r="X191" s="38"/>
      <c r="Y191" s="38"/>
      <c r="Z191" s="38"/>
    </row>
    <row r="192" spans="1:26" ht="15.75" customHeight="1" x14ac:dyDescent="0.2">
      <c r="A192" s="8" t="s">
        <v>276</v>
      </c>
      <c r="B192" s="1">
        <v>55.992936</v>
      </c>
      <c r="C192" s="1" t="s">
        <v>1587</v>
      </c>
      <c r="D192" s="1" t="s">
        <v>1524</v>
      </c>
      <c r="E192" s="1" t="s">
        <v>2280</v>
      </c>
      <c r="F192" s="1" t="s">
        <v>1528</v>
      </c>
      <c r="G192" s="1" t="s">
        <v>2266</v>
      </c>
      <c r="H192" s="1" t="s">
        <v>2255</v>
      </c>
      <c r="I192" s="1" t="s">
        <v>2256</v>
      </c>
      <c r="J192" s="1" t="s">
        <v>2479</v>
      </c>
      <c r="M192" s="38"/>
      <c r="N192" s="38"/>
      <c r="O192" s="38"/>
      <c r="P192" s="38"/>
      <c r="Q192" s="38"/>
      <c r="R192" s="38"/>
      <c r="S192" s="38"/>
      <c r="T192" s="38"/>
      <c r="U192" s="38"/>
      <c r="V192" s="38"/>
      <c r="W192" s="38"/>
      <c r="X192" s="38"/>
      <c r="Y192" s="38"/>
      <c r="Z192" s="38"/>
    </row>
    <row r="193" spans="1:26" ht="15.75" customHeight="1" x14ac:dyDescent="0.2">
      <c r="A193" s="8" t="s">
        <v>276</v>
      </c>
      <c r="B193" s="1">
        <v>55.992936</v>
      </c>
      <c r="C193" s="1" t="s">
        <v>1587</v>
      </c>
      <c r="D193" s="1" t="s">
        <v>1524</v>
      </c>
      <c r="E193" s="1" t="s">
        <v>2280</v>
      </c>
      <c r="F193" s="1" t="s">
        <v>1528</v>
      </c>
      <c r="G193" s="1" t="s">
        <v>1363</v>
      </c>
      <c r="H193" s="1" t="s">
        <v>2260</v>
      </c>
      <c r="I193" s="1" t="s">
        <v>2256</v>
      </c>
      <c r="J193" s="1" t="s">
        <v>2480</v>
      </c>
      <c r="M193" s="38"/>
      <c r="N193" s="38"/>
      <c r="O193" s="38"/>
      <c r="P193" s="38"/>
      <c r="Q193" s="38"/>
      <c r="R193" s="38"/>
      <c r="S193" s="38"/>
      <c r="T193" s="38"/>
      <c r="U193" s="38"/>
      <c r="V193" s="38"/>
      <c r="W193" s="38"/>
      <c r="X193" s="38"/>
      <c r="Y193" s="38"/>
      <c r="Z193" s="38"/>
    </row>
    <row r="194" spans="1:26" ht="15.75" customHeight="1" x14ac:dyDescent="0.2">
      <c r="A194" s="8" t="s">
        <v>280</v>
      </c>
      <c r="B194" s="1">
        <v>44.797519999999999</v>
      </c>
      <c r="C194" s="1" t="s">
        <v>1523</v>
      </c>
      <c r="D194" s="1" t="s">
        <v>1524</v>
      </c>
      <c r="E194" s="1" t="s">
        <v>2280</v>
      </c>
      <c r="F194" s="1" t="s">
        <v>1528</v>
      </c>
      <c r="G194" s="1" t="s">
        <v>2302</v>
      </c>
      <c r="H194" s="1" t="s">
        <v>2255</v>
      </c>
      <c r="I194" s="1" t="s">
        <v>2285</v>
      </c>
      <c r="J194" s="1" t="s">
        <v>2330</v>
      </c>
      <c r="M194" s="38"/>
      <c r="N194" s="38"/>
      <c r="O194" s="38"/>
      <c r="P194" s="38"/>
      <c r="Q194" s="38"/>
      <c r="R194" s="38"/>
      <c r="S194" s="38"/>
      <c r="T194" s="38"/>
      <c r="U194" s="38"/>
      <c r="V194" s="38"/>
      <c r="W194" s="38"/>
      <c r="X194" s="38"/>
      <c r="Y194" s="38"/>
      <c r="Z194" s="38"/>
    </row>
    <row r="195" spans="1:26" ht="15.75" customHeight="1" x14ac:dyDescent="0.2">
      <c r="A195" s="8" t="s">
        <v>280</v>
      </c>
      <c r="B195" s="1">
        <v>44.797519999999999</v>
      </c>
      <c r="C195" s="1" t="s">
        <v>1523</v>
      </c>
      <c r="D195" s="1" t="s">
        <v>1524</v>
      </c>
      <c r="E195" s="1" t="s">
        <v>2280</v>
      </c>
      <c r="F195" s="1" t="s">
        <v>1528</v>
      </c>
      <c r="G195" s="1" t="s">
        <v>2266</v>
      </c>
      <c r="H195" s="1" t="s">
        <v>2255</v>
      </c>
      <c r="I195" s="1" t="s">
        <v>2256</v>
      </c>
      <c r="J195" s="1" t="s">
        <v>2362</v>
      </c>
      <c r="M195" s="38"/>
      <c r="N195" s="38"/>
      <c r="O195" s="38"/>
      <c r="P195" s="38"/>
      <c r="Q195" s="38"/>
      <c r="R195" s="38"/>
      <c r="S195" s="38"/>
      <c r="T195" s="38"/>
      <c r="U195" s="38"/>
      <c r="V195" s="38"/>
      <c r="W195" s="38"/>
      <c r="X195" s="38"/>
      <c r="Y195" s="38"/>
      <c r="Z195" s="38"/>
    </row>
    <row r="196" spans="1:26" ht="15.75" customHeight="1" x14ac:dyDescent="0.2">
      <c r="A196" s="8" t="s">
        <v>280</v>
      </c>
      <c r="B196" s="1">
        <v>44.797519999999999</v>
      </c>
      <c r="C196" s="1" t="s">
        <v>1523</v>
      </c>
      <c r="D196" s="1" t="s">
        <v>1524</v>
      </c>
      <c r="E196" s="1" t="s">
        <v>2280</v>
      </c>
      <c r="F196" s="1" t="s">
        <v>1528</v>
      </c>
      <c r="G196" s="1" t="s">
        <v>2481</v>
      </c>
      <c r="H196" s="1" t="s">
        <v>2260</v>
      </c>
      <c r="I196" s="1" t="s">
        <v>2274</v>
      </c>
      <c r="J196" s="1" t="s">
        <v>2482</v>
      </c>
      <c r="M196" s="38"/>
      <c r="N196" s="38"/>
      <c r="O196" s="38"/>
      <c r="P196" s="38"/>
      <c r="Q196" s="38"/>
      <c r="R196" s="38"/>
      <c r="S196" s="38"/>
      <c r="T196" s="38"/>
      <c r="U196" s="38"/>
      <c r="V196" s="38"/>
      <c r="W196" s="38"/>
      <c r="X196" s="38"/>
      <c r="Y196" s="38"/>
      <c r="Z196" s="38"/>
    </row>
    <row r="197" spans="1:26" ht="15.75" customHeight="1" x14ac:dyDescent="0.2">
      <c r="A197" s="8" t="s">
        <v>285</v>
      </c>
      <c r="B197" s="1">
        <v>55.541066999999998</v>
      </c>
      <c r="C197" s="1" t="s">
        <v>1523</v>
      </c>
      <c r="D197" s="1" t="s">
        <v>1524</v>
      </c>
      <c r="E197" s="1" t="s">
        <v>2253</v>
      </c>
      <c r="F197" s="1" t="s">
        <v>1528</v>
      </c>
      <c r="G197" s="1" t="s">
        <v>2266</v>
      </c>
      <c r="H197" s="1" t="s">
        <v>2255</v>
      </c>
      <c r="I197" s="1" t="s">
        <v>2256</v>
      </c>
      <c r="J197" s="1" t="s">
        <v>2483</v>
      </c>
      <c r="M197" s="38"/>
      <c r="N197" s="38"/>
      <c r="O197" s="38"/>
      <c r="P197" s="38"/>
      <c r="Q197" s="38"/>
      <c r="R197" s="38"/>
      <c r="S197" s="38"/>
      <c r="T197" s="38"/>
      <c r="U197" s="38"/>
      <c r="V197" s="38"/>
      <c r="W197" s="38"/>
      <c r="X197" s="38"/>
      <c r="Y197" s="38"/>
      <c r="Z197" s="38"/>
    </row>
    <row r="198" spans="1:26" ht="15.75" customHeight="1" x14ac:dyDescent="0.2">
      <c r="A198" s="8" t="s">
        <v>285</v>
      </c>
      <c r="B198" s="1">
        <v>55.541066999999998</v>
      </c>
      <c r="C198" s="1" t="s">
        <v>1523</v>
      </c>
      <c r="D198" s="1" t="s">
        <v>1524</v>
      </c>
      <c r="E198" s="1" t="s">
        <v>2253</v>
      </c>
      <c r="F198" s="1" t="s">
        <v>1528</v>
      </c>
      <c r="G198" s="1" t="s">
        <v>1363</v>
      </c>
      <c r="H198" s="1" t="s">
        <v>2260</v>
      </c>
      <c r="I198" s="1" t="s">
        <v>2256</v>
      </c>
      <c r="J198" s="1" t="s">
        <v>2484</v>
      </c>
      <c r="M198" s="38"/>
      <c r="N198" s="38"/>
      <c r="O198" s="38"/>
      <c r="P198" s="38"/>
      <c r="Q198" s="38"/>
      <c r="R198" s="38"/>
      <c r="S198" s="38"/>
      <c r="T198" s="38"/>
      <c r="U198" s="38"/>
      <c r="V198" s="38"/>
      <c r="W198" s="38"/>
      <c r="X198" s="38"/>
      <c r="Y198" s="38"/>
      <c r="Z198" s="38"/>
    </row>
    <row r="199" spans="1:26" ht="15.75" customHeight="1" x14ac:dyDescent="0.2">
      <c r="A199" s="8" t="s">
        <v>548</v>
      </c>
      <c r="B199" s="1">
        <v>53.350856</v>
      </c>
      <c r="C199" s="1" t="s">
        <v>1523</v>
      </c>
      <c r="D199" s="1" t="s">
        <v>1524</v>
      </c>
      <c r="E199" s="1" t="s">
        <v>2280</v>
      </c>
      <c r="F199" s="1" t="s">
        <v>1560</v>
      </c>
      <c r="G199" s="1" t="s">
        <v>2378</v>
      </c>
      <c r="H199" s="1" t="s">
        <v>2260</v>
      </c>
      <c r="I199" s="1" t="s">
        <v>2274</v>
      </c>
      <c r="J199" s="1" t="s">
        <v>2485</v>
      </c>
      <c r="M199" s="38"/>
      <c r="N199" s="38"/>
      <c r="O199" s="38"/>
      <c r="P199" s="38"/>
      <c r="Q199" s="38"/>
      <c r="R199" s="38"/>
      <c r="S199" s="38"/>
      <c r="T199" s="38"/>
      <c r="U199" s="38"/>
      <c r="V199" s="38"/>
      <c r="W199" s="38"/>
      <c r="X199" s="38"/>
      <c r="Y199" s="38"/>
      <c r="Z199" s="38"/>
    </row>
    <row r="200" spans="1:26" ht="15.75" customHeight="1" x14ac:dyDescent="0.2">
      <c r="A200" s="8" t="s">
        <v>290</v>
      </c>
      <c r="B200" s="1">
        <v>54.391261</v>
      </c>
      <c r="C200" s="1" t="s">
        <v>1523</v>
      </c>
      <c r="D200" s="1" t="s">
        <v>1524</v>
      </c>
      <c r="E200" s="1" t="s">
        <v>2280</v>
      </c>
      <c r="F200" s="1" t="s">
        <v>1528</v>
      </c>
      <c r="G200" s="1" t="s">
        <v>2273</v>
      </c>
      <c r="H200" s="1" t="s">
        <v>2255</v>
      </c>
      <c r="I200" s="1" t="s">
        <v>2274</v>
      </c>
      <c r="J200" s="1" t="s">
        <v>2326</v>
      </c>
      <c r="M200" s="38"/>
      <c r="N200" s="38"/>
      <c r="O200" s="38"/>
      <c r="P200" s="38"/>
      <c r="Q200" s="38"/>
      <c r="R200" s="38"/>
      <c r="S200" s="38"/>
      <c r="T200" s="38"/>
      <c r="U200" s="38"/>
      <c r="V200" s="38"/>
      <c r="W200" s="38"/>
      <c r="X200" s="38"/>
      <c r="Y200" s="38"/>
      <c r="Z200" s="38"/>
    </row>
    <row r="201" spans="1:26" ht="15.75" customHeight="1" x14ac:dyDescent="0.2">
      <c r="A201" s="8" t="s">
        <v>290</v>
      </c>
      <c r="B201" s="1">
        <v>54.391261</v>
      </c>
      <c r="C201" s="1" t="s">
        <v>1523</v>
      </c>
      <c r="D201" s="1" t="s">
        <v>1524</v>
      </c>
      <c r="E201" s="1" t="s">
        <v>2280</v>
      </c>
      <c r="F201" s="1" t="s">
        <v>1528</v>
      </c>
      <c r="G201" s="1" t="s">
        <v>2273</v>
      </c>
      <c r="H201" s="1" t="s">
        <v>2255</v>
      </c>
      <c r="I201" s="1" t="s">
        <v>2285</v>
      </c>
      <c r="J201" s="1" t="s">
        <v>2486</v>
      </c>
      <c r="M201" s="38"/>
      <c r="N201" s="38"/>
      <c r="O201" s="38"/>
      <c r="P201" s="38"/>
      <c r="Q201" s="38"/>
      <c r="R201" s="38"/>
      <c r="S201" s="38"/>
      <c r="T201" s="38"/>
      <c r="U201" s="38"/>
      <c r="V201" s="38"/>
      <c r="W201" s="38"/>
      <c r="X201" s="38"/>
      <c r="Y201" s="38"/>
      <c r="Z201" s="38"/>
    </row>
    <row r="202" spans="1:26" ht="15.75" customHeight="1" x14ac:dyDescent="0.2">
      <c r="A202" s="8" t="s">
        <v>290</v>
      </c>
      <c r="B202" s="1">
        <v>54.391261</v>
      </c>
      <c r="C202" s="1" t="s">
        <v>1523</v>
      </c>
      <c r="D202" s="1" t="s">
        <v>1524</v>
      </c>
      <c r="E202" s="1" t="s">
        <v>2280</v>
      </c>
      <c r="F202" s="1" t="s">
        <v>1528</v>
      </c>
      <c r="G202" s="1" t="s">
        <v>2287</v>
      </c>
      <c r="H202" s="1" t="s">
        <v>2255</v>
      </c>
      <c r="I202" s="1" t="s">
        <v>2256</v>
      </c>
      <c r="J202" s="1" t="s">
        <v>2487</v>
      </c>
      <c r="M202" s="38"/>
      <c r="N202" s="38"/>
      <c r="O202" s="38"/>
      <c r="P202" s="38"/>
      <c r="Q202" s="38"/>
      <c r="R202" s="38"/>
      <c r="S202" s="38"/>
      <c r="T202" s="38"/>
      <c r="U202" s="38"/>
      <c r="V202" s="38"/>
      <c r="W202" s="38"/>
      <c r="X202" s="38"/>
      <c r="Y202" s="38"/>
      <c r="Z202" s="38"/>
    </row>
    <row r="203" spans="1:26" ht="15.75" customHeight="1" x14ac:dyDescent="0.2">
      <c r="A203" s="8" t="s">
        <v>290</v>
      </c>
      <c r="B203" s="1">
        <v>54.391261</v>
      </c>
      <c r="C203" s="1" t="s">
        <v>1523</v>
      </c>
      <c r="D203" s="1" t="s">
        <v>1524</v>
      </c>
      <c r="E203" s="1" t="s">
        <v>2280</v>
      </c>
      <c r="F203" s="1" t="s">
        <v>1528</v>
      </c>
      <c r="G203" s="1" t="s">
        <v>2266</v>
      </c>
      <c r="H203" s="1" t="s">
        <v>2255</v>
      </c>
      <c r="I203" s="1" t="s">
        <v>2256</v>
      </c>
      <c r="J203" s="1" t="s">
        <v>2312</v>
      </c>
      <c r="M203" s="38"/>
      <c r="N203" s="38"/>
      <c r="O203" s="38"/>
      <c r="P203" s="38"/>
      <c r="Q203" s="38"/>
      <c r="R203" s="38"/>
      <c r="S203" s="38"/>
      <c r="T203" s="38"/>
      <c r="U203" s="38"/>
      <c r="V203" s="38"/>
      <c r="W203" s="38"/>
      <c r="X203" s="38"/>
      <c r="Y203" s="38"/>
      <c r="Z203" s="38"/>
    </row>
    <row r="204" spans="1:26" ht="15.75" customHeight="1" x14ac:dyDescent="0.2">
      <c r="A204" s="8" t="s">
        <v>290</v>
      </c>
      <c r="B204" s="1">
        <v>54.391261</v>
      </c>
      <c r="C204" s="1" t="s">
        <v>1523</v>
      </c>
      <c r="D204" s="1" t="s">
        <v>1524</v>
      </c>
      <c r="E204" s="1" t="s">
        <v>2280</v>
      </c>
      <c r="F204" s="1" t="s">
        <v>1528</v>
      </c>
      <c r="G204" s="1" t="s">
        <v>2262</v>
      </c>
      <c r="H204" s="1" t="s">
        <v>2260</v>
      </c>
      <c r="I204" s="1" t="s">
        <v>2256</v>
      </c>
      <c r="J204" s="1" t="s">
        <v>2488</v>
      </c>
      <c r="M204" s="38"/>
      <c r="N204" s="38"/>
      <c r="O204" s="38"/>
      <c r="P204" s="38"/>
      <c r="Q204" s="38"/>
      <c r="R204" s="38"/>
      <c r="S204" s="38"/>
      <c r="T204" s="38"/>
      <c r="U204" s="38"/>
      <c r="V204" s="38"/>
      <c r="W204" s="38"/>
      <c r="X204" s="38"/>
      <c r="Y204" s="38"/>
      <c r="Z204" s="38"/>
    </row>
    <row r="205" spans="1:26" ht="15.75" customHeight="1" x14ac:dyDescent="0.2">
      <c r="A205" s="8" t="s">
        <v>290</v>
      </c>
      <c r="B205" s="1">
        <v>54.391261</v>
      </c>
      <c r="C205" s="1" t="s">
        <v>1523</v>
      </c>
      <c r="D205" s="1" t="s">
        <v>1524</v>
      </c>
      <c r="E205" s="1" t="s">
        <v>2280</v>
      </c>
      <c r="F205" s="1" t="s">
        <v>1528</v>
      </c>
      <c r="G205" s="1" t="s">
        <v>2262</v>
      </c>
      <c r="H205" s="1" t="s">
        <v>2260</v>
      </c>
      <c r="I205" s="1" t="s">
        <v>2256</v>
      </c>
      <c r="J205" s="1" t="s">
        <v>2489</v>
      </c>
      <c r="M205" s="38"/>
      <c r="N205" s="38"/>
      <c r="O205" s="38"/>
      <c r="P205" s="38"/>
      <c r="Q205" s="38"/>
      <c r="R205" s="38"/>
      <c r="S205" s="38"/>
      <c r="T205" s="38"/>
      <c r="U205" s="38"/>
      <c r="V205" s="38"/>
      <c r="W205" s="38"/>
      <c r="X205" s="38"/>
      <c r="Y205" s="38"/>
      <c r="Z205" s="38"/>
    </row>
    <row r="206" spans="1:26" ht="15.75" customHeight="1" x14ac:dyDescent="0.2">
      <c r="A206" s="8" t="s">
        <v>551</v>
      </c>
      <c r="B206" s="1">
        <v>28.077235999999999</v>
      </c>
      <c r="C206" s="1" t="s">
        <v>1587</v>
      </c>
      <c r="D206" s="1" t="s">
        <v>1524</v>
      </c>
      <c r="E206" s="1" t="s">
        <v>2280</v>
      </c>
      <c r="F206" s="1" t="s">
        <v>1560</v>
      </c>
      <c r="G206" s="1" t="s">
        <v>2254</v>
      </c>
      <c r="H206" s="1" t="s">
        <v>2255</v>
      </c>
      <c r="I206" s="1" t="s">
        <v>2256</v>
      </c>
      <c r="J206" s="1" t="s">
        <v>2490</v>
      </c>
      <c r="M206" s="38"/>
      <c r="N206" s="38"/>
      <c r="O206" s="38"/>
      <c r="P206" s="38"/>
      <c r="Q206" s="38"/>
      <c r="R206" s="38"/>
      <c r="S206" s="38"/>
      <c r="T206" s="38"/>
      <c r="U206" s="38"/>
      <c r="V206" s="38"/>
      <c r="W206" s="38"/>
      <c r="X206" s="38"/>
      <c r="Y206" s="38"/>
      <c r="Z206" s="38"/>
    </row>
    <row r="207" spans="1:26" ht="15.75" customHeight="1" x14ac:dyDescent="0.2">
      <c r="A207" s="8" t="s">
        <v>551</v>
      </c>
      <c r="B207" s="1">
        <v>28.077235999999999</v>
      </c>
      <c r="C207" s="1" t="s">
        <v>1587</v>
      </c>
      <c r="D207" s="1" t="s">
        <v>1524</v>
      </c>
      <c r="E207" s="1" t="s">
        <v>2280</v>
      </c>
      <c r="F207" s="1" t="s">
        <v>1560</v>
      </c>
      <c r="G207" s="1" t="s">
        <v>2378</v>
      </c>
      <c r="H207" s="1" t="s">
        <v>2260</v>
      </c>
      <c r="I207" s="1" t="s">
        <v>2274</v>
      </c>
      <c r="J207" s="1" t="s">
        <v>2379</v>
      </c>
      <c r="M207" s="38"/>
      <c r="N207" s="38"/>
      <c r="O207" s="38"/>
      <c r="P207" s="38"/>
      <c r="Q207" s="38"/>
      <c r="R207" s="38"/>
      <c r="S207" s="38"/>
      <c r="T207" s="38"/>
      <c r="U207" s="38"/>
      <c r="V207" s="38"/>
      <c r="W207" s="38"/>
      <c r="X207" s="38"/>
      <c r="Y207" s="38"/>
      <c r="Z207" s="38"/>
    </row>
    <row r="208" spans="1:26" ht="15.75" customHeight="1" x14ac:dyDescent="0.2">
      <c r="A208" s="8" t="s">
        <v>551</v>
      </c>
      <c r="B208" s="1">
        <v>28.077235999999999</v>
      </c>
      <c r="C208" s="1" t="s">
        <v>1587</v>
      </c>
      <c r="D208" s="1" t="s">
        <v>1524</v>
      </c>
      <c r="E208" s="1" t="s">
        <v>2280</v>
      </c>
      <c r="F208" s="1" t="s">
        <v>1560</v>
      </c>
      <c r="G208" s="1" t="s">
        <v>2262</v>
      </c>
      <c r="H208" s="1" t="s">
        <v>2260</v>
      </c>
      <c r="I208" s="1" t="s">
        <v>2256</v>
      </c>
      <c r="J208" s="1" t="s">
        <v>2491</v>
      </c>
      <c r="M208" s="38"/>
      <c r="N208" s="38"/>
      <c r="O208" s="38"/>
      <c r="P208" s="38"/>
      <c r="Q208" s="38"/>
      <c r="R208" s="38"/>
      <c r="S208" s="38"/>
      <c r="T208" s="38"/>
      <c r="U208" s="38"/>
      <c r="V208" s="38"/>
      <c r="W208" s="38"/>
      <c r="X208" s="38"/>
      <c r="Y208" s="38"/>
      <c r="Z208" s="38"/>
    </row>
    <row r="209" spans="1:26" ht="15.75" customHeight="1" x14ac:dyDescent="0.2">
      <c r="A209" s="8" t="s">
        <v>551</v>
      </c>
      <c r="B209" s="1">
        <v>28.077235999999999</v>
      </c>
      <c r="C209" s="1" t="s">
        <v>1587</v>
      </c>
      <c r="D209" s="1" t="s">
        <v>1524</v>
      </c>
      <c r="E209" s="1" t="s">
        <v>2280</v>
      </c>
      <c r="F209" s="1" t="s">
        <v>1560</v>
      </c>
      <c r="G209" s="1" t="s">
        <v>2290</v>
      </c>
      <c r="H209" s="1" t="s">
        <v>2263</v>
      </c>
      <c r="I209" s="1" t="s">
        <v>2256</v>
      </c>
      <c r="J209" s="1" t="s">
        <v>2492</v>
      </c>
      <c r="M209" s="38"/>
      <c r="N209" s="38"/>
      <c r="O209" s="38"/>
      <c r="P209" s="38"/>
      <c r="Q209" s="38"/>
      <c r="R209" s="38"/>
      <c r="S209" s="38"/>
      <c r="T209" s="38"/>
      <c r="U209" s="38"/>
      <c r="V209" s="38"/>
      <c r="W209" s="38"/>
      <c r="X209" s="38"/>
      <c r="Y209" s="38"/>
      <c r="Z209" s="38"/>
    </row>
    <row r="210" spans="1:26" ht="15.75" customHeight="1" x14ac:dyDescent="0.2">
      <c r="A210" s="8" t="s">
        <v>551</v>
      </c>
      <c r="B210" s="1">
        <v>28.077235999999999</v>
      </c>
      <c r="C210" s="1" t="s">
        <v>1587</v>
      </c>
      <c r="D210" s="1" t="s">
        <v>1524</v>
      </c>
      <c r="E210" s="1" t="s">
        <v>2280</v>
      </c>
      <c r="F210" s="1" t="s">
        <v>1560</v>
      </c>
      <c r="G210" s="1" t="s">
        <v>2378</v>
      </c>
      <c r="H210" s="1" t="s">
        <v>2260</v>
      </c>
      <c r="I210" s="1" t="s">
        <v>2274</v>
      </c>
      <c r="J210" s="1" t="s">
        <v>2379</v>
      </c>
      <c r="M210" s="38"/>
      <c r="N210" s="38"/>
      <c r="O210" s="38"/>
      <c r="P210" s="38"/>
      <c r="Q210" s="38"/>
      <c r="R210" s="38"/>
      <c r="S210" s="38"/>
      <c r="T210" s="38"/>
      <c r="U210" s="38"/>
      <c r="V210" s="38"/>
      <c r="W210" s="38"/>
      <c r="X210" s="38"/>
      <c r="Y210" s="38"/>
      <c r="Z210" s="38"/>
    </row>
    <row r="211" spans="1:26" ht="15.75" customHeight="1" x14ac:dyDescent="0.2">
      <c r="A211" s="8" t="s">
        <v>551</v>
      </c>
      <c r="B211" s="1">
        <v>28.077235999999999</v>
      </c>
      <c r="C211" s="1" t="s">
        <v>1587</v>
      </c>
      <c r="D211" s="1" t="s">
        <v>1524</v>
      </c>
      <c r="E211" s="1" t="s">
        <v>2280</v>
      </c>
      <c r="F211" s="1" t="s">
        <v>1560</v>
      </c>
      <c r="G211" s="1" t="s">
        <v>2271</v>
      </c>
      <c r="H211" s="1" t="s">
        <v>2260</v>
      </c>
      <c r="I211" s="1" t="s">
        <v>2256</v>
      </c>
      <c r="J211" s="1" t="s">
        <v>2493</v>
      </c>
      <c r="M211" s="38"/>
      <c r="N211" s="38"/>
      <c r="O211" s="38"/>
      <c r="P211" s="38"/>
      <c r="Q211" s="38"/>
      <c r="R211" s="38"/>
      <c r="S211" s="38"/>
      <c r="T211" s="38"/>
      <c r="U211" s="38"/>
      <c r="V211" s="38"/>
      <c r="W211" s="38"/>
      <c r="X211" s="38"/>
      <c r="Y211" s="38"/>
      <c r="Z211" s="38"/>
    </row>
    <row r="212" spans="1:26" ht="15.75" customHeight="1" x14ac:dyDescent="0.2">
      <c r="A212" s="8" t="s">
        <v>551</v>
      </c>
      <c r="B212" s="1">
        <v>28.077235999999999</v>
      </c>
      <c r="C212" s="1" t="s">
        <v>1587</v>
      </c>
      <c r="D212" s="1" t="s">
        <v>1524</v>
      </c>
      <c r="E212" s="1" t="s">
        <v>2280</v>
      </c>
      <c r="F212" s="1" t="s">
        <v>1560</v>
      </c>
      <c r="G212" s="1" t="s">
        <v>2431</v>
      </c>
      <c r="H212" s="1" t="s">
        <v>2260</v>
      </c>
      <c r="I212" s="1" t="s">
        <v>2256</v>
      </c>
      <c r="J212" s="1" t="s">
        <v>2494</v>
      </c>
      <c r="M212" s="38"/>
      <c r="N212" s="38"/>
      <c r="O212" s="38"/>
      <c r="P212" s="38"/>
      <c r="Q212" s="38"/>
      <c r="R212" s="38"/>
      <c r="S212" s="38"/>
      <c r="T212" s="38"/>
      <c r="U212" s="38"/>
      <c r="V212" s="38"/>
      <c r="W212" s="38"/>
      <c r="X212" s="38"/>
      <c r="Y212" s="38"/>
      <c r="Z212" s="38"/>
    </row>
    <row r="213" spans="1:26" ht="15.75" customHeight="1" x14ac:dyDescent="0.2">
      <c r="A213" s="8" t="s">
        <v>551</v>
      </c>
      <c r="B213" s="1">
        <v>28.077235999999999</v>
      </c>
      <c r="C213" s="1" t="s">
        <v>1587</v>
      </c>
      <c r="D213" s="1" t="s">
        <v>1524</v>
      </c>
      <c r="E213" s="1" t="s">
        <v>2280</v>
      </c>
      <c r="F213" s="1" t="s">
        <v>1560</v>
      </c>
      <c r="G213" s="1" t="s">
        <v>2262</v>
      </c>
      <c r="H213" s="1" t="s">
        <v>2260</v>
      </c>
      <c r="I213" s="1" t="s">
        <v>2256</v>
      </c>
      <c r="J213" s="1" t="s">
        <v>2495</v>
      </c>
      <c r="M213" s="38"/>
      <c r="N213" s="38"/>
      <c r="O213" s="38"/>
      <c r="P213" s="38"/>
      <c r="Q213" s="38"/>
      <c r="R213" s="38"/>
      <c r="S213" s="38"/>
      <c r="T213" s="38"/>
      <c r="U213" s="38"/>
      <c r="V213" s="38"/>
      <c r="W213" s="38"/>
      <c r="X213" s="38"/>
      <c r="Y213" s="38"/>
      <c r="Z213" s="38"/>
    </row>
    <row r="214" spans="1:26" ht="15.75" customHeight="1" x14ac:dyDescent="0.2">
      <c r="A214" s="8" t="s">
        <v>551</v>
      </c>
      <c r="B214" s="1">
        <v>28.077235999999999</v>
      </c>
      <c r="C214" s="1" t="s">
        <v>1587</v>
      </c>
      <c r="D214" s="1" t="s">
        <v>1524</v>
      </c>
      <c r="E214" s="1" t="s">
        <v>2280</v>
      </c>
      <c r="F214" s="1" t="s">
        <v>1560</v>
      </c>
      <c r="G214" s="1" t="s">
        <v>2262</v>
      </c>
      <c r="H214" s="1" t="s">
        <v>2260</v>
      </c>
      <c r="I214" s="1" t="s">
        <v>2256</v>
      </c>
      <c r="J214" s="1" t="s">
        <v>2496</v>
      </c>
      <c r="M214" s="38"/>
      <c r="N214" s="38"/>
      <c r="O214" s="38"/>
      <c r="P214" s="38"/>
      <c r="Q214" s="38"/>
      <c r="R214" s="38"/>
      <c r="S214" s="38"/>
      <c r="T214" s="38"/>
      <c r="U214" s="38"/>
      <c r="V214" s="38"/>
      <c r="W214" s="38"/>
      <c r="X214" s="38"/>
      <c r="Y214" s="38"/>
      <c r="Z214" s="38"/>
    </row>
    <row r="215" spans="1:26" ht="15.75" customHeight="1" x14ac:dyDescent="0.2">
      <c r="A215" s="8" t="s">
        <v>551</v>
      </c>
      <c r="B215" s="1">
        <v>28.077235999999999</v>
      </c>
      <c r="C215" s="1" t="s">
        <v>1587</v>
      </c>
      <c r="D215" s="1" t="s">
        <v>1524</v>
      </c>
      <c r="E215" s="1" t="s">
        <v>2280</v>
      </c>
      <c r="F215" s="1" t="s">
        <v>1560</v>
      </c>
      <c r="G215" s="1" t="s">
        <v>2290</v>
      </c>
      <c r="H215" s="1" t="s">
        <v>2263</v>
      </c>
      <c r="I215" s="1" t="s">
        <v>2256</v>
      </c>
      <c r="J215" s="1" t="s">
        <v>2497</v>
      </c>
      <c r="M215" s="38"/>
      <c r="N215" s="38"/>
      <c r="O215" s="38"/>
      <c r="P215" s="38"/>
      <c r="Q215" s="38"/>
      <c r="R215" s="38"/>
      <c r="S215" s="38"/>
      <c r="T215" s="38"/>
      <c r="U215" s="38"/>
      <c r="V215" s="38"/>
      <c r="W215" s="38"/>
      <c r="X215" s="38"/>
      <c r="Y215" s="38"/>
      <c r="Z215" s="38"/>
    </row>
    <row r="216" spans="1:26" ht="15.75" customHeight="1" x14ac:dyDescent="0.2">
      <c r="A216" s="8" t="s">
        <v>551</v>
      </c>
      <c r="B216" s="1">
        <v>28.077235999999999</v>
      </c>
      <c r="C216" s="1" t="s">
        <v>1587</v>
      </c>
      <c r="D216" s="1" t="s">
        <v>1524</v>
      </c>
      <c r="E216" s="1" t="s">
        <v>2280</v>
      </c>
      <c r="F216" s="1" t="s">
        <v>1560</v>
      </c>
      <c r="G216" s="1" t="s">
        <v>2416</v>
      </c>
      <c r="H216" s="1" t="s">
        <v>2263</v>
      </c>
      <c r="I216" s="1" t="s">
        <v>2256</v>
      </c>
      <c r="J216" s="1" t="s">
        <v>2498</v>
      </c>
      <c r="M216" s="38"/>
      <c r="N216" s="38"/>
      <c r="O216" s="38"/>
      <c r="P216" s="38"/>
      <c r="Q216" s="38"/>
      <c r="R216" s="38"/>
      <c r="S216" s="38"/>
      <c r="T216" s="38"/>
      <c r="U216" s="38"/>
      <c r="V216" s="38"/>
      <c r="W216" s="38"/>
      <c r="X216" s="38"/>
      <c r="Y216" s="38"/>
      <c r="Z216" s="38"/>
    </row>
    <row r="217" spans="1:26" ht="15.75" customHeight="1" x14ac:dyDescent="0.2">
      <c r="A217" s="8" t="s">
        <v>551</v>
      </c>
      <c r="B217" s="1">
        <v>28.077235999999999</v>
      </c>
      <c r="C217" s="1" t="s">
        <v>1587</v>
      </c>
      <c r="D217" s="1" t="s">
        <v>1524</v>
      </c>
      <c r="E217" s="1" t="s">
        <v>2280</v>
      </c>
      <c r="F217" s="1" t="s">
        <v>1560</v>
      </c>
      <c r="G217" s="1" t="s">
        <v>2499</v>
      </c>
      <c r="H217" s="1" t="s">
        <v>2263</v>
      </c>
      <c r="I217" s="1" t="s">
        <v>2256</v>
      </c>
      <c r="J217" s="1" t="s">
        <v>2500</v>
      </c>
      <c r="M217" s="38"/>
      <c r="N217" s="38"/>
      <c r="O217" s="38"/>
      <c r="P217" s="38"/>
      <c r="Q217" s="38"/>
      <c r="R217" s="38"/>
      <c r="S217" s="38"/>
      <c r="T217" s="38"/>
      <c r="U217" s="38"/>
      <c r="V217" s="38"/>
      <c r="W217" s="38"/>
      <c r="X217" s="38"/>
      <c r="Y217" s="38"/>
      <c r="Z217" s="38"/>
    </row>
    <row r="218" spans="1:26" ht="15.75" customHeight="1" x14ac:dyDescent="0.2">
      <c r="A218" s="8" t="s">
        <v>551</v>
      </c>
      <c r="B218" s="1">
        <v>28.077235999999999</v>
      </c>
      <c r="C218" s="1" t="s">
        <v>1587</v>
      </c>
      <c r="D218" s="1" t="s">
        <v>1524</v>
      </c>
      <c r="E218" s="1" t="s">
        <v>2280</v>
      </c>
      <c r="F218" s="1" t="s">
        <v>1560</v>
      </c>
      <c r="G218" s="1" t="s">
        <v>2392</v>
      </c>
      <c r="H218" s="1" t="s">
        <v>2263</v>
      </c>
      <c r="I218" s="1" t="s">
        <v>2256</v>
      </c>
      <c r="J218" s="1" t="s">
        <v>2501</v>
      </c>
      <c r="M218" s="38"/>
      <c r="N218" s="38"/>
      <c r="O218" s="38"/>
      <c r="P218" s="38"/>
      <c r="Q218" s="38"/>
      <c r="R218" s="38"/>
      <c r="S218" s="38"/>
      <c r="T218" s="38"/>
      <c r="U218" s="38"/>
      <c r="V218" s="38"/>
      <c r="W218" s="38"/>
      <c r="X218" s="38"/>
      <c r="Y218" s="38"/>
      <c r="Z218" s="38"/>
    </row>
    <row r="219" spans="1:26" ht="15.75" customHeight="1" x14ac:dyDescent="0.2">
      <c r="A219" s="39" t="s">
        <v>298</v>
      </c>
      <c r="B219" s="40">
        <v>61.7179</v>
      </c>
      <c r="C219" s="40" t="s">
        <v>1523</v>
      </c>
      <c r="D219" s="40" t="s">
        <v>1524</v>
      </c>
      <c r="E219" s="40" t="s">
        <v>2253</v>
      </c>
      <c r="F219" s="40" t="s">
        <v>1546</v>
      </c>
      <c r="G219" s="40" t="s">
        <v>2302</v>
      </c>
      <c r="H219" s="40" t="s">
        <v>2255</v>
      </c>
      <c r="I219" s="40" t="s">
        <v>2285</v>
      </c>
      <c r="J219" s="40" t="s">
        <v>2502</v>
      </c>
      <c r="K219" s="40"/>
      <c r="L219" s="40"/>
      <c r="M219" s="41"/>
      <c r="N219" s="41"/>
      <c r="O219" s="41"/>
      <c r="P219" s="41"/>
      <c r="Q219" s="41"/>
      <c r="R219" s="41"/>
      <c r="S219" s="41"/>
      <c r="T219" s="41"/>
      <c r="U219" s="41"/>
      <c r="V219" s="41"/>
      <c r="W219" s="41"/>
      <c r="X219" s="41"/>
      <c r="Y219" s="41"/>
      <c r="Z219" s="41"/>
    </row>
    <row r="220" spans="1:26" ht="15.75" customHeight="1" x14ac:dyDescent="0.2">
      <c r="A220" s="39" t="s">
        <v>298</v>
      </c>
      <c r="B220" s="40">
        <v>61.7179</v>
      </c>
      <c r="C220" s="40" t="s">
        <v>1523</v>
      </c>
      <c r="D220" s="40" t="s">
        <v>1524</v>
      </c>
      <c r="E220" s="40" t="s">
        <v>2253</v>
      </c>
      <c r="F220" s="40" t="s">
        <v>1546</v>
      </c>
      <c r="G220" s="40" t="s">
        <v>2299</v>
      </c>
      <c r="H220" s="40" t="s">
        <v>2260</v>
      </c>
      <c r="I220" s="40" t="s">
        <v>2285</v>
      </c>
      <c r="J220" s="40" t="s">
        <v>2503</v>
      </c>
      <c r="K220" s="40"/>
      <c r="L220" s="40"/>
      <c r="M220" s="41"/>
      <c r="N220" s="41"/>
      <c r="O220" s="41"/>
      <c r="P220" s="41"/>
      <c r="Q220" s="41"/>
      <c r="R220" s="41"/>
      <c r="S220" s="41"/>
      <c r="T220" s="41"/>
      <c r="U220" s="41"/>
      <c r="V220" s="41"/>
      <c r="W220" s="41"/>
      <c r="X220" s="41"/>
      <c r="Y220" s="41"/>
      <c r="Z220" s="41"/>
    </row>
    <row r="221" spans="1:26" ht="15.75" customHeight="1" x14ac:dyDescent="0.2">
      <c r="A221" s="8" t="s">
        <v>302</v>
      </c>
      <c r="B221" s="1">
        <v>18.535630000000001</v>
      </c>
      <c r="C221" s="1" t="s">
        <v>1523</v>
      </c>
      <c r="D221" s="1" t="s">
        <v>1524</v>
      </c>
      <c r="E221" s="1" t="s">
        <v>2280</v>
      </c>
      <c r="F221" s="1" t="s">
        <v>1583</v>
      </c>
      <c r="G221" s="1" t="s">
        <v>2504</v>
      </c>
      <c r="H221" s="1" t="s">
        <v>2260</v>
      </c>
      <c r="I221" s="1" t="s">
        <v>2256</v>
      </c>
      <c r="J221" s="1" t="s">
        <v>2505</v>
      </c>
      <c r="M221" s="38"/>
      <c r="N221" s="38"/>
      <c r="O221" s="38"/>
      <c r="P221" s="38"/>
      <c r="Q221" s="38"/>
      <c r="R221" s="38"/>
      <c r="S221" s="38"/>
      <c r="T221" s="38"/>
      <c r="U221" s="38"/>
      <c r="V221" s="38"/>
      <c r="W221" s="38"/>
      <c r="X221" s="38"/>
      <c r="Y221" s="38"/>
      <c r="Z221" s="38"/>
    </row>
    <row r="222" spans="1:26" ht="15.75" customHeight="1" x14ac:dyDescent="0.2">
      <c r="A222" s="8" t="s">
        <v>306</v>
      </c>
      <c r="B222" s="1">
        <v>56.343387999999997</v>
      </c>
      <c r="C222" s="1" t="s">
        <v>1523</v>
      </c>
      <c r="D222" s="1" t="s">
        <v>1524</v>
      </c>
      <c r="E222" s="1" t="s">
        <v>2280</v>
      </c>
      <c r="F222" s="1" t="s">
        <v>1528</v>
      </c>
      <c r="G222" s="1" t="s">
        <v>2273</v>
      </c>
      <c r="H222" s="1" t="s">
        <v>2255</v>
      </c>
      <c r="I222" s="1" t="s">
        <v>2274</v>
      </c>
      <c r="J222" s="1" t="s">
        <v>2326</v>
      </c>
      <c r="M222" s="38"/>
      <c r="N222" s="38"/>
      <c r="O222" s="38"/>
      <c r="P222" s="38"/>
      <c r="Q222" s="38"/>
      <c r="R222" s="38"/>
      <c r="S222" s="38"/>
      <c r="T222" s="38"/>
      <c r="U222" s="38"/>
      <c r="V222" s="38"/>
      <c r="W222" s="38"/>
      <c r="X222" s="38"/>
      <c r="Y222" s="38"/>
      <c r="Z222" s="38"/>
    </row>
    <row r="223" spans="1:26" ht="15.75" customHeight="1" x14ac:dyDescent="0.2">
      <c r="A223" s="8" t="s">
        <v>306</v>
      </c>
      <c r="B223" s="1">
        <v>56.343387999999997</v>
      </c>
      <c r="C223" s="1" t="s">
        <v>1523</v>
      </c>
      <c r="D223" s="1" t="s">
        <v>1524</v>
      </c>
      <c r="E223" s="1" t="s">
        <v>2280</v>
      </c>
      <c r="F223" s="1" t="s">
        <v>1528</v>
      </c>
      <c r="G223" s="1" t="s">
        <v>2273</v>
      </c>
      <c r="H223" s="1" t="s">
        <v>2255</v>
      </c>
      <c r="I223" s="1" t="s">
        <v>2256</v>
      </c>
      <c r="J223" s="1" t="s">
        <v>2506</v>
      </c>
      <c r="M223" s="38"/>
      <c r="N223" s="38"/>
      <c r="O223" s="38"/>
      <c r="P223" s="38"/>
      <c r="Q223" s="38"/>
      <c r="R223" s="38"/>
      <c r="S223" s="38"/>
      <c r="T223" s="38"/>
      <c r="U223" s="38"/>
      <c r="V223" s="38"/>
      <c r="W223" s="38"/>
      <c r="X223" s="38"/>
      <c r="Y223" s="38"/>
      <c r="Z223" s="38"/>
    </row>
    <row r="224" spans="1:26" ht="15.75" customHeight="1" x14ac:dyDescent="0.2">
      <c r="A224" s="8" t="s">
        <v>306</v>
      </c>
      <c r="B224" s="1">
        <v>56.343387999999997</v>
      </c>
      <c r="C224" s="1" t="s">
        <v>1523</v>
      </c>
      <c r="D224" s="1" t="s">
        <v>1524</v>
      </c>
      <c r="E224" s="1" t="s">
        <v>2280</v>
      </c>
      <c r="F224" s="1" t="s">
        <v>1528</v>
      </c>
      <c r="G224" s="1" t="s">
        <v>2273</v>
      </c>
      <c r="H224" s="1" t="s">
        <v>2255</v>
      </c>
      <c r="I224" s="1" t="s">
        <v>2285</v>
      </c>
      <c r="J224" s="1" t="s">
        <v>2507</v>
      </c>
      <c r="M224" s="38"/>
      <c r="N224" s="38"/>
      <c r="O224" s="38"/>
      <c r="P224" s="38"/>
      <c r="Q224" s="38"/>
      <c r="R224" s="38"/>
      <c r="S224" s="38"/>
      <c r="T224" s="38"/>
      <c r="U224" s="38"/>
      <c r="V224" s="38"/>
      <c r="W224" s="38"/>
      <c r="X224" s="38"/>
      <c r="Y224" s="38"/>
      <c r="Z224" s="38"/>
    </row>
    <row r="225" spans="1:26" ht="15.75" customHeight="1" x14ac:dyDescent="0.2">
      <c r="A225" s="8" t="s">
        <v>306</v>
      </c>
      <c r="B225" s="1">
        <v>56.343387999999997</v>
      </c>
      <c r="C225" s="1" t="s">
        <v>1523</v>
      </c>
      <c r="D225" s="1" t="s">
        <v>1524</v>
      </c>
      <c r="E225" s="1" t="s">
        <v>2280</v>
      </c>
      <c r="F225" s="1" t="s">
        <v>1528</v>
      </c>
      <c r="G225" s="1" t="s">
        <v>2287</v>
      </c>
      <c r="H225" s="1" t="s">
        <v>2255</v>
      </c>
      <c r="I225" s="1" t="s">
        <v>2256</v>
      </c>
      <c r="J225" s="1" t="s">
        <v>2508</v>
      </c>
      <c r="M225" s="38"/>
      <c r="N225" s="38"/>
      <c r="O225" s="38"/>
      <c r="P225" s="38"/>
      <c r="Q225" s="38"/>
      <c r="R225" s="38"/>
      <c r="S225" s="38"/>
      <c r="T225" s="38"/>
      <c r="U225" s="38"/>
      <c r="V225" s="38"/>
      <c r="W225" s="38"/>
      <c r="X225" s="38"/>
      <c r="Y225" s="38"/>
      <c r="Z225" s="38"/>
    </row>
    <row r="226" spans="1:26" ht="15.75" customHeight="1" x14ac:dyDescent="0.2">
      <c r="A226" s="8" t="s">
        <v>306</v>
      </c>
      <c r="B226" s="1">
        <v>56.343387999999997</v>
      </c>
      <c r="C226" s="1" t="s">
        <v>1523</v>
      </c>
      <c r="D226" s="1" t="s">
        <v>1524</v>
      </c>
      <c r="E226" s="1" t="s">
        <v>2280</v>
      </c>
      <c r="F226" s="1" t="s">
        <v>1528</v>
      </c>
      <c r="G226" s="1" t="s">
        <v>2266</v>
      </c>
      <c r="H226" s="1" t="s">
        <v>2255</v>
      </c>
      <c r="I226" s="1" t="s">
        <v>2256</v>
      </c>
      <c r="J226" s="1" t="s">
        <v>2509</v>
      </c>
      <c r="M226" s="38"/>
      <c r="N226" s="38"/>
      <c r="O226" s="38"/>
      <c r="P226" s="38"/>
      <c r="Q226" s="38"/>
      <c r="R226" s="38"/>
      <c r="S226" s="38"/>
      <c r="T226" s="38"/>
      <c r="U226" s="38"/>
      <c r="V226" s="38"/>
      <c r="W226" s="38"/>
      <c r="X226" s="38"/>
      <c r="Y226" s="38"/>
      <c r="Z226" s="38"/>
    </row>
    <row r="227" spans="1:26" ht="15.75" customHeight="1" x14ac:dyDescent="0.2">
      <c r="A227" s="8" t="s">
        <v>306</v>
      </c>
      <c r="B227" s="1">
        <v>56.343387999999997</v>
      </c>
      <c r="C227" s="1" t="s">
        <v>1523</v>
      </c>
      <c r="D227" s="1" t="s">
        <v>1524</v>
      </c>
      <c r="E227" s="1" t="s">
        <v>2280</v>
      </c>
      <c r="F227" s="1" t="s">
        <v>1528</v>
      </c>
      <c r="G227" s="1" t="s">
        <v>2262</v>
      </c>
      <c r="H227" s="1" t="s">
        <v>2260</v>
      </c>
      <c r="I227" s="1" t="s">
        <v>2256</v>
      </c>
      <c r="J227" s="1" t="s">
        <v>2510</v>
      </c>
      <c r="M227" s="38"/>
      <c r="N227" s="38"/>
      <c r="O227" s="38"/>
      <c r="P227" s="38"/>
      <c r="Q227" s="38"/>
      <c r="R227" s="38"/>
      <c r="S227" s="38"/>
      <c r="T227" s="38"/>
      <c r="U227" s="38"/>
      <c r="V227" s="38"/>
      <c r="W227" s="38"/>
      <c r="X227" s="38"/>
      <c r="Y227" s="38"/>
      <c r="Z227" s="38"/>
    </row>
    <row r="228" spans="1:26" ht="15.75" customHeight="1" x14ac:dyDescent="0.2">
      <c r="A228" s="8" t="s">
        <v>306</v>
      </c>
      <c r="B228" s="1">
        <v>56.343387999999997</v>
      </c>
      <c r="C228" s="1" t="s">
        <v>1523</v>
      </c>
      <c r="D228" s="1" t="s">
        <v>1524</v>
      </c>
      <c r="E228" s="1" t="s">
        <v>2280</v>
      </c>
      <c r="F228" s="1" t="s">
        <v>1528</v>
      </c>
      <c r="G228" s="1" t="s">
        <v>2273</v>
      </c>
      <c r="H228" s="1" t="s">
        <v>2263</v>
      </c>
      <c r="I228" s="1" t="s">
        <v>2256</v>
      </c>
      <c r="J228" s="1" t="s">
        <v>2511</v>
      </c>
      <c r="M228" s="38"/>
      <c r="N228" s="38"/>
      <c r="O228" s="38"/>
      <c r="P228" s="38"/>
      <c r="Q228" s="38"/>
      <c r="R228" s="38"/>
      <c r="S228" s="38"/>
      <c r="T228" s="38"/>
      <c r="U228" s="38"/>
      <c r="V228" s="38"/>
      <c r="W228" s="38"/>
      <c r="X228" s="38"/>
      <c r="Y228" s="38"/>
      <c r="Z228" s="38"/>
    </row>
    <row r="229" spans="1:26" ht="15.75" customHeight="1" x14ac:dyDescent="0.2">
      <c r="A229" s="8" t="s">
        <v>314</v>
      </c>
      <c r="B229" s="1">
        <v>82.895610000000005</v>
      </c>
      <c r="C229" s="1" t="s">
        <v>1523</v>
      </c>
      <c r="D229" s="1" t="s">
        <v>1578</v>
      </c>
      <c r="E229" s="1" t="s">
        <v>2280</v>
      </c>
      <c r="F229" s="1" t="s">
        <v>1528</v>
      </c>
      <c r="G229" s="1" t="s">
        <v>2266</v>
      </c>
      <c r="H229" s="1" t="s">
        <v>2255</v>
      </c>
      <c r="I229" s="1" t="s">
        <v>2256</v>
      </c>
      <c r="J229" s="1" t="s">
        <v>2476</v>
      </c>
      <c r="M229" s="38"/>
      <c r="N229" s="38"/>
      <c r="O229" s="38"/>
      <c r="P229" s="38"/>
      <c r="Q229" s="38"/>
      <c r="R229" s="38"/>
      <c r="S229" s="38"/>
      <c r="T229" s="38"/>
      <c r="U229" s="38"/>
      <c r="V229" s="38"/>
      <c r="W229" s="38"/>
      <c r="X229" s="38"/>
      <c r="Y229" s="38"/>
      <c r="Z229" s="38"/>
    </row>
    <row r="230" spans="1:26" ht="15.75" customHeight="1" x14ac:dyDescent="0.2">
      <c r="A230" s="8" t="s">
        <v>314</v>
      </c>
      <c r="B230" s="1">
        <v>82.895610000000005</v>
      </c>
      <c r="C230" s="1" t="s">
        <v>1523</v>
      </c>
      <c r="D230" s="1" t="s">
        <v>1578</v>
      </c>
      <c r="E230" s="1" t="s">
        <v>2280</v>
      </c>
      <c r="F230" s="1" t="s">
        <v>1528</v>
      </c>
      <c r="G230" s="1" t="s">
        <v>2271</v>
      </c>
      <c r="H230" s="1" t="s">
        <v>2260</v>
      </c>
      <c r="I230" s="1" t="s">
        <v>2256</v>
      </c>
      <c r="J230" s="1" t="s">
        <v>2512</v>
      </c>
      <c r="M230" s="38"/>
      <c r="N230" s="38"/>
      <c r="O230" s="38"/>
      <c r="P230" s="38"/>
      <c r="Q230" s="38"/>
      <c r="R230" s="38"/>
      <c r="S230" s="38"/>
      <c r="T230" s="38"/>
      <c r="U230" s="38"/>
      <c r="V230" s="38"/>
      <c r="W230" s="38"/>
      <c r="X230" s="38"/>
      <c r="Y230" s="38"/>
      <c r="Z230" s="38"/>
    </row>
    <row r="231" spans="1:26" ht="15.75" customHeight="1" x14ac:dyDescent="0.2">
      <c r="A231" s="8" t="s">
        <v>322</v>
      </c>
      <c r="B231" s="1">
        <v>54.279119999999999</v>
      </c>
      <c r="C231" s="1" t="s">
        <v>1523</v>
      </c>
      <c r="D231" s="1" t="s">
        <v>1524</v>
      </c>
      <c r="E231" s="1" t="s">
        <v>2280</v>
      </c>
      <c r="F231" s="1" t="s">
        <v>1528</v>
      </c>
      <c r="G231" s="1" t="s">
        <v>2273</v>
      </c>
      <c r="H231" s="1" t="s">
        <v>2260</v>
      </c>
      <c r="I231" s="1" t="s">
        <v>2256</v>
      </c>
      <c r="J231" s="1" t="s">
        <v>2513</v>
      </c>
      <c r="M231" s="38"/>
      <c r="N231" s="38"/>
      <c r="O231" s="38"/>
      <c r="P231" s="38"/>
      <c r="Q231" s="38"/>
      <c r="R231" s="38"/>
      <c r="S231" s="38"/>
      <c r="T231" s="38"/>
      <c r="U231" s="38"/>
      <c r="V231" s="38"/>
      <c r="W231" s="38"/>
      <c r="X231" s="38"/>
      <c r="Y231" s="38"/>
      <c r="Z231" s="38"/>
    </row>
    <row r="232" spans="1:26" ht="15.75" customHeight="1" x14ac:dyDescent="0.2">
      <c r="A232" s="8" t="s">
        <v>322</v>
      </c>
      <c r="B232" s="1">
        <v>54.279119999999999</v>
      </c>
      <c r="C232" s="1" t="s">
        <v>1523</v>
      </c>
      <c r="D232" s="1" t="s">
        <v>1524</v>
      </c>
      <c r="E232" s="1" t="s">
        <v>2280</v>
      </c>
      <c r="F232" s="1" t="s">
        <v>1528</v>
      </c>
      <c r="G232" s="1" t="s">
        <v>2282</v>
      </c>
      <c r="H232" s="1" t="s">
        <v>2260</v>
      </c>
      <c r="I232" s="1" t="s">
        <v>2256</v>
      </c>
      <c r="J232" s="1" t="s">
        <v>2514</v>
      </c>
      <c r="M232" s="38"/>
      <c r="N232" s="38"/>
      <c r="O232" s="38"/>
      <c r="P232" s="38"/>
      <c r="Q232" s="38"/>
      <c r="R232" s="38"/>
      <c r="S232" s="38"/>
      <c r="T232" s="38"/>
      <c r="U232" s="38"/>
      <c r="V232" s="38"/>
      <c r="W232" s="38"/>
      <c r="X232" s="38"/>
      <c r="Y232" s="38"/>
      <c r="Z232" s="38"/>
    </row>
    <row r="233" spans="1:26" ht="15.75" customHeight="1" x14ac:dyDescent="0.2">
      <c r="A233" s="8" t="s">
        <v>322</v>
      </c>
      <c r="B233" s="1">
        <v>54.279119999999999</v>
      </c>
      <c r="C233" s="1" t="s">
        <v>1523</v>
      </c>
      <c r="D233" s="1" t="s">
        <v>1524</v>
      </c>
      <c r="E233" s="1" t="s">
        <v>2280</v>
      </c>
      <c r="F233" s="1" t="s">
        <v>1528</v>
      </c>
      <c r="G233" s="1" t="s">
        <v>2271</v>
      </c>
      <c r="H233" s="1" t="s">
        <v>2260</v>
      </c>
      <c r="I233" s="1" t="s">
        <v>2256</v>
      </c>
      <c r="J233" s="1" t="s">
        <v>2515</v>
      </c>
      <c r="M233" s="38"/>
      <c r="N233" s="38"/>
      <c r="O233" s="38"/>
      <c r="P233" s="38"/>
      <c r="Q233" s="38"/>
      <c r="R233" s="38"/>
      <c r="S233" s="38"/>
      <c r="T233" s="38"/>
      <c r="U233" s="38"/>
      <c r="V233" s="38"/>
      <c r="W233" s="38"/>
      <c r="X233" s="38"/>
      <c r="Y233" s="38"/>
      <c r="Z233" s="38"/>
    </row>
    <row r="234" spans="1:26" ht="15.75" customHeight="1" x14ac:dyDescent="0.2">
      <c r="A234" s="8" t="s">
        <v>322</v>
      </c>
      <c r="B234" s="1">
        <v>54.279119999999999</v>
      </c>
      <c r="C234" s="1" t="s">
        <v>1523</v>
      </c>
      <c r="D234" s="1" t="s">
        <v>1524</v>
      </c>
      <c r="E234" s="1" t="s">
        <v>2280</v>
      </c>
      <c r="F234" s="1" t="s">
        <v>1528</v>
      </c>
      <c r="G234" s="1" t="s">
        <v>2262</v>
      </c>
      <c r="H234" s="1" t="s">
        <v>2260</v>
      </c>
      <c r="I234" s="1" t="s">
        <v>2256</v>
      </c>
      <c r="J234" s="1" t="s">
        <v>2516</v>
      </c>
      <c r="M234" s="38"/>
      <c r="N234" s="38"/>
      <c r="O234" s="38"/>
      <c r="P234" s="38"/>
      <c r="Q234" s="38"/>
      <c r="R234" s="38"/>
      <c r="S234" s="38"/>
      <c r="T234" s="38"/>
      <c r="U234" s="38"/>
      <c r="V234" s="38"/>
      <c r="W234" s="38"/>
      <c r="X234" s="38"/>
      <c r="Y234" s="38"/>
      <c r="Z234" s="38"/>
    </row>
    <row r="235" spans="1:26" ht="15.75" customHeight="1" x14ac:dyDescent="0.2">
      <c r="A235" s="8" t="s">
        <v>322</v>
      </c>
      <c r="B235" s="1">
        <v>54.279119999999999</v>
      </c>
      <c r="C235" s="1" t="s">
        <v>1523</v>
      </c>
      <c r="D235" s="1" t="s">
        <v>1524</v>
      </c>
      <c r="E235" s="1" t="s">
        <v>2280</v>
      </c>
      <c r="F235" s="1" t="s">
        <v>1528</v>
      </c>
      <c r="G235" s="1" t="s">
        <v>2262</v>
      </c>
      <c r="H235" s="1" t="s">
        <v>2260</v>
      </c>
      <c r="I235" s="1" t="s">
        <v>2256</v>
      </c>
      <c r="J235" s="1" t="s">
        <v>2517</v>
      </c>
      <c r="M235" s="38"/>
      <c r="N235" s="38"/>
      <c r="O235" s="38"/>
      <c r="P235" s="38"/>
      <c r="Q235" s="38"/>
      <c r="R235" s="38"/>
      <c r="S235" s="38"/>
      <c r="T235" s="38"/>
      <c r="U235" s="38"/>
      <c r="V235" s="38"/>
      <c r="W235" s="38"/>
      <c r="X235" s="38"/>
      <c r="Y235" s="38"/>
      <c r="Z235" s="38"/>
    </row>
    <row r="236" spans="1:26" ht="15.75" customHeight="1" x14ac:dyDescent="0.2">
      <c r="A236" s="8" t="s">
        <v>322</v>
      </c>
      <c r="B236" s="1">
        <v>54.279119999999999</v>
      </c>
      <c r="C236" s="1" t="s">
        <v>1523</v>
      </c>
      <c r="D236" s="1" t="s">
        <v>1524</v>
      </c>
      <c r="E236" s="1" t="s">
        <v>2280</v>
      </c>
      <c r="F236" s="1" t="s">
        <v>1528</v>
      </c>
      <c r="G236" s="1" t="s">
        <v>2259</v>
      </c>
      <c r="H236" s="1" t="s">
        <v>2263</v>
      </c>
      <c r="I236" s="1" t="s">
        <v>2256</v>
      </c>
      <c r="J236" s="1" t="s">
        <v>2518</v>
      </c>
      <c r="M236" s="38"/>
      <c r="N236" s="38"/>
      <c r="O236" s="38"/>
      <c r="P236" s="38"/>
      <c r="Q236" s="38"/>
      <c r="R236" s="38"/>
      <c r="S236" s="38"/>
      <c r="T236" s="38"/>
      <c r="U236" s="38"/>
      <c r="V236" s="38"/>
      <c r="W236" s="38"/>
      <c r="X236" s="38"/>
      <c r="Y236" s="38"/>
      <c r="Z236" s="38"/>
    </row>
    <row r="237" spans="1:26" ht="15.75" customHeight="1" x14ac:dyDescent="0.2">
      <c r="A237" s="8" t="s">
        <v>322</v>
      </c>
      <c r="B237" s="1">
        <v>54.279119999999999</v>
      </c>
      <c r="C237" s="1" t="s">
        <v>1523</v>
      </c>
      <c r="D237" s="1" t="s">
        <v>1524</v>
      </c>
      <c r="E237" s="1" t="s">
        <v>2280</v>
      </c>
      <c r="F237" s="1" t="s">
        <v>1528</v>
      </c>
      <c r="G237" s="1" t="s">
        <v>2290</v>
      </c>
      <c r="H237" s="1" t="s">
        <v>2263</v>
      </c>
      <c r="I237" s="1" t="s">
        <v>2256</v>
      </c>
      <c r="J237" s="1" t="s">
        <v>2519</v>
      </c>
      <c r="M237" s="38"/>
      <c r="N237" s="38"/>
      <c r="O237" s="38"/>
      <c r="P237" s="38"/>
      <c r="Q237" s="38"/>
      <c r="R237" s="38"/>
      <c r="S237" s="38"/>
      <c r="T237" s="38"/>
      <c r="U237" s="38"/>
      <c r="V237" s="38"/>
      <c r="W237" s="38"/>
      <c r="X237" s="38"/>
      <c r="Y237" s="38"/>
      <c r="Z237" s="38"/>
    </row>
    <row r="238" spans="1:26" ht="15.75" customHeight="1" x14ac:dyDescent="0.2">
      <c r="A238" s="8" t="s">
        <v>322</v>
      </c>
      <c r="B238" s="1">
        <v>54.279119999999999</v>
      </c>
      <c r="C238" s="1" t="s">
        <v>1523</v>
      </c>
      <c r="D238" s="1" t="s">
        <v>1524</v>
      </c>
      <c r="E238" s="1" t="s">
        <v>2280</v>
      </c>
      <c r="F238" s="1" t="s">
        <v>1528</v>
      </c>
      <c r="G238" s="1" t="s">
        <v>2295</v>
      </c>
      <c r="H238" s="1" t="s">
        <v>2263</v>
      </c>
      <c r="I238" s="1" t="s">
        <v>2256</v>
      </c>
      <c r="J238" s="1" t="s">
        <v>2520</v>
      </c>
      <c r="M238" s="38"/>
      <c r="N238" s="38"/>
      <c r="O238" s="38"/>
      <c r="P238" s="38"/>
      <c r="Q238" s="38"/>
      <c r="R238" s="38"/>
      <c r="S238" s="38"/>
      <c r="T238" s="38"/>
      <c r="U238" s="38"/>
      <c r="V238" s="38"/>
      <c r="W238" s="38"/>
      <c r="X238" s="38"/>
      <c r="Y238" s="38"/>
      <c r="Z238" s="38"/>
    </row>
    <row r="239" spans="1:26" ht="15.75" customHeight="1" x14ac:dyDescent="0.2">
      <c r="A239" s="8" t="s">
        <v>322</v>
      </c>
      <c r="B239" s="1">
        <v>54.279119999999999</v>
      </c>
      <c r="C239" s="1" t="s">
        <v>1523</v>
      </c>
      <c r="D239" s="1" t="s">
        <v>1524</v>
      </c>
      <c r="E239" s="1" t="s">
        <v>2280</v>
      </c>
      <c r="F239" s="1" t="s">
        <v>1528</v>
      </c>
      <c r="G239" s="1" t="s">
        <v>2273</v>
      </c>
      <c r="H239" s="1" t="s">
        <v>2263</v>
      </c>
      <c r="I239" s="1" t="s">
        <v>2256</v>
      </c>
      <c r="J239" s="1" t="s">
        <v>2521</v>
      </c>
      <c r="M239" s="38"/>
      <c r="N239" s="38"/>
      <c r="O239" s="38"/>
      <c r="P239" s="38"/>
      <c r="Q239" s="38"/>
      <c r="R239" s="38"/>
      <c r="S239" s="38"/>
      <c r="T239" s="38"/>
      <c r="U239" s="38"/>
      <c r="V239" s="38"/>
      <c r="W239" s="38"/>
      <c r="X239" s="38"/>
      <c r="Y239" s="38"/>
      <c r="Z239" s="38"/>
    </row>
    <row r="240" spans="1:26" ht="15.75" customHeight="1" x14ac:dyDescent="0.2">
      <c r="A240" s="8" t="s">
        <v>322</v>
      </c>
      <c r="B240" s="1">
        <v>54.279119999999999</v>
      </c>
      <c r="C240" s="1" t="s">
        <v>1523</v>
      </c>
      <c r="D240" s="1" t="s">
        <v>1524</v>
      </c>
      <c r="E240" s="1" t="s">
        <v>2280</v>
      </c>
      <c r="F240" s="1" t="s">
        <v>1528</v>
      </c>
      <c r="G240" s="1" t="s">
        <v>2413</v>
      </c>
      <c r="H240" s="1" t="s">
        <v>2263</v>
      </c>
      <c r="I240" s="1" t="s">
        <v>2256</v>
      </c>
      <c r="J240" s="1" t="s">
        <v>2522</v>
      </c>
      <c r="M240" s="38"/>
      <c r="N240" s="38"/>
      <c r="O240" s="38"/>
      <c r="P240" s="38"/>
      <c r="Q240" s="38"/>
      <c r="R240" s="38"/>
      <c r="S240" s="38"/>
      <c r="T240" s="38"/>
      <c r="U240" s="38"/>
      <c r="V240" s="38"/>
      <c r="W240" s="38"/>
      <c r="X240" s="38"/>
      <c r="Y240" s="38"/>
      <c r="Z240" s="38"/>
    </row>
    <row r="241" spans="1:26" ht="15.75" customHeight="1" x14ac:dyDescent="0.2">
      <c r="A241" s="8" t="s">
        <v>322</v>
      </c>
      <c r="B241" s="1">
        <v>54.279119999999999</v>
      </c>
      <c r="C241" s="1" t="s">
        <v>1523</v>
      </c>
      <c r="D241" s="1" t="s">
        <v>1524</v>
      </c>
      <c r="E241" s="1" t="s">
        <v>2280</v>
      </c>
      <c r="F241" s="1" t="s">
        <v>1528</v>
      </c>
      <c r="G241" s="1" t="s">
        <v>2341</v>
      </c>
      <c r="H241" s="1" t="s">
        <v>2263</v>
      </c>
      <c r="I241" s="1" t="s">
        <v>2256</v>
      </c>
      <c r="J241" s="1" t="s">
        <v>2523</v>
      </c>
      <c r="M241" s="38"/>
      <c r="N241" s="38"/>
      <c r="O241" s="38"/>
      <c r="P241" s="38"/>
      <c r="Q241" s="38"/>
      <c r="R241" s="38"/>
      <c r="S241" s="38"/>
      <c r="T241" s="38"/>
      <c r="U241" s="38"/>
      <c r="V241" s="38"/>
      <c r="W241" s="38"/>
      <c r="X241" s="38"/>
      <c r="Y241" s="38"/>
      <c r="Z241" s="38"/>
    </row>
    <row r="242" spans="1:26" ht="15.75" customHeight="1" x14ac:dyDescent="0.2">
      <c r="A242" s="8" t="s">
        <v>322</v>
      </c>
      <c r="B242" s="1">
        <v>54.279119999999999</v>
      </c>
      <c r="C242" s="1" t="s">
        <v>1523</v>
      </c>
      <c r="D242" s="1" t="s">
        <v>1524</v>
      </c>
      <c r="E242" s="1" t="s">
        <v>2280</v>
      </c>
      <c r="F242" s="1" t="s">
        <v>1528</v>
      </c>
      <c r="G242" s="1" t="s">
        <v>2436</v>
      </c>
      <c r="H242" s="1" t="s">
        <v>2263</v>
      </c>
      <c r="I242" s="1" t="s">
        <v>2256</v>
      </c>
      <c r="J242" s="1" t="s">
        <v>2524</v>
      </c>
      <c r="M242" s="38"/>
      <c r="N242" s="38"/>
      <c r="O242" s="38"/>
      <c r="P242" s="38"/>
      <c r="Q242" s="38"/>
      <c r="R242" s="38"/>
      <c r="S242" s="38"/>
      <c r="T242" s="38"/>
      <c r="U242" s="38"/>
      <c r="V242" s="38"/>
      <c r="W242" s="38"/>
      <c r="X242" s="38"/>
      <c r="Y242" s="38"/>
      <c r="Z242" s="38"/>
    </row>
    <row r="243" spans="1:26" ht="15.75" customHeight="1" x14ac:dyDescent="0.2">
      <c r="A243" s="8" t="s">
        <v>322</v>
      </c>
      <c r="B243" s="1">
        <v>54.279119999999999</v>
      </c>
      <c r="C243" s="1" t="s">
        <v>1523</v>
      </c>
      <c r="D243" s="1" t="s">
        <v>1524</v>
      </c>
      <c r="E243" s="1" t="s">
        <v>2280</v>
      </c>
      <c r="F243" s="1" t="s">
        <v>1528</v>
      </c>
      <c r="G243" s="1" t="s">
        <v>1363</v>
      </c>
      <c r="H243" s="1" t="s">
        <v>2263</v>
      </c>
      <c r="I243" s="1" t="s">
        <v>2256</v>
      </c>
      <c r="J243" s="1" t="s">
        <v>2525</v>
      </c>
      <c r="M243" s="38"/>
      <c r="N243" s="38"/>
      <c r="O243" s="38"/>
      <c r="P243" s="38"/>
      <c r="Q243" s="38"/>
      <c r="R243" s="38"/>
      <c r="S243" s="38"/>
      <c r="T243" s="38"/>
      <c r="U243" s="38"/>
      <c r="V243" s="38"/>
      <c r="W243" s="38"/>
      <c r="X243" s="38"/>
      <c r="Y243" s="38"/>
      <c r="Z243" s="38"/>
    </row>
    <row r="244" spans="1:26" ht="15.75" customHeight="1" x14ac:dyDescent="0.2">
      <c r="A244" s="8" t="s">
        <v>322</v>
      </c>
      <c r="B244" s="1">
        <v>54.279119999999999</v>
      </c>
      <c r="C244" s="1" t="s">
        <v>1523</v>
      </c>
      <c r="D244" s="1" t="s">
        <v>1524</v>
      </c>
      <c r="E244" s="1" t="s">
        <v>2280</v>
      </c>
      <c r="F244" s="1" t="s">
        <v>1528</v>
      </c>
      <c r="G244" s="1" t="s">
        <v>2442</v>
      </c>
      <c r="H244" s="1" t="s">
        <v>2263</v>
      </c>
      <c r="I244" s="1" t="s">
        <v>2256</v>
      </c>
      <c r="J244" s="1" t="s">
        <v>2526</v>
      </c>
      <c r="M244" s="38"/>
      <c r="N244" s="38"/>
      <c r="O244" s="38"/>
      <c r="P244" s="38"/>
      <c r="Q244" s="38"/>
      <c r="R244" s="38"/>
      <c r="S244" s="38"/>
      <c r="T244" s="38"/>
      <c r="U244" s="38"/>
      <c r="V244" s="38"/>
      <c r="W244" s="38"/>
      <c r="X244" s="38"/>
      <c r="Y244" s="38"/>
      <c r="Z244" s="38"/>
    </row>
    <row r="245" spans="1:26" ht="15.75" customHeight="1" x14ac:dyDescent="0.2">
      <c r="A245" s="8" t="s">
        <v>322</v>
      </c>
      <c r="B245" s="1">
        <v>54.279119999999999</v>
      </c>
      <c r="C245" s="1" t="s">
        <v>1523</v>
      </c>
      <c r="D245" s="1" t="s">
        <v>1524</v>
      </c>
      <c r="E245" s="1" t="s">
        <v>2280</v>
      </c>
      <c r="F245" s="1" t="s">
        <v>1528</v>
      </c>
      <c r="G245" s="1" t="s">
        <v>2527</v>
      </c>
      <c r="H245" s="1" t="s">
        <v>2263</v>
      </c>
      <c r="I245" s="1" t="s">
        <v>2256</v>
      </c>
      <c r="J245" s="1" t="s">
        <v>2528</v>
      </c>
      <c r="M245" s="38"/>
      <c r="N245" s="38"/>
      <c r="O245" s="38"/>
      <c r="P245" s="38"/>
      <c r="Q245" s="38"/>
      <c r="R245" s="38"/>
      <c r="S245" s="38"/>
      <c r="T245" s="38"/>
      <c r="U245" s="38"/>
      <c r="V245" s="38"/>
      <c r="W245" s="38"/>
      <c r="X245" s="38"/>
      <c r="Y245" s="38"/>
      <c r="Z245" s="38"/>
    </row>
    <row r="246" spans="1:26" ht="15.75" customHeight="1" x14ac:dyDescent="0.2">
      <c r="A246" s="8" t="s">
        <v>322</v>
      </c>
      <c r="B246" s="1">
        <v>54.279119999999999</v>
      </c>
      <c r="C246" s="1" t="s">
        <v>1523</v>
      </c>
      <c r="D246" s="1" t="s">
        <v>1524</v>
      </c>
      <c r="E246" s="1" t="s">
        <v>2280</v>
      </c>
      <c r="F246" s="1" t="s">
        <v>1528</v>
      </c>
      <c r="G246" s="1" t="s">
        <v>2527</v>
      </c>
      <c r="H246" s="1" t="s">
        <v>2263</v>
      </c>
      <c r="I246" s="1" t="s">
        <v>2256</v>
      </c>
      <c r="J246" s="1" t="s">
        <v>2529</v>
      </c>
      <c r="M246" s="38"/>
      <c r="N246" s="38"/>
      <c r="O246" s="38"/>
      <c r="P246" s="38"/>
      <c r="Q246" s="38"/>
      <c r="R246" s="38"/>
      <c r="S246" s="38"/>
      <c r="T246" s="38"/>
      <c r="U246" s="38"/>
      <c r="V246" s="38"/>
      <c r="W246" s="38"/>
      <c r="X246" s="38"/>
      <c r="Y246" s="38"/>
      <c r="Z246" s="38"/>
    </row>
    <row r="247" spans="1:26" ht="15.75" customHeight="1" x14ac:dyDescent="0.2">
      <c r="A247" s="8" t="s">
        <v>322</v>
      </c>
      <c r="B247" s="1">
        <v>54.279119999999999</v>
      </c>
      <c r="C247" s="1" t="s">
        <v>1523</v>
      </c>
      <c r="D247" s="1" t="s">
        <v>1524</v>
      </c>
      <c r="E247" s="1" t="s">
        <v>2280</v>
      </c>
      <c r="F247" s="1" t="s">
        <v>1528</v>
      </c>
      <c r="G247" s="1" t="s">
        <v>2276</v>
      </c>
      <c r="H247" s="1" t="s">
        <v>2263</v>
      </c>
      <c r="I247" s="1" t="s">
        <v>2256</v>
      </c>
      <c r="J247" s="1" t="s">
        <v>2530</v>
      </c>
      <c r="M247" s="38"/>
      <c r="N247" s="38"/>
      <c r="O247" s="38"/>
      <c r="P247" s="38"/>
      <c r="Q247" s="38"/>
      <c r="R247" s="38"/>
      <c r="S247" s="38"/>
      <c r="T247" s="38"/>
      <c r="U247" s="38"/>
      <c r="V247" s="38"/>
      <c r="W247" s="38"/>
      <c r="X247" s="38"/>
      <c r="Y247" s="38"/>
      <c r="Z247" s="38"/>
    </row>
    <row r="248" spans="1:26" ht="15.75" customHeight="1" x14ac:dyDescent="0.2">
      <c r="A248" s="8" t="s">
        <v>322</v>
      </c>
      <c r="B248" s="1">
        <v>54.279119999999999</v>
      </c>
      <c r="C248" s="1" t="s">
        <v>1523</v>
      </c>
      <c r="D248" s="1" t="s">
        <v>1524</v>
      </c>
      <c r="E248" s="1" t="s">
        <v>2280</v>
      </c>
      <c r="F248" s="1" t="s">
        <v>1528</v>
      </c>
      <c r="G248" s="1" t="s">
        <v>2299</v>
      </c>
      <c r="H248" s="1" t="s">
        <v>2263</v>
      </c>
      <c r="I248" s="1" t="s">
        <v>2256</v>
      </c>
      <c r="J248" s="1" t="s">
        <v>2531</v>
      </c>
      <c r="M248" s="38"/>
      <c r="N248" s="38"/>
      <c r="O248" s="38"/>
      <c r="P248" s="38"/>
      <c r="Q248" s="38"/>
      <c r="R248" s="38"/>
      <c r="S248" s="38"/>
      <c r="T248" s="38"/>
      <c r="U248" s="38"/>
      <c r="V248" s="38"/>
      <c r="W248" s="38"/>
      <c r="X248" s="38"/>
      <c r="Y248" s="38"/>
      <c r="Z248" s="38"/>
    </row>
    <row r="249" spans="1:26" ht="15.75" customHeight="1" x14ac:dyDescent="0.2">
      <c r="A249" s="8" t="s">
        <v>322</v>
      </c>
      <c r="B249" s="1">
        <v>54.279119999999999</v>
      </c>
      <c r="C249" s="1" t="s">
        <v>1523</v>
      </c>
      <c r="D249" s="1" t="s">
        <v>1524</v>
      </c>
      <c r="E249" s="1" t="s">
        <v>2280</v>
      </c>
      <c r="F249" s="1" t="s">
        <v>1528</v>
      </c>
      <c r="G249" s="1" t="s">
        <v>2399</v>
      </c>
      <c r="H249" s="1" t="s">
        <v>2263</v>
      </c>
      <c r="I249" s="1" t="s">
        <v>2256</v>
      </c>
      <c r="J249" s="1" t="s">
        <v>2532</v>
      </c>
      <c r="M249" s="38"/>
      <c r="N249" s="38"/>
      <c r="O249" s="38"/>
      <c r="P249" s="38"/>
      <c r="Q249" s="38"/>
      <c r="R249" s="38"/>
      <c r="S249" s="38"/>
      <c r="T249" s="38"/>
      <c r="U249" s="38"/>
      <c r="V249" s="38"/>
      <c r="W249" s="38"/>
      <c r="X249" s="38"/>
      <c r="Y249" s="38"/>
      <c r="Z249" s="38"/>
    </row>
    <row r="250" spans="1:26" ht="15.75" customHeight="1" x14ac:dyDescent="0.2">
      <c r="A250" s="8" t="s">
        <v>322</v>
      </c>
      <c r="B250" s="1">
        <v>54.279119999999999</v>
      </c>
      <c r="C250" s="1" t="s">
        <v>1523</v>
      </c>
      <c r="D250" s="1" t="s">
        <v>1524</v>
      </c>
      <c r="E250" s="1" t="s">
        <v>2280</v>
      </c>
      <c r="F250" s="1" t="s">
        <v>1528</v>
      </c>
      <c r="G250" s="1" t="s">
        <v>2399</v>
      </c>
      <c r="H250" s="1" t="s">
        <v>2263</v>
      </c>
      <c r="I250" s="1" t="s">
        <v>2256</v>
      </c>
      <c r="J250" s="1" t="s">
        <v>2533</v>
      </c>
      <c r="M250" s="38"/>
      <c r="N250" s="38"/>
      <c r="O250" s="38"/>
      <c r="P250" s="38"/>
      <c r="Q250" s="38"/>
      <c r="R250" s="38"/>
      <c r="S250" s="38"/>
      <c r="T250" s="38"/>
      <c r="U250" s="38"/>
      <c r="V250" s="38"/>
      <c r="W250" s="38"/>
      <c r="X250" s="38"/>
      <c r="Y250" s="38"/>
      <c r="Z250" s="38"/>
    </row>
    <row r="251" spans="1:26" ht="15.75" customHeight="1" x14ac:dyDescent="0.2">
      <c r="A251" s="8" t="s">
        <v>344</v>
      </c>
      <c r="B251" s="1">
        <v>50.016084999999997</v>
      </c>
      <c r="C251" s="1" t="s">
        <v>1523</v>
      </c>
      <c r="D251" s="1" t="s">
        <v>1524</v>
      </c>
      <c r="E251" s="1" t="s">
        <v>2253</v>
      </c>
      <c r="F251" s="1" t="s">
        <v>1528</v>
      </c>
      <c r="G251" s="1" t="s">
        <v>2273</v>
      </c>
      <c r="H251" s="1" t="s">
        <v>2255</v>
      </c>
      <c r="I251" s="1" t="s">
        <v>2274</v>
      </c>
      <c r="J251" s="1" t="s">
        <v>2534</v>
      </c>
      <c r="M251" s="38"/>
      <c r="N251" s="38"/>
      <c r="O251" s="38"/>
      <c r="P251" s="38"/>
      <c r="Q251" s="38"/>
      <c r="R251" s="38"/>
      <c r="S251" s="38"/>
      <c r="T251" s="38"/>
      <c r="U251" s="38"/>
      <c r="V251" s="38"/>
      <c r="W251" s="38"/>
      <c r="X251" s="38"/>
      <c r="Y251" s="38"/>
      <c r="Z251" s="38"/>
    </row>
    <row r="252" spans="1:26" ht="15.75" customHeight="1" x14ac:dyDescent="0.2">
      <c r="A252" s="8" t="s">
        <v>344</v>
      </c>
      <c r="B252" s="1">
        <v>50.016084999999997</v>
      </c>
      <c r="C252" s="1" t="s">
        <v>1523</v>
      </c>
      <c r="D252" s="1" t="s">
        <v>1524</v>
      </c>
      <c r="E252" s="1" t="s">
        <v>2253</v>
      </c>
      <c r="F252" s="1" t="s">
        <v>1528</v>
      </c>
      <c r="G252" s="1" t="s">
        <v>2302</v>
      </c>
      <c r="H252" s="1" t="s">
        <v>2255</v>
      </c>
      <c r="I252" s="1" t="s">
        <v>2285</v>
      </c>
      <c r="J252" s="1" t="s">
        <v>2303</v>
      </c>
      <c r="M252" s="38"/>
      <c r="N252" s="38"/>
      <c r="O252" s="38"/>
      <c r="P252" s="38"/>
      <c r="Q252" s="38"/>
      <c r="R252" s="38"/>
      <c r="S252" s="38"/>
      <c r="T252" s="38"/>
      <c r="U252" s="38"/>
      <c r="V252" s="38"/>
      <c r="W252" s="38"/>
      <c r="X252" s="38"/>
      <c r="Y252" s="38"/>
      <c r="Z252" s="38"/>
    </row>
    <row r="253" spans="1:26" ht="15.75" customHeight="1" x14ac:dyDescent="0.2">
      <c r="A253" s="8" t="s">
        <v>344</v>
      </c>
      <c r="B253" s="1">
        <v>50.016084999999997</v>
      </c>
      <c r="C253" s="1" t="s">
        <v>1523</v>
      </c>
      <c r="D253" s="1" t="s">
        <v>1524</v>
      </c>
      <c r="E253" s="1" t="s">
        <v>2253</v>
      </c>
      <c r="F253" s="1" t="s">
        <v>1528</v>
      </c>
      <c r="G253" s="1" t="s">
        <v>2273</v>
      </c>
      <c r="H253" s="1" t="s">
        <v>2255</v>
      </c>
      <c r="I253" s="1" t="s">
        <v>2285</v>
      </c>
      <c r="J253" s="1" t="s">
        <v>2535</v>
      </c>
      <c r="M253" s="38"/>
      <c r="N253" s="38"/>
      <c r="O253" s="38"/>
      <c r="P253" s="38"/>
      <c r="Q253" s="38"/>
      <c r="R253" s="38"/>
      <c r="S253" s="38"/>
      <c r="T253" s="38"/>
      <c r="U253" s="38"/>
      <c r="V253" s="38"/>
      <c r="W253" s="38"/>
      <c r="X253" s="38"/>
      <c r="Y253" s="38"/>
      <c r="Z253" s="38"/>
    </row>
    <row r="254" spans="1:26" ht="15.75" customHeight="1" x14ac:dyDescent="0.2">
      <c r="A254" s="8" t="s">
        <v>344</v>
      </c>
      <c r="B254" s="1">
        <v>50.016084999999997</v>
      </c>
      <c r="C254" s="1" t="s">
        <v>1523</v>
      </c>
      <c r="D254" s="1" t="s">
        <v>1524</v>
      </c>
      <c r="E254" s="1" t="s">
        <v>2253</v>
      </c>
      <c r="F254" s="1" t="s">
        <v>1528</v>
      </c>
      <c r="G254" s="1" t="s">
        <v>2287</v>
      </c>
      <c r="H254" s="1" t="s">
        <v>2255</v>
      </c>
      <c r="I254" s="1" t="s">
        <v>2256</v>
      </c>
      <c r="J254" s="1" t="s">
        <v>2536</v>
      </c>
      <c r="M254" s="38"/>
      <c r="N254" s="38"/>
      <c r="O254" s="38"/>
      <c r="P254" s="38"/>
      <c r="Q254" s="38"/>
      <c r="R254" s="38"/>
      <c r="S254" s="38"/>
      <c r="T254" s="38"/>
      <c r="U254" s="38"/>
      <c r="V254" s="38"/>
      <c r="W254" s="38"/>
      <c r="X254" s="38"/>
      <c r="Y254" s="38"/>
      <c r="Z254" s="38"/>
    </row>
    <row r="255" spans="1:26" ht="15.75" customHeight="1" x14ac:dyDescent="0.2">
      <c r="A255" s="8" t="s">
        <v>344</v>
      </c>
      <c r="B255" s="1">
        <v>50.016084999999997</v>
      </c>
      <c r="C255" s="1" t="s">
        <v>1523</v>
      </c>
      <c r="D255" s="1" t="s">
        <v>1524</v>
      </c>
      <c r="E255" s="1" t="s">
        <v>2253</v>
      </c>
      <c r="F255" s="1" t="s">
        <v>1528</v>
      </c>
      <c r="G255" s="1" t="s">
        <v>2266</v>
      </c>
      <c r="H255" s="1" t="s">
        <v>2255</v>
      </c>
      <c r="I255" s="1" t="s">
        <v>2256</v>
      </c>
      <c r="J255" s="1" t="s">
        <v>2452</v>
      </c>
      <c r="M255" s="38"/>
      <c r="N255" s="38"/>
      <c r="O255" s="38"/>
      <c r="P255" s="38"/>
      <c r="Q255" s="38"/>
      <c r="R255" s="38"/>
      <c r="S255" s="38"/>
      <c r="T255" s="38"/>
      <c r="U255" s="38"/>
      <c r="V255" s="38"/>
      <c r="W255" s="38"/>
      <c r="X255" s="38"/>
      <c r="Y255" s="38"/>
      <c r="Z255" s="38"/>
    </row>
    <row r="256" spans="1:26" ht="15.75" customHeight="1" x14ac:dyDescent="0.2">
      <c r="A256" s="8" t="s">
        <v>344</v>
      </c>
      <c r="B256" s="1">
        <v>50.016084999999997</v>
      </c>
      <c r="C256" s="1" t="s">
        <v>1523</v>
      </c>
      <c r="D256" s="1" t="s">
        <v>1524</v>
      </c>
      <c r="E256" s="1" t="s">
        <v>2253</v>
      </c>
      <c r="F256" s="1" t="s">
        <v>1528</v>
      </c>
      <c r="G256" s="1" t="s">
        <v>2262</v>
      </c>
      <c r="H256" s="1" t="s">
        <v>2260</v>
      </c>
      <c r="I256" s="1" t="s">
        <v>2256</v>
      </c>
      <c r="J256" s="1" t="s">
        <v>2537</v>
      </c>
      <c r="M256" s="38"/>
      <c r="N256" s="38"/>
      <c r="O256" s="38"/>
      <c r="P256" s="38"/>
      <c r="Q256" s="38"/>
      <c r="R256" s="38"/>
      <c r="S256" s="38"/>
      <c r="T256" s="38"/>
      <c r="U256" s="38"/>
      <c r="V256" s="38"/>
      <c r="W256" s="38"/>
      <c r="X256" s="38"/>
      <c r="Y256" s="38"/>
      <c r="Z256" s="38"/>
    </row>
    <row r="257" spans="1:26" ht="15.75" customHeight="1" x14ac:dyDescent="0.2">
      <c r="A257" s="8" t="s">
        <v>351</v>
      </c>
      <c r="B257" s="1">
        <v>20.394669</v>
      </c>
      <c r="C257" s="1" t="s">
        <v>1523</v>
      </c>
      <c r="D257" s="1" t="s">
        <v>1524</v>
      </c>
      <c r="E257" s="1" t="s">
        <v>2280</v>
      </c>
      <c r="F257" s="1" t="s">
        <v>1583</v>
      </c>
      <c r="G257" s="1" t="s">
        <v>2282</v>
      </c>
      <c r="H257" s="1" t="s">
        <v>2260</v>
      </c>
      <c r="I257" s="1" t="s">
        <v>2256</v>
      </c>
      <c r="J257" s="1" t="s">
        <v>2538</v>
      </c>
      <c r="M257" s="38"/>
      <c r="N257" s="38"/>
      <c r="O257" s="38"/>
      <c r="P257" s="38"/>
      <c r="Q257" s="38"/>
      <c r="R257" s="38"/>
      <c r="S257" s="38"/>
      <c r="T257" s="38"/>
      <c r="U257" s="38"/>
      <c r="V257" s="38"/>
      <c r="W257" s="38"/>
      <c r="X257" s="38"/>
      <c r="Y257" s="38"/>
      <c r="Z257" s="38"/>
    </row>
    <row r="258" spans="1:26" ht="15.75" customHeight="1" x14ac:dyDescent="0.2">
      <c r="A258" s="8" t="s">
        <v>351</v>
      </c>
      <c r="B258" s="1">
        <v>20.394669</v>
      </c>
      <c r="C258" s="1" t="s">
        <v>1523</v>
      </c>
      <c r="D258" s="1" t="s">
        <v>1524</v>
      </c>
      <c r="E258" s="1" t="s">
        <v>2280</v>
      </c>
      <c r="F258" s="1" t="s">
        <v>1583</v>
      </c>
      <c r="G258" s="1" t="s">
        <v>1363</v>
      </c>
      <c r="H258" s="1" t="s">
        <v>2260</v>
      </c>
      <c r="I258" s="1" t="s">
        <v>2256</v>
      </c>
      <c r="J258" s="1" t="s">
        <v>2539</v>
      </c>
      <c r="M258" s="38"/>
      <c r="N258" s="38"/>
      <c r="O258" s="38"/>
      <c r="P258" s="38"/>
      <c r="Q258" s="38"/>
      <c r="R258" s="38"/>
      <c r="S258" s="38"/>
      <c r="T258" s="38"/>
      <c r="U258" s="38"/>
      <c r="V258" s="38"/>
      <c r="W258" s="38"/>
      <c r="X258" s="38"/>
      <c r="Y258" s="38"/>
      <c r="Z258" s="38"/>
    </row>
    <row r="259" spans="1:26" ht="15.75" customHeight="1" x14ac:dyDescent="0.2">
      <c r="A259" s="8" t="s">
        <v>357</v>
      </c>
      <c r="B259" s="1">
        <v>12.394619</v>
      </c>
      <c r="C259" s="1" t="s">
        <v>1523</v>
      </c>
      <c r="D259" s="1" t="s">
        <v>1524</v>
      </c>
      <c r="E259" s="1" t="s">
        <v>2253</v>
      </c>
      <c r="F259" s="1" t="s">
        <v>1583</v>
      </c>
      <c r="G259" s="1" t="s">
        <v>2290</v>
      </c>
      <c r="H259" s="1" t="s">
        <v>2255</v>
      </c>
      <c r="I259" s="1" t="s">
        <v>2256</v>
      </c>
      <c r="J259" s="1" t="s">
        <v>2540</v>
      </c>
      <c r="M259" s="38"/>
      <c r="N259" s="38"/>
      <c r="O259" s="38"/>
      <c r="P259" s="38"/>
      <c r="Q259" s="38"/>
      <c r="R259" s="38"/>
      <c r="S259" s="38"/>
      <c r="T259" s="38"/>
      <c r="U259" s="38"/>
      <c r="V259" s="38"/>
      <c r="W259" s="38"/>
      <c r="X259" s="38"/>
      <c r="Y259" s="38"/>
      <c r="Z259" s="38"/>
    </row>
    <row r="260" spans="1:26" ht="15.75" customHeight="1" x14ac:dyDescent="0.2">
      <c r="A260" s="8" t="s">
        <v>361</v>
      </c>
      <c r="B260" s="1">
        <v>23.110672999999998</v>
      </c>
      <c r="C260" s="1" t="s">
        <v>1523</v>
      </c>
      <c r="D260" s="1" t="s">
        <v>1524</v>
      </c>
      <c r="E260" s="1" t="s">
        <v>2280</v>
      </c>
      <c r="F260" s="1" t="s">
        <v>1560</v>
      </c>
      <c r="G260" s="1" t="s">
        <v>2259</v>
      </c>
      <c r="H260" s="1" t="s">
        <v>2255</v>
      </c>
      <c r="I260" s="1" t="s">
        <v>2256</v>
      </c>
      <c r="J260" s="1" t="s">
        <v>2541</v>
      </c>
      <c r="M260" s="38"/>
      <c r="N260" s="38"/>
      <c r="O260" s="38"/>
      <c r="P260" s="38"/>
      <c r="Q260" s="38"/>
      <c r="R260" s="38"/>
      <c r="S260" s="38"/>
      <c r="T260" s="38"/>
      <c r="U260" s="38"/>
      <c r="V260" s="38"/>
      <c r="W260" s="38"/>
      <c r="X260" s="38"/>
      <c r="Y260" s="38"/>
      <c r="Z260" s="38"/>
    </row>
    <row r="261" spans="1:26" ht="15.75" customHeight="1" x14ac:dyDescent="0.2">
      <c r="A261" s="8" t="s">
        <v>361</v>
      </c>
      <c r="B261" s="1">
        <v>23.110672999999998</v>
      </c>
      <c r="C261" s="1" t="s">
        <v>1523</v>
      </c>
      <c r="D261" s="1" t="s">
        <v>1524</v>
      </c>
      <c r="E261" s="1" t="s">
        <v>2280</v>
      </c>
      <c r="F261" s="1" t="s">
        <v>1560</v>
      </c>
      <c r="G261" s="1" t="s">
        <v>2254</v>
      </c>
      <c r="H261" s="1" t="s">
        <v>2255</v>
      </c>
      <c r="I261" s="1" t="s">
        <v>2256</v>
      </c>
      <c r="J261" s="1" t="s">
        <v>2542</v>
      </c>
      <c r="M261" s="38"/>
      <c r="N261" s="38"/>
      <c r="O261" s="38"/>
      <c r="P261" s="38"/>
      <c r="Q261" s="38"/>
      <c r="R261" s="38"/>
      <c r="S261" s="38"/>
      <c r="T261" s="38"/>
      <c r="U261" s="38"/>
      <c r="V261" s="38"/>
      <c r="W261" s="38"/>
      <c r="X261" s="38"/>
      <c r="Y261" s="38"/>
      <c r="Z261" s="38"/>
    </row>
    <row r="262" spans="1:26" ht="15.75" customHeight="1" x14ac:dyDescent="0.2">
      <c r="A262" s="8" t="s">
        <v>361</v>
      </c>
      <c r="B262" s="1">
        <v>23.110672999999998</v>
      </c>
      <c r="C262" s="1" t="s">
        <v>1523</v>
      </c>
      <c r="D262" s="1" t="s">
        <v>1524</v>
      </c>
      <c r="E262" s="1" t="s">
        <v>2280</v>
      </c>
      <c r="F262" s="1" t="s">
        <v>1560</v>
      </c>
      <c r="G262" s="1" t="s">
        <v>2262</v>
      </c>
      <c r="H262" s="1" t="s">
        <v>2260</v>
      </c>
      <c r="I262" s="1" t="s">
        <v>2256</v>
      </c>
      <c r="J262" s="1" t="s">
        <v>2543</v>
      </c>
      <c r="M262" s="38"/>
      <c r="N262" s="38"/>
      <c r="O262" s="38"/>
      <c r="P262" s="38"/>
      <c r="Q262" s="38"/>
      <c r="R262" s="38"/>
      <c r="S262" s="38"/>
      <c r="T262" s="38"/>
      <c r="U262" s="38"/>
      <c r="V262" s="38"/>
      <c r="W262" s="38"/>
      <c r="X262" s="38"/>
      <c r="Y262" s="38"/>
      <c r="Z262" s="38"/>
    </row>
    <row r="263" spans="1:26" ht="15.75" customHeight="1" x14ac:dyDescent="0.2">
      <c r="A263" s="8" t="s">
        <v>366</v>
      </c>
      <c r="B263" s="1">
        <v>67.421074000000004</v>
      </c>
      <c r="C263" s="1" t="s">
        <v>1523</v>
      </c>
      <c r="D263" s="1" t="s">
        <v>1524</v>
      </c>
      <c r="E263" s="1" t="s">
        <v>2280</v>
      </c>
      <c r="F263" s="1" t="s">
        <v>1528</v>
      </c>
      <c r="G263" s="1" t="s">
        <v>2504</v>
      </c>
      <c r="H263" s="1" t="s">
        <v>2260</v>
      </c>
      <c r="I263" s="1" t="s">
        <v>2256</v>
      </c>
      <c r="J263" s="1" t="s">
        <v>2544</v>
      </c>
      <c r="M263" s="38"/>
      <c r="N263" s="38"/>
      <c r="O263" s="38"/>
      <c r="P263" s="38"/>
      <c r="Q263" s="38"/>
      <c r="R263" s="38"/>
      <c r="S263" s="38"/>
      <c r="T263" s="38"/>
      <c r="U263" s="38"/>
      <c r="V263" s="38"/>
      <c r="W263" s="38"/>
      <c r="X263" s="38"/>
      <c r="Y263" s="38"/>
      <c r="Z263" s="38"/>
    </row>
    <row r="264" spans="1:26" ht="15.75" customHeight="1" x14ac:dyDescent="0.2">
      <c r="A264" s="8" t="s">
        <v>366</v>
      </c>
      <c r="B264" s="1">
        <v>67.421074000000004</v>
      </c>
      <c r="C264" s="1" t="s">
        <v>1523</v>
      </c>
      <c r="D264" s="1" t="s">
        <v>1524</v>
      </c>
      <c r="E264" s="1" t="s">
        <v>2280</v>
      </c>
      <c r="F264" s="1" t="s">
        <v>1528</v>
      </c>
      <c r="G264" s="1" t="s">
        <v>1363</v>
      </c>
      <c r="H264" s="1" t="s">
        <v>2260</v>
      </c>
      <c r="I264" s="1" t="s">
        <v>2256</v>
      </c>
      <c r="J264" s="1" t="s">
        <v>2545</v>
      </c>
      <c r="M264" s="38"/>
      <c r="N264" s="38"/>
      <c r="O264" s="38"/>
      <c r="P264" s="38"/>
      <c r="Q264" s="38"/>
      <c r="R264" s="38"/>
      <c r="S264" s="38"/>
      <c r="T264" s="38"/>
      <c r="U264" s="38"/>
      <c r="V264" s="38"/>
      <c r="W264" s="38"/>
      <c r="X264" s="38"/>
      <c r="Y264" s="38"/>
      <c r="Z264" s="38"/>
    </row>
    <row r="265" spans="1:26" ht="15.75" customHeight="1" x14ac:dyDescent="0.2">
      <c r="A265" s="8" t="s">
        <v>366</v>
      </c>
      <c r="B265" s="1">
        <v>67.421074000000004</v>
      </c>
      <c r="C265" s="1" t="s">
        <v>1523</v>
      </c>
      <c r="D265" s="1" t="s">
        <v>1524</v>
      </c>
      <c r="E265" s="1" t="s">
        <v>2280</v>
      </c>
      <c r="F265" s="1" t="s">
        <v>1528</v>
      </c>
      <c r="G265" s="1" t="s">
        <v>1363</v>
      </c>
      <c r="H265" s="1" t="s">
        <v>2260</v>
      </c>
      <c r="I265" s="1" t="s">
        <v>2256</v>
      </c>
      <c r="J265" s="1" t="s">
        <v>2546</v>
      </c>
      <c r="M265" s="38"/>
      <c r="N265" s="38"/>
      <c r="O265" s="38"/>
      <c r="P265" s="38"/>
      <c r="Q265" s="38"/>
      <c r="R265" s="38"/>
      <c r="S265" s="38"/>
      <c r="T265" s="38"/>
      <c r="U265" s="38"/>
      <c r="V265" s="38"/>
      <c r="W265" s="38"/>
      <c r="X265" s="38"/>
      <c r="Y265" s="38"/>
      <c r="Z265" s="38"/>
    </row>
    <row r="266" spans="1:26" ht="15.75" customHeight="1" x14ac:dyDescent="0.2">
      <c r="A266" s="8" t="s">
        <v>371</v>
      </c>
      <c r="B266" s="1">
        <v>52.663640999999998</v>
      </c>
      <c r="C266" s="1" t="s">
        <v>1587</v>
      </c>
      <c r="D266" s="1" t="s">
        <v>1524</v>
      </c>
      <c r="E266" s="1" t="s">
        <v>2280</v>
      </c>
      <c r="F266" s="1" t="s">
        <v>1528</v>
      </c>
      <c r="G266" s="1" t="s">
        <v>2266</v>
      </c>
      <c r="H266" s="1" t="s">
        <v>2255</v>
      </c>
      <c r="I266" s="1" t="s">
        <v>2256</v>
      </c>
      <c r="J266" s="1" t="s">
        <v>2547</v>
      </c>
      <c r="M266" s="38"/>
      <c r="N266" s="38"/>
      <c r="O266" s="38"/>
      <c r="P266" s="38"/>
      <c r="Q266" s="38"/>
      <c r="R266" s="38"/>
      <c r="S266" s="38"/>
      <c r="T266" s="38"/>
      <c r="U266" s="38"/>
      <c r="V266" s="38"/>
      <c r="W266" s="38"/>
      <c r="X266" s="38"/>
      <c r="Y266" s="38"/>
      <c r="Z266" s="38"/>
    </row>
    <row r="267" spans="1:26" ht="15.75" customHeight="1" x14ac:dyDescent="0.2">
      <c r="A267" s="8" t="s">
        <v>371</v>
      </c>
      <c r="B267" s="1">
        <v>52.663640999999998</v>
      </c>
      <c r="C267" s="1" t="s">
        <v>1587</v>
      </c>
      <c r="D267" s="1" t="s">
        <v>1524</v>
      </c>
      <c r="E267" s="1" t="s">
        <v>2280</v>
      </c>
      <c r="F267" s="1" t="s">
        <v>1528</v>
      </c>
      <c r="G267" s="1" t="s">
        <v>2302</v>
      </c>
      <c r="H267" s="1" t="s">
        <v>2260</v>
      </c>
      <c r="I267" s="1" t="s">
        <v>2285</v>
      </c>
      <c r="J267" s="1" t="s">
        <v>2548</v>
      </c>
      <c r="M267" s="38"/>
      <c r="N267" s="38"/>
      <c r="O267" s="38"/>
      <c r="P267" s="38"/>
      <c r="Q267" s="38"/>
      <c r="R267" s="38"/>
      <c r="S267" s="38"/>
      <c r="T267" s="38"/>
      <c r="U267" s="38"/>
      <c r="V267" s="38"/>
      <c r="W267" s="38"/>
      <c r="X267" s="38"/>
      <c r="Y267" s="38"/>
      <c r="Z267" s="38"/>
    </row>
    <row r="268" spans="1:26" ht="15.75" customHeight="1" x14ac:dyDescent="0.2">
      <c r="A268" s="8" t="s">
        <v>371</v>
      </c>
      <c r="B268" s="1">
        <v>52.663640999999998</v>
      </c>
      <c r="C268" s="1" t="s">
        <v>1587</v>
      </c>
      <c r="D268" s="1" t="s">
        <v>1524</v>
      </c>
      <c r="E268" s="1" t="s">
        <v>2280</v>
      </c>
      <c r="F268" s="1" t="s">
        <v>1528</v>
      </c>
      <c r="G268" s="1" t="s">
        <v>1363</v>
      </c>
      <c r="H268" s="1" t="s">
        <v>2260</v>
      </c>
      <c r="I268" s="1" t="s">
        <v>2256</v>
      </c>
      <c r="J268" s="1" t="s">
        <v>2549</v>
      </c>
      <c r="M268" s="38"/>
      <c r="N268" s="38"/>
      <c r="O268" s="38"/>
      <c r="P268" s="38"/>
      <c r="Q268" s="38"/>
      <c r="R268" s="38"/>
      <c r="S268" s="38"/>
      <c r="T268" s="38"/>
      <c r="U268" s="38"/>
      <c r="V268" s="38"/>
      <c r="W268" s="38"/>
      <c r="X268" s="38"/>
      <c r="Y268" s="38"/>
      <c r="Z268" s="38"/>
    </row>
    <row r="269" spans="1:26" ht="15.75" customHeight="1" x14ac:dyDescent="0.2">
      <c r="A269" s="8" t="s">
        <v>832</v>
      </c>
      <c r="B269" s="1">
        <v>47.267226999999998</v>
      </c>
      <c r="C269" s="1" t="s">
        <v>1587</v>
      </c>
      <c r="D269" s="1" t="s">
        <v>1578</v>
      </c>
      <c r="E269" s="1" t="s">
        <v>2280</v>
      </c>
      <c r="F269" s="1" t="s">
        <v>1560</v>
      </c>
      <c r="G269" s="1" t="s">
        <v>2302</v>
      </c>
      <c r="H269" s="1" t="s">
        <v>2255</v>
      </c>
      <c r="I269" s="1" t="s">
        <v>2285</v>
      </c>
      <c r="J269" s="1" t="s">
        <v>2303</v>
      </c>
      <c r="M269" s="38"/>
      <c r="N269" s="38"/>
      <c r="O269" s="38"/>
      <c r="P269" s="38"/>
      <c r="Q269" s="38"/>
      <c r="R269" s="38"/>
      <c r="S269" s="38"/>
      <c r="T269" s="38"/>
      <c r="U269" s="38"/>
      <c r="V269" s="38"/>
      <c r="W269" s="38"/>
      <c r="X269" s="38"/>
      <c r="Y269" s="38"/>
      <c r="Z269" s="38"/>
    </row>
    <row r="270" spans="1:26" ht="15.75" customHeight="1" x14ac:dyDescent="0.2">
      <c r="A270" s="8" t="s">
        <v>832</v>
      </c>
      <c r="B270" s="1">
        <v>47.267226999999998</v>
      </c>
      <c r="C270" s="1" t="s">
        <v>1587</v>
      </c>
      <c r="D270" s="1" t="s">
        <v>1578</v>
      </c>
      <c r="E270" s="1" t="s">
        <v>2280</v>
      </c>
      <c r="F270" s="1" t="s">
        <v>1560</v>
      </c>
      <c r="G270" s="1" t="s">
        <v>2254</v>
      </c>
      <c r="H270" s="1" t="s">
        <v>2255</v>
      </c>
      <c r="I270" s="1" t="s">
        <v>2256</v>
      </c>
      <c r="J270" s="1" t="s">
        <v>2550</v>
      </c>
      <c r="M270" s="38"/>
      <c r="N270" s="38"/>
      <c r="O270" s="38"/>
      <c r="P270" s="38"/>
      <c r="Q270" s="38"/>
      <c r="R270" s="38"/>
      <c r="S270" s="38"/>
      <c r="T270" s="38"/>
      <c r="U270" s="38"/>
      <c r="V270" s="38"/>
      <c r="W270" s="38"/>
      <c r="X270" s="38"/>
      <c r="Y270" s="38"/>
      <c r="Z270" s="38"/>
    </row>
    <row r="271" spans="1:26" ht="15.75" customHeight="1" x14ac:dyDescent="0.2">
      <c r="A271" s="8" t="s">
        <v>832</v>
      </c>
      <c r="B271" s="1">
        <v>47.267226999999998</v>
      </c>
      <c r="C271" s="1" t="s">
        <v>1587</v>
      </c>
      <c r="D271" s="1" t="s">
        <v>1578</v>
      </c>
      <c r="E271" s="1" t="s">
        <v>2280</v>
      </c>
      <c r="F271" s="1" t="s">
        <v>1560</v>
      </c>
      <c r="G271" s="1" t="s">
        <v>2418</v>
      </c>
      <c r="H271" s="1" t="s">
        <v>2255</v>
      </c>
      <c r="I271" s="1" t="s">
        <v>2256</v>
      </c>
      <c r="J271" s="1" t="s">
        <v>2551</v>
      </c>
      <c r="M271" s="38"/>
      <c r="N271" s="38"/>
      <c r="O271" s="38"/>
      <c r="P271" s="38"/>
      <c r="Q271" s="38"/>
      <c r="R271" s="38"/>
      <c r="S271" s="38"/>
      <c r="T271" s="38"/>
      <c r="U271" s="38"/>
      <c r="V271" s="38"/>
      <c r="W271" s="38"/>
      <c r="X271" s="38"/>
      <c r="Y271" s="38"/>
      <c r="Z271" s="38"/>
    </row>
    <row r="272" spans="1:26" ht="15.75" customHeight="1" x14ac:dyDescent="0.2">
      <c r="A272" s="8" t="s">
        <v>832</v>
      </c>
      <c r="B272" s="1">
        <v>47.267226999999998</v>
      </c>
      <c r="C272" s="1" t="s">
        <v>1587</v>
      </c>
      <c r="D272" s="1" t="s">
        <v>1578</v>
      </c>
      <c r="E272" s="1" t="s">
        <v>2280</v>
      </c>
      <c r="F272" s="1" t="s">
        <v>1560</v>
      </c>
      <c r="G272" s="1" t="s">
        <v>2262</v>
      </c>
      <c r="H272" s="1" t="s">
        <v>2260</v>
      </c>
      <c r="I272" s="1" t="s">
        <v>2256</v>
      </c>
      <c r="J272" s="1" t="s">
        <v>2552</v>
      </c>
      <c r="M272" s="38"/>
      <c r="N272" s="38"/>
      <c r="O272" s="38"/>
      <c r="P272" s="38"/>
      <c r="Q272" s="38"/>
      <c r="R272" s="38"/>
      <c r="S272" s="38"/>
      <c r="T272" s="38"/>
      <c r="U272" s="38"/>
      <c r="V272" s="38"/>
      <c r="W272" s="38"/>
      <c r="X272" s="38"/>
      <c r="Y272" s="38"/>
      <c r="Z272" s="38"/>
    </row>
    <row r="273" spans="1:26" ht="15.75" customHeight="1" x14ac:dyDescent="0.2">
      <c r="A273" s="8" t="s">
        <v>832</v>
      </c>
      <c r="B273" s="1">
        <v>47.267226999999998</v>
      </c>
      <c r="C273" s="1" t="s">
        <v>1587</v>
      </c>
      <c r="D273" s="1" t="s">
        <v>1578</v>
      </c>
      <c r="E273" s="1" t="s">
        <v>2280</v>
      </c>
      <c r="F273" s="1" t="s">
        <v>1560</v>
      </c>
      <c r="G273" s="1" t="s">
        <v>2397</v>
      </c>
      <c r="H273" s="1" t="s">
        <v>2263</v>
      </c>
      <c r="I273" s="1" t="s">
        <v>2256</v>
      </c>
      <c r="J273" s="1" t="s">
        <v>2553</v>
      </c>
      <c r="M273" s="38"/>
      <c r="N273" s="38"/>
      <c r="O273" s="38"/>
      <c r="P273" s="38"/>
      <c r="Q273" s="38"/>
      <c r="R273" s="38"/>
      <c r="S273" s="38"/>
      <c r="T273" s="38"/>
      <c r="U273" s="38"/>
      <c r="V273" s="38"/>
      <c r="W273" s="38"/>
      <c r="X273" s="38"/>
      <c r="Y273" s="38"/>
      <c r="Z273" s="38"/>
    </row>
    <row r="274" spans="1:26" ht="15.75" customHeight="1" x14ac:dyDescent="0.2">
      <c r="A274" s="8" t="s">
        <v>832</v>
      </c>
      <c r="B274" s="1">
        <v>47.267226999999998</v>
      </c>
      <c r="C274" s="1" t="s">
        <v>1587</v>
      </c>
      <c r="D274" s="1" t="s">
        <v>1578</v>
      </c>
      <c r="E274" s="1" t="s">
        <v>2280</v>
      </c>
      <c r="F274" s="1" t="s">
        <v>1560</v>
      </c>
      <c r="G274" s="1" t="s">
        <v>2266</v>
      </c>
      <c r="H274" s="1" t="s">
        <v>2263</v>
      </c>
      <c r="I274" s="1" t="s">
        <v>2256</v>
      </c>
      <c r="J274" s="1" t="s">
        <v>2554</v>
      </c>
      <c r="M274" s="38"/>
      <c r="N274" s="38"/>
      <c r="O274" s="38"/>
      <c r="P274" s="38"/>
      <c r="Q274" s="38"/>
      <c r="R274" s="38"/>
      <c r="S274" s="38"/>
      <c r="T274" s="38"/>
      <c r="U274" s="38"/>
      <c r="V274" s="38"/>
      <c r="W274" s="38"/>
      <c r="X274" s="38"/>
      <c r="Y274" s="38"/>
      <c r="Z274" s="38"/>
    </row>
    <row r="275" spans="1:26" ht="15.75" customHeight="1" x14ac:dyDescent="0.2">
      <c r="A275" s="8" t="s">
        <v>832</v>
      </c>
      <c r="B275" s="1">
        <v>47.267226999999998</v>
      </c>
      <c r="C275" s="1" t="s">
        <v>1587</v>
      </c>
      <c r="D275" s="1" t="s">
        <v>1578</v>
      </c>
      <c r="E275" s="1" t="s">
        <v>2280</v>
      </c>
      <c r="F275" s="1" t="s">
        <v>1560</v>
      </c>
      <c r="G275" s="1" t="s">
        <v>2399</v>
      </c>
      <c r="H275" s="1" t="s">
        <v>2263</v>
      </c>
      <c r="I275" s="1" t="s">
        <v>2256</v>
      </c>
      <c r="J275" s="1" t="s">
        <v>2555</v>
      </c>
      <c r="M275" s="38"/>
      <c r="N275" s="38"/>
      <c r="O275" s="38"/>
      <c r="P275" s="38"/>
      <c r="Q275" s="38"/>
      <c r="R275" s="38"/>
      <c r="S275" s="38"/>
      <c r="T275" s="38"/>
      <c r="U275" s="38"/>
      <c r="V275" s="38"/>
      <c r="W275" s="38"/>
      <c r="X275" s="38"/>
      <c r="Y275" s="38"/>
      <c r="Z275" s="38"/>
    </row>
    <row r="276" spans="1:26" ht="15.75" customHeight="1" x14ac:dyDescent="0.2">
      <c r="A276" s="8" t="s">
        <v>692</v>
      </c>
      <c r="B276" s="1">
        <v>74.599866000000006</v>
      </c>
      <c r="C276" s="1" t="s">
        <v>1523</v>
      </c>
      <c r="D276" s="1" t="s">
        <v>1524</v>
      </c>
      <c r="E276" s="1" t="s">
        <v>2280</v>
      </c>
      <c r="F276" s="1" t="s">
        <v>1528</v>
      </c>
      <c r="G276" s="1" t="s">
        <v>2302</v>
      </c>
      <c r="H276" s="1" t="s">
        <v>2255</v>
      </c>
      <c r="I276" s="1" t="s">
        <v>2285</v>
      </c>
      <c r="J276" s="1" t="s">
        <v>2556</v>
      </c>
      <c r="M276" s="38"/>
      <c r="N276" s="38"/>
      <c r="O276" s="38"/>
      <c r="P276" s="38"/>
      <c r="Q276" s="38"/>
      <c r="R276" s="38"/>
      <c r="S276" s="38"/>
      <c r="T276" s="38"/>
      <c r="U276" s="38"/>
      <c r="V276" s="38"/>
      <c r="W276" s="38"/>
      <c r="X276" s="38"/>
      <c r="Y276" s="38"/>
      <c r="Z276" s="38"/>
    </row>
    <row r="277" spans="1:26" ht="15.75" customHeight="1" x14ac:dyDescent="0.2">
      <c r="A277" s="8" t="s">
        <v>692</v>
      </c>
      <c r="B277" s="1">
        <v>74.599866000000006</v>
      </c>
      <c r="C277" s="1" t="s">
        <v>1523</v>
      </c>
      <c r="D277" s="1" t="s">
        <v>1524</v>
      </c>
      <c r="E277" s="1" t="s">
        <v>2280</v>
      </c>
      <c r="F277" s="1" t="s">
        <v>1528</v>
      </c>
      <c r="G277" s="1" t="s">
        <v>2557</v>
      </c>
      <c r="H277" s="1" t="s">
        <v>2255</v>
      </c>
      <c r="I277" s="1" t="s">
        <v>2285</v>
      </c>
      <c r="J277" s="1" t="s">
        <v>2558</v>
      </c>
      <c r="M277" s="38"/>
      <c r="N277" s="38"/>
      <c r="O277" s="38"/>
      <c r="P277" s="38"/>
      <c r="Q277" s="38"/>
      <c r="R277" s="38"/>
      <c r="S277" s="38"/>
      <c r="T277" s="38"/>
      <c r="U277" s="38"/>
      <c r="V277" s="38"/>
      <c r="W277" s="38"/>
      <c r="X277" s="38"/>
      <c r="Y277" s="38"/>
      <c r="Z277" s="38"/>
    </row>
    <row r="278" spans="1:26" ht="15.75" customHeight="1" x14ac:dyDescent="0.2">
      <c r="A278" s="8" t="s">
        <v>692</v>
      </c>
      <c r="B278" s="1">
        <v>74.599866000000006</v>
      </c>
      <c r="C278" s="1" t="s">
        <v>1523</v>
      </c>
      <c r="D278" s="1" t="s">
        <v>1524</v>
      </c>
      <c r="E278" s="1" t="s">
        <v>2280</v>
      </c>
      <c r="F278" s="1" t="s">
        <v>1528</v>
      </c>
      <c r="G278" s="1" t="s">
        <v>2273</v>
      </c>
      <c r="H278" s="1" t="s">
        <v>2255</v>
      </c>
      <c r="I278" s="1" t="s">
        <v>2285</v>
      </c>
      <c r="J278" s="1" t="s">
        <v>2559</v>
      </c>
      <c r="M278" s="38"/>
      <c r="N278" s="38"/>
      <c r="O278" s="38"/>
      <c r="P278" s="38"/>
      <c r="Q278" s="38"/>
      <c r="R278" s="38"/>
      <c r="S278" s="38"/>
      <c r="T278" s="38"/>
      <c r="U278" s="38"/>
      <c r="V278" s="38"/>
      <c r="W278" s="38"/>
      <c r="X278" s="38"/>
      <c r="Y278" s="38"/>
      <c r="Z278" s="38"/>
    </row>
    <row r="279" spans="1:26" ht="15.75" customHeight="1" x14ac:dyDescent="0.2">
      <c r="A279" s="8" t="s">
        <v>692</v>
      </c>
      <c r="B279" s="1">
        <v>74.599866000000006</v>
      </c>
      <c r="C279" s="1" t="s">
        <v>1523</v>
      </c>
      <c r="D279" s="1" t="s">
        <v>1524</v>
      </c>
      <c r="E279" s="1" t="s">
        <v>2280</v>
      </c>
      <c r="F279" s="1" t="s">
        <v>1528</v>
      </c>
      <c r="G279" s="1" t="s">
        <v>2463</v>
      </c>
      <c r="H279" s="1" t="s">
        <v>2260</v>
      </c>
      <c r="I279" s="1" t="s">
        <v>2285</v>
      </c>
      <c r="J279" s="1" t="s">
        <v>2560</v>
      </c>
      <c r="M279" s="38"/>
      <c r="N279" s="38"/>
      <c r="O279" s="38"/>
      <c r="P279" s="38"/>
      <c r="Q279" s="38"/>
      <c r="R279" s="38"/>
      <c r="S279" s="38"/>
      <c r="T279" s="38"/>
      <c r="U279" s="38"/>
      <c r="V279" s="38"/>
      <c r="W279" s="38"/>
      <c r="X279" s="38"/>
      <c r="Y279" s="38"/>
      <c r="Z279" s="38"/>
    </row>
    <row r="280" spans="1:26" ht="15.75" customHeight="1" x14ac:dyDescent="0.2">
      <c r="A280" s="8" t="s">
        <v>692</v>
      </c>
      <c r="B280" s="1">
        <v>74.599866000000006</v>
      </c>
      <c r="C280" s="1" t="s">
        <v>1523</v>
      </c>
      <c r="D280" s="1" t="s">
        <v>1524</v>
      </c>
      <c r="E280" s="1" t="s">
        <v>2280</v>
      </c>
      <c r="F280" s="1" t="s">
        <v>1528</v>
      </c>
      <c r="G280" s="1" t="s">
        <v>2271</v>
      </c>
      <c r="H280" s="1" t="s">
        <v>2260</v>
      </c>
      <c r="I280" s="1" t="s">
        <v>2256</v>
      </c>
      <c r="J280" s="1" t="s">
        <v>2561</v>
      </c>
      <c r="M280" s="38"/>
      <c r="N280" s="38"/>
      <c r="O280" s="38"/>
      <c r="P280" s="38"/>
      <c r="Q280" s="38"/>
      <c r="R280" s="38"/>
      <c r="S280" s="38"/>
      <c r="T280" s="38"/>
      <c r="U280" s="38"/>
      <c r="V280" s="38"/>
      <c r="W280" s="38"/>
      <c r="X280" s="38"/>
      <c r="Y280" s="38"/>
      <c r="Z280" s="38"/>
    </row>
    <row r="281" spans="1:26" ht="15.75" customHeight="1" x14ac:dyDescent="0.2">
      <c r="A281" s="8" t="s">
        <v>692</v>
      </c>
      <c r="B281" s="1">
        <v>74.599866000000006</v>
      </c>
      <c r="C281" s="1" t="s">
        <v>1523</v>
      </c>
      <c r="D281" s="1" t="s">
        <v>1524</v>
      </c>
      <c r="E281" s="1" t="s">
        <v>2280</v>
      </c>
      <c r="F281" s="1" t="s">
        <v>1528</v>
      </c>
      <c r="G281" s="1" t="s">
        <v>2273</v>
      </c>
      <c r="H281" s="1" t="s">
        <v>2263</v>
      </c>
      <c r="I281" s="1" t="s">
        <v>2256</v>
      </c>
      <c r="J281" s="1" t="s">
        <v>2562</v>
      </c>
      <c r="M281" s="38"/>
      <c r="N281" s="38"/>
      <c r="O281" s="38"/>
      <c r="P281" s="38"/>
      <c r="Q281" s="38"/>
      <c r="R281" s="38"/>
      <c r="S281" s="38"/>
      <c r="T281" s="38"/>
      <c r="U281" s="38"/>
      <c r="V281" s="38"/>
      <c r="W281" s="38"/>
      <c r="X281" s="38"/>
      <c r="Y281" s="38"/>
      <c r="Z281" s="38"/>
    </row>
    <row r="282" spans="1:26" ht="15.75" customHeight="1" x14ac:dyDescent="0.2">
      <c r="A282" s="8" t="s">
        <v>700</v>
      </c>
      <c r="B282" s="1">
        <v>19.170825000000001</v>
      </c>
      <c r="C282" s="1" t="s">
        <v>1523</v>
      </c>
      <c r="D282" s="1" t="s">
        <v>1524</v>
      </c>
      <c r="E282" s="1" t="s">
        <v>2253</v>
      </c>
      <c r="F282" s="1" t="s">
        <v>1560</v>
      </c>
      <c r="G282" s="1" t="s">
        <v>2356</v>
      </c>
      <c r="H282" s="1" t="s">
        <v>2255</v>
      </c>
      <c r="I282" s="1" t="s">
        <v>2274</v>
      </c>
      <c r="J282" s="1" t="s">
        <v>2563</v>
      </c>
      <c r="M282" s="38"/>
      <c r="N282" s="38"/>
      <c r="O282" s="38"/>
      <c r="P282" s="38"/>
      <c r="Q282" s="38"/>
      <c r="R282" s="38"/>
      <c r="S282" s="38"/>
      <c r="T282" s="38"/>
      <c r="U282" s="38"/>
      <c r="V282" s="38"/>
      <c r="W282" s="38"/>
      <c r="X282" s="38"/>
      <c r="Y282" s="38"/>
      <c r="Z282" s="38"/>
    </row>
    <row r="283" spans="1:26" ht="15.75" customHeight="1" x14ac:dyDescent="0.2">
      <c r="A283" s="8" t="s">
        <v>703</v>
      </c>
      <c r="B283" s="1">
        <v>65.800118999999995</v>
      </c>
      <c r="C283" s="1" t="s">
        <v>1523</v>
      </c>
      <c r="D283" s="1" t="s">
        <v>1524</v>
      </c>
      <c r="E283" s="1" t="s">
        <v>2280</v>
      </c>
      <c r="F283" s="1" t="s">
        <v>1528</v>
      </c>
      <c r="G283" s="1" t="s">
        <v>2295</v>
      </c>
      <c r="H283" s="1" t="s">
        <v>2260</v>
      </c>
      <c r="I283" s="1" t="s">
        <v>2285</v>
      </c>
      <c r="J283" s="1" t="s">
        <v>2564</v>
      </c>
      <c r="M283" s="38"/>
      <c r="N283" s="38"/>
      <c r="O283" s="38"/>
      <c r="P283" s="38"/>
      <c r="Q283" s="38"/>
      <c r="R283" s="38"/>
      <c r="S283" s="38"/>
      <c r="T283" s="38"/>
      <c r="U283" s="38"/>
      <c r="V283" s="38"/>
      <c r="W283" s="38"/>
      <c r="X283" s="38"/>
      <c r="Y283" s="38"/>
      <c r="Z283" s="38"/>
    </row>
    <row r="284" spans="1:26" ht="15.75" customHeight="1" x14ac:dyDescent="0.2">
      <c r="A284" s="8" t="s">
        <v>703</v>
      </c>
      <c r="B284" s="1">
        <v>65.800118999999995</v>
      </c>
      <c r="C284" s="1" t="s">
        <v>1523</v>
      </c>
      <c r="D284" s="1" t="s">
        <v>1524</v>
      </c>
      <c r="E284" s="1" t="s">
        <v>2280</v>
      </c>
      <c r="F284" s="1" t="s">
        <v>1528</v>
      </c>
      <c r="G284" s="1" t="s">
        <v>2282</v>
      </c>
      <c r="H284" s="1" t="s">
        <v>2260</v>
      </c>
      <c r="I284" s="1" t="s">
        <v>2256</v>
      </c>
      <c r="J284" s="1" t="s">
        <v>2565</v>
      </c>
      <c r="M284" s="38"/>
      <c r="N284" s="38"/>
      <c r="O284" s="38"/>
      <c r="P284" s="38"/>
      <c r="Q284" s="38"/>
      <c r="R284" s="38"/>
      <c r="S284" s="38"/>
      <c r="T284" s="38"/>
      <c r="U284" s="38"/>
      <c r="V284" s="38"/>
      <c r="W284" s="38"/>
      <c r="X284" s="38"/>
      <c r="Y284" s="38"/>
      <c r="Z284" s="38"/>
    </row>
    <row r="285" spans="1:26" ht="15.75" customHeight="1" x14ac:dyDescent="0.2">
      <c r="A285" s="8" t="s">
        <v>703</v>
      </c>
      <c r="B285" s="1">
        <v>65.800118999999995</v>
      </c>
      <c r="C285" s="1" t="s">
        <v>1523</v>
      </c>
      <c r="D285" s="1" t="s">
        <v>1524</v>
      </c>
      <c r="E285" s="1" t="s">
        <v>2280</v>
      </c>
      <c r="F285" s="1" t="s">
        <v>1528</v>
      </c>
      <c r="G285" s="1" t="s">
        <v>2566</v>
      </c>
      <c r="H285" s="1" t="s">
        <v>2260</v>
      </c>
      <c r="I285" s="1" t="s">
        <v>2285</v>
      </c>
      <c r="J285" s="1" t="s">
        <v>2567</v>
      </c>
      <c r="M285" s="38"/>
      <c r="N285" s="38"/>
      <c r="O285" s="38"/>
      <c r="P285" s="38"/>
      <c r="Q285" s="38"/>
      <c r="R285" s="38"/>
      <c r="S285" s="38"/>
      <c r="T285" s="38"/>
      <c r="U285" s="38"/>
      <c r="V285" s="38"/>
      <c r="W285" s="38"/>
      <c r="X285" s="38"/>
      <c r="Y285" s="38"/>
      <c r="Z285" s="38"/>
    </row>
    <row r="286" spans="1:26" ht="15.75" customHeight="1" x14ac:dyDescent="0.2">
      <c r="A286" s="8" t="s">
        <v>708</v>
      </c>
      <c r="B286" s="1">
        <v>71.527934999999999</v>
      </c>
      <c r="C286" s="1" t="s">
        <v>1523</v>
      </c>
      <c r="D286" s="1" t="s">
        <v>1524</v>
      </c>
      <c r="E286" s="1" t="s">
        <v>2253</v>
      </c>
      <c r="F286" s="1" t="s">
        <v>1528</v>
      </c>
      <c r="G286" s="1" t="s">
        <v>2295</v>
      </c>
      <c r="H286" s="1" t="s">
        <v>2260</v>
      </c>
      <c r="I286" s="1" t="s">
        <v>2285</v>
      </c>
      <c r="J286" s="1" t="s">
        <v>2568</v>
      </c>
      <c r="M286" s="38"/>
      <c r="N286" s="38"/>
      <c r="O286" s="38"/>
      <c r="P286" s="38"/>
      <c r="Q286" s="38"/>
      <c r="R286" s="38"/>
      <c r="S286" s="38"/>
      <c r="T286" s="38"/>
      <c r="U286" s="38"/>
      <c r="V286" s="38"/>
      <c r="W286" s="38"/>
      <c r="X286" s="38"/>
      <c r="Y286" s="38"/>
      <c r="Z286" s="38"/>
    </row>
    <row r="287" spans="1:26" ht="15.75" customHeight="1" x14ac:dyDescent="0.2">
      <c r="A287" s="8" t="s">
        <v>708</v>
      </c>
      <c r="B287" s="1">
        <v>71.527934999999999</v>
      </c>
      <c r="C287" s="1" t="s">
        <v>1523</v>
      </c>
      <c r="D287" s="1" t="s">
        <v>1524</v>
      </c>
      <c r="E287" s="1" t="s">
        <v>2253</v>
      </c>
      <c r="F287" s="1" t="s">
        <v>1528</v>
      </c>
      <c r="G287" s="1" t="s">
        <v>2271</v>
      </c>
      <c r="H287" s="1" t="s">
        <v>2260</v>
      </c>
      <c r="I287" s="1" t="s">
        <v>2256</v>
      </c>
      <c r="J287" s="1" t="s">
        <v>2569</v>
      </c>
      <c r="M287" s="38"/>
      <c r="N287" s="38"/>
      <c r="O287" s="38"/>
      <c r="P287" s="38"/>
      <c r="Q287" s="38"/>
      <c r="R287" s="38"/>
      <c r="S287" s="38"/>
      <c r="T287" s="38"/>
      <c r="U287" s="38"/>
      <c r="V287" s="38"/>
      <c r="W287" s="38"/>
      <c r="X287" s="38"/>
      <c r="Y287" s="38"/>
      <c r="Z287" s="38"/>
    </row>
    <row r="288" spans="1:26" ht="15.75" customHeight="1" x14ac:dyDescent="0.2">
      <c r="A288" s="8" t="s">
        <v>708</v>
      </c>
      <c r="B288" s="1">
        <v>71.527934999999999</v>
      </c>
      <c r="C288" s="1" t="s">
        <v>1523</v>
      </c>
      <c r="D288" s="1" t="s">
        <v>1524</v>
      </c>
      <c r="E288" s="1" t="s">
        <v>2253</v>
      </c>
      <c r="F288" s="1" t="s">
        <v>1528</v>
      </c>
      <c r="G288" s="1" t="s">
        <v>2262</v>
      </c>
      <c r="H288" s="1" t="s">
        <v>2260</v>
      </c>
      <c r="I288" s="1" t="s">
        <v>2256</v>
      </c>
      <c r="J288" s="1" t="s">
        <v>2570</v>
      </c>
      <c r="M288" s="38"/>
      <c r="N288" s="38"/>
      <c r="O288" s="38"/>
      <c r="P288" s="38"/>
      <c r="Q288" s="38"/>
      <c r="R288" s="38"/>
      <c r="S288" s="38"/>
      <c r="T288" s="38"/>
      <c r="U288" s="38"/>
      <c r="V288" s="38"/>
      <c r="W288" s="38"/>
      <c r="X288" s="38"/>
      <c r="Y288" s="38"/>
      <c r="Z288" s="38"/>
    </row>
    <row r="289" spans="1:26" ht="15.75" customHeight="1" x14ac:dyDescent="0.2">
      <c r="A289" s="8" t="s">
        <v>715</v>
      </c>
      <c r="B289" s="1">
        <v>46.695118000000001</v>
      </c>
      <c r="C289" s="1" t="s">
        <v>1523</v>
      </c>
      <c r="D289" s="1" t="s">
        <v>1524</v>
      </c>
      <c r="E289" s="1" t="s">
        <v>2280</v>
      </c>
      <c r="F289" s="1" t="s">
        <v>1528</v>
      </c>
      <c r="G289" s="1" t="s">
        <v>2266</v>
      </c>
      <c r="H289" s="1" t="s">
        <v>2255</v>
      </c>
      <c r="I289" s="1" t="s">
        <v>2256</v>
      </c>
      <c r="J289" s="1" t="s">
        <v>2571</v>
      </c>
      <c r="M289" s="38"/>
      <c r="N289" s="38"/>
      <c r="O289" s="38"/>
      <c r="P289" s="38"/>
      <c r="Q289" s="38"/>
      <c r="R289" s="38"/>
      <c r="S289" s="38"/>
      <c r="T289" s="38"/>
      <c r="U289" s="38"/>
      <c r="V289" s="38"/>
      <c r="W289" s="38"/>
      <c r="X289" s="38"/>
      <c r="Y289" s="38"/>
      <c r="Z289" s="38"/>
    </row>
    <row r="290" spans="1:26" ht="15.75" customHeight="1" x14ac:dyDescent="0.2">
      <c r="A290" s="8" t="s">
        <v>715</v>
      </c>
      <c r="B290" s="1">
        <v>46.695118000000001</v>
      </c>
      <c r="C290" s="1" t="s">
        <v>1523</v>
      </c>
      <c r="D290" s="1" t="s">
        <v>1524</v>
      </c>
      <c r="E290" s="1" t="s">
        <v>2280</v>
      </c>
      <c r="F290" s="1" t="s">
        <v>1528</v>
      </c>
      <c r="G290" s="1" t="s">
        <v>2295</v>
      </c>
      <c r="H290" s="1" t="s">
        <v>2260</v>
      </c>
      <c r="I290" s="1" t="s">
        <v>2285</v>
      </c>
      <c r="J290" s="1" t="s">
        <v>2572</v>
      </c>
      <c r="M290" s="38"/>
      <c r="N290" s="38"/>
      <c r="O290" s="38"/>
      <c r="P290" s="38"/>
      <c r="Q290" s="38"/>
      <c r="R290" s="38"/>
      <c r="S290" s="38"/>
      <c r="T290" s="38"/>
      <c r="U290" s="38"/>
      <c r="V290" s="38"/>
      <c r="W290" s="38"/>
      <c r="X290" s="38"/>
      <c r="Y290" s="38"/>
      <c r="Z290" s="38"/>
    </row>
    <row r="291" spans="1:26" ht="15.75" customHeight="1" x14ac:dyDescent="0.2">
      <c r="A291" s="8" t="s">
        <v>715</v>
      </c>
      <c r="B291" s="1">
        <v>46.695118000000001</v>
      </c>
      <c r="C291" s="1" t="s">
        <v>1523</v>
      </c>
      <c r="D291" s="1" t="s">
        <v>1524</v>
      </c>
      <c r="E291" s="1" t="s">
        <v>2280</v>
      </c>
      <c r="F291" s="1" t="s">
        <v>1528</v>
      </c>
      <c r="G291" s="1" t="s">
        <v>2566</v>
      </c>
      <c r="H291" s="1" t="s">
        <v>2260</v>
      </c>
      <c r="I291" s="1" t="s">
        <v>2285</v>
      </c>
      <c r="J291" s="1" t="s">
        <v>2573</v>
      </c>
      <c r="M291" s="38"/>
      <c r="N291" s="38"/>
      <c r="O291" s="38"/>
      <c r="P291" s="38"/>
      <c r="Q291" s="38"/>
      <c r="R291" s="38"/>
      <c r="S291" s="38"/>
      <c r="T291" s="38"/>
      <c r="U291" s="38"/>
      <c r="V291" s="38"/>
      <c r="W291" s="38"/>
      <c r="X291" s="38"/>
      <c r="Y291" s="38"/>
      <c r="Z291" s="38"/>
    </row>
    <row r="292" spans="1:26" ht="15.75" customHeight="1" x14ac:dyDescent="0.2">
      <c r="A292" s="8" t="s">
        <v>720</v>
      </c>
      <c r="B292" s="1">
        <v>24.884837000000001</v>
      </c>
      <c r="C292" s="1" t="s">
        <v>1523</v>
      </c>
      <c r="D292" s="1" t="s">
        <v>1524</v>
      </c>
      <c r="E292" s="1" t="s">
        <v>2280</v>
      </c>
      <c r="F292" s="1" t="s">
        <v>1560</v>
      </c>
      <c r="G292" s="1" t="s">
        <v>2254</v>
      </c>
      <c r="H292" s="1" t="s">
        <v>2255</v>
      </c>
      <c r="I292" s="1" t="s">
        <v>2256</v>
      </c>
      <c r="J292" s="1" t="s">
        <v>2574</v>
      </c>
      <c r="M292" s="38"/>
      <c r="N292" s="38"/>
      <c r="O292" s="38"/>
      <c r="P292" s="38"/>
      <c r="Q292" s="38"/>
      <c r="R292" s="38"/>
      <c r="S292" s="38"/>
      <c r="T292" s="38"/>
      <c r="U292" s="38"/>
      <c r="V292" s="38"/>
      <c r="W292" s="38"/>
      <c r="X292" s="38"/>
      <c r="Y292" s="38"/>
      <c r="Z292" s="38"/>
    </row>
    <row r="293" spans="1:26" ht="15.75" customHeight="1" x14ac:dyDescent="0.2">
      <c r="A293" s="8" t="s">
        <v>720</v>
      </c>
      <c r="B293" s="1">
        <v>24.884837000000001</v>
      </c>
      <c r="C293" s="1" t="s">
        <v>1523</v>
      </c>
      <c r="D293" s="1" t="s">
        <v>1524</v>
      </c>
      <c r="E293" s="1" t="s">
        <v>2280</v>
      </c>
      <c r="F293" s="1" t="s">
        <v>1560</v>
      </c>
      <c r="G293" s="1" t="s">
        <v>2262</v>
      </c>
      <c r="H293" s="1" t="s">
        <v>2260</v>
      </c>
      <c r="I293" s="1" t="s">
        <v>2256</v>
      </c>
      <c r="J293" s="1" t="s">
        <v>2575</v>
      </c>
      <c r="M293" s="38"/>
      <c r="N293" s="38"/>
      <c r="O293" s="38"/>
      <c r="P293" s="38"/>
      <c r="Q293" s="38"/>
      <c r="R293" s="38"/>
      <c r="S293" s="38"/>
      <c r="T293" s="38"/>
      <c r="U293" s="38"/>
      <c r="V293" s="38"/>
      <c r="W293" s="38"/>
      <c r="X293" s="38"/>
      <c r="Y293" s="38"/>
      <c r="Z293" s="38"/>
    </row>
    <row r="294" spans="1:26" ht="15.75" customHeight="1" x14ac:dyDescent="0.2">
      <c r="A294" s="8" t="s">
        <v>720</v>
      </c>
      <c r="B294" s="1">
        <v>24.884837000000001</v>
      </c>
      <c r="C294" s="1" t="s">
        <v>1523</v>
      </c>
      <c r="D294" s="1" t="s">
        <v>1524</v>
      </c>
      <c r="E294" s="1" t="s">
        <v>2280</v>
      </c>
      <c r="F294" s="1" t="s">
        <v>1560</v>
      </c>
      <c r="G294" s="1" t="s">
        <v>2262</v>
      </c>
      <c r="H294" s="1" t="s">
        <v>2260</v>
      </c>
      <c r="I294" s="1" t="s">
        <v>2256</v>
      </c>
      <c r="J294" s="1" t="s">
        <v>2576</v>
      </c>
      <c r="M294" s="38"/>
      <c r="N294" s="38"/>
      <c r="O294" s="38"/>
      <c r="P294" s="38"/>
      <c r="Q294" s="38"/>
      <c r="R294" s="38"/>
      <c r="S294" s="38"/>
      <c r="T294" s="38"/>
      <c r="U294" s="38"/>
      <c r="V294" s="38"/>
      <c r="W294" s="38"/>
      <c r="X294" s="38"/>
      <c r="Y294" s="38"/>
      <c r="Z294" s="38"/>
    </row>
    <row r="295" spans="1:26" ht="15.75" customHeight="1" x14ac:dyDescent="0.2">
      <c r="A295" s="8" t="s">
        <v>725</v>
      </c>
      <c r="B295" s="1">
        <v>31.847334</v>
      </c>
      <c r="C295" s="1" t="s">
        <v>1523</v>
      </c>
      <c r="D295" s="1" t="s">
        <v>1578</v>
      </c>
      <c r="E295" s="1" t="s">
        <v>2280</v>
      </c>
      <c r="F295" s="1" t="s">
        <v>1560</v>
      </c>
      <c r="G295" s="1" t="s">
        <v>2259</v>
      </c>
      <c r="H295" s="1" t="s">
        <v>2255</v>
      </c>
      <c r="I295" s="1" t="s">
        <v>2256</v>
      </c>
      <c r="J295" s="1" t="s">
        <v>2577</v>
      </c>
      <c r="M295" s="38"/>
      <c r="N295" s="38"/>
      <c r="O295" s="38"/>
      <c r="P295" s="38"/>
      <c r="Q295" s="38"/>
      <c r="R295" s="38"/>
      <c r="S295" s="38"/>
      <c r="T295" s="38"/>
      <c r="U295" s="38"/>
      <c r="V295" s="38"/>
      <c r="W295" s="38"/>
      <c r="X295" s="38"/>
      <c r="Y295" s="38"/>
      <c r="Z295" s="38"/>
    </row>
    <row r="296" spans="1:26" ht="15.75" customHeight="1" x14ac:dyDescent="0.2">
      <c r="A296" s="8" t="s">
        <v>725</v>
      </c>
      <c r="B296" s="1">
        <v>31.847334</v>
      </c>
      <c r="C296" s="1" t="s">
        <v>1523</v>
      </c>
      <c r="D296" s="1" t="s">
        <v>1578</v>
      </c>
      <c r="E296" s="1" t="s">
        <v>2280</v>
      </c>
      <c r="F296" s="1" t="s">
        <v>1560</v>
      </c>
      <c r="G296" s="1" t="s">
        <v>2254</v>
      </c>
      <c r="H296" s="1" t="s">
        <v>2255</v>
      </c>
      <c r="I296" s="1" t="s">
        <v>2256</v>
      </c>
      <c r="J296" s="1" t="s">
        <v>2578</v>
      </c>
      <c r="M296" s="38"/>
      <c r="N296" s="38"/>
      <c r="O296" s="38"/>
      <c r="P296" s="38"/>
      <c r="Q296" s="38"/>
      <c r="R296" s="38"/>
      <c r="S296" s="38"/>
      <c r="T296" s="38"/>
      <c r="U296" s="38"/>
      <c r="V296" s="38"/>
      <c r="W296" s="38"/>
      <c r="X296" s="38"/>
      <c r="Y296" s="38"/>
      <c r="Z296" s="38"/>
    </row>
    <row r="297" spans="1:26" ht="15.75" customHeight="1" x14ac:dyDescent="0.2">
      <c r="A297" s="8" t="s">
        <v>725</v>
      </c>
      <c r="B297" s="1">
        <v>31.847334</v>
      </c>
      <c r="C297" s="1" t="s">
        <v>1523</v>
      </c>
      <c r="D297" s="1" t="s">
        <v>1578</v>
      </c>
      <c r="E297" s="1" t="s">
        <v>2280</v>
      </c>
      <c r="F297" s="1" t="s">
        <v>1560</v>
      </c>
      <c r="G297" s="1" t="s">
        <v>2262</v>
      </c>
      <c r="H297" s="1" t="s">
        <v>2260</v>
      </c>
      <c r="I297" s="1" t="s">
        <v>2256</v>
      </c>
      <c r="J297" s="1" t="s">
        <v>2579</v>
      </c>
      <c r="M297" s="38"/>
      <c r="N297" s="38"/>
      <c r="O297" s="38"/>
      <c r="P297" s="38"/>
      <c r="Q297" s="38"/>
      <c r="R297" s="38"/>
      <c r="S297" s="38"/>
      <c r="T297" s="38"/>
      <c r="U297" s="38"/>
      <c r="V297" s="38"/>
      <c r="W297" s="38"/>
      <c r="X297" s="38"/>
      <c r="Y297" s="38"/>
      <c r="Z297" s="38"/>
    </row>
    <row r="298" spans="1:26" ht="15.75" customHeight="1" x14ac:dyDescent="0.2">
      <c r="A298" s="8" t="s">
        <v>725</v>
      </c>
      <c r="B298" s="1">
        <v>31.847334</v>
      </c>
      <c r="C298" s="1" t="s">
        <v>1523</v>
      </c>
      <c r="D298" s="1" t="s">
        <v>1578</v>
      </c>
      <c r="E298" s="1" t="s">
        <v>2280</v>
      </c>
      <c r="F298" s="1" t="s">
        <v>1560</v>
      </c>
      <c r="G298" s="1" t="s">
        <v>2259</v>
      </c>
      <c r="H298" s="1" t="s">
        <v>2263</v>
      </c>
      <c r="I298" s="1" t="s">
        <v>2256</v>
      </c>
      <c r="J298" s="1" t="s">
        <v>2580</v>
      </c>
      <c r="M298" s="38"/>
      <c r="N298" s="38"/>
      <c r="O298" s="38"/>
      <c r="P298" s="38"/>
      <c r="Q298" s="38"/>
      <c r="R298" s="38"/>
      <c r="S298" s="38"/>
      <c r="T298" s="38"/>
      <c r="U298" s="38"/>
      <c r="V298" s="38"/>
      <c r="W298" s="38"/>
      <c r="X298" s="38"/>
      <c r="Y298" s="38"/>
      <c r="Z298" s="38"/>
    </row>
    <row r="299" spans="1:26" ht="15.75" customHeight="1" x14ac:dyDescent="0.2">
      <c r="A299" s="8" t="s">
        <v>732</v>
      </c>
      <c r="B299" s="1">
        <v>47.880518000000002</v>
      </c>
      <c r="C299" s="1" t="s">
        <v>1587</v>
      </c>
      <c r="D299" s="1" t="s">
        <v>1578</v>
      </c>
      <c r="E299" s="1" t="s">
        <v>2280</v>
      </c>
      <c r="F299" s="1" t="s">
        <v>1528</v>
      </c>
      <c r="G299" s="1" t="s">
        <v>2266</v>
      </c>
      <c r="H299" s="1" t="s">
        <v>2255</v>
      </c>
      <c r="I299" s="1" t="s">
        <v>2256</v>
      </c>
      <c r="J299" s="1" t="s">
        <v>2479</v>
      </c>
      <c r="M299" s="38"/>
      <c r="N299" s="38"/>
      <c r="O299" s="38"/>
      <c r="P299" s="38"/>
      <c r="Q299" s="38"/>
      <c r="R299" s="38"/>
      <c r="S299" s="38"/>
      <c r="T299" s="38"/>
      <c r="U299" s="38"/>
      <c r="V299" s="38"/>
      <c r="W299" s="38"/>
      <c r="X299" s="38"/>
      <c r="Y299" s="38"/>
      <c r="Z299" s="38"/>
    </row>
    <row r="300" spans="1:26" ht="15.75" customHeight="1" x14ac:dyDescent="0.2">
      <c r="A300" s="8" t="s">
        <v>734</v>
      </c>
      <c r="B300" s="1">
        <v>67.916521000000003</v>
      </c>
      <c r="C300" s="1" t="s">
        <v>1587</v>
      </c>
      <c r="D300" s="1" t="s">
        <v>1524</v>
      </c>
      <c r="E300" s="1" t="s">
        <v>2343</v>
      </c>
      <c r="F300" s="1" t="s">
        <v>1528</v>
      </c>
      <c r="G300" s="1" t="s">
        <v>2287</v>
      </c>
      <c r="H300" s="1" t="s">
        <v>2255</v>
      </c>
      <c r="I300" s="1" t="s">
        <v>2256</v>
      </c>
      <c r="J300" s="1" t="s">
        <v>2581</v>
      </c>
      <c r="M300" s="38"/>
      <c r="N300" s="38"/>
      <c r="O300" s="38"/>
      <c r="P300" s="38"/>
      <c r="Q300" s="38"/>
      <c r="R300" s="38"/>
      <c r="S300" s="38"/>
      <c r="T300" s="38"/>
      <c r="U300" s="38"/>
      <c r="V300" s="38"/>
      <c r="W300" s="38"/>
      <c r="X300" s="38"/>
      <c r="Y300" s="38"/>
      <c r="Z300" s="38"/>
    </row>
    <row r="301" spans="1:26" ht="15.75" customHeight="1" x14ac:dyDescent="0.2">
      <c r="A301" s="8" t="s">
        <v>734</v>
      </c>
      <c r="B301" s="1">
        <v>67.916521000000003</v>
      </c>
      <c r="C301" s="1" t="s">
        <v>1587</v>
      </c>
      <c r="D301" s="1" t="s">
        <v>1524</v>
      </c>
      <c r="E301" s="1" t="s">
        <v>2343</v>
      </c>
      <c r="F301" s="1" t="s">
        <v>1528</v>
      </c>
      <c r="G301" s="1" t="s">
        <v>2266</v>
      </c>
      <c r="H301" s="1" t="s">
        <v>2255</v>
      </c>
      <c r="I301" s="1" t="s">
        <v>2256</v>
      </c>
      <c r="J301" s="1" t="s">
        <v>2331</v>
      </c>
      <c r="M301" s="38"/>
      <c r="N301" s="38"/>
      <c r="O301" s="38"/>
      <c r="P301" s="38"/>
      <c r="Q301" s="38"/>
      <c r="R301" s="38"/>
      <c r="S301" s="38"/>
      <c r="T301" s="38"/>
      <c r="U301" s="38"/>
      <c r="V301" s="38"/>
      <c r="W301" s="38"/>
      <c r="X301" s="38"/>
      <c r="Y301" s="38"/>
      <c r="Z301" s="38"/>
    </row>
    <row r="302" spans="1:26" ht="15.75" customHeight="1" x14ac:dyDescent="0.2">
      <c r="A302" s="8" t="s">
        <v>737</v>
      </c>
      <c r="B302" s="1">
        <v>45.504013999999998</v>
      </c>
      <c r="C302" s="1" t="s">
        <v>1523</v>
      </c>
      <c r="D302" s="1" t="s">
        <v>1524</v>
      </c>
      <c r="E302" s="1" t="s">
        <v>2280</v>
      </c>
      <c r="F302" s="1" t="s">
        <v>1601</v>
      </c>
      <c r="G302" s="1" t="s">
        <v>2254</v>
      </c>
      <c r="H302" s="1" t="s">
        <v>2255</v>
      </c>
      <c r="I302" s="1" t="s">
        <v>2256</v>
      </c>
      <c r="J302" s="1" t="s">
        <v>2582</v>
      </c>
      <c r="M302" s="38"/>
      <c r="N302" s="38"/>
      <c r="O302" s="38"/>
      <c r="P302" s="38"/>
      <c r="Q302" s="38"/>
      <c r="R302" s="38"/>
      <c r="S302" s="38"/>
      <c r="T302" s="38"/>
      <c r="U302" s="38"/>
      <c r="V302" s="38"/>
      <c r="W302" s="38"/>
      <c r="X302" s="38"/>
      <c r="Y302" s="38"/>
      <c r="Z302" s="38"/>
    </row>
    <row r="303" spans="1:26" ht="15.75" customHeight="1" x14ac:dyDescent="0.2">
      <c r="A303" s="8" t="s">
        <v>737</v>
      </c>
      <c r="B303" s="1">
        <v>45.504013999999998</v>
      </c>
      <c r="C303" s="1" t="s">
        <v>1523</v>
      </c>
      <c r="D303" s="1" t="s">
        <v>1524</v>
      </c>
      <c r="E303" s="1" t="s">
        <v>2280</v>
      </c>
      <c r="F303" s="1" t="s">
        <v>1601</v>
      </c>
      <c r="G303" s="1" t="s">
        <v>2266</v>
      </c>
      <c r="H303" s="1" t="s">
        <v>2255</v>
      </c>
      <c r="I303" s="1" t="s">
        <v>2256</v>
      </c>
      <c r="J303" s="1" t="s">
        <v>2583</v>
      </c>
      <c r="M303" s="38"/>
      <c r="N303" s="38"/>
      <c r="O303" s="38"/>
      <c r="P303" s="38"/>
      <c r="Q303" s="38"/>
      <c r="R303" s="38"/>
      <c r="S303" s="38"/>
      <c r="T303" s="38"/>
      <c r="U303" s="38"/>
      <c r="V303" s="38"/>
      <c r="W303" s="38"/>
      <c r="X303" s="38"/>
      <c r="Y303" s="38"/>
      <c r="Z303" s="38"/>
    </row>
    <row r="304" spans="1:26" ht="15.75" customHeight="1" x14ac:dyDescent="0.2">
      <c r="A304" s="8" t="s">
        <v>737</v>
      </c>
      <c r="B304" s="1">
        <v>45.504013999999998</v>
      </c>
      <c r="C304" s="1" t="s">
        <v>1523</v>
      </c>
      <c r="D304" s="1" t="s">
        <v>1524</v>
      </c>
      <c r="E304" s="1" t="s">
        <v>2280</v>
      </c>
      <c r="F304" s="1" t="s">
        <v>1601</v>
      </c>
      <c r="G304" s="1" t="s">
        <v>2302</v>
      </c>
      <c r="H304" s="1" t="s">
        <v>2260</v>
      </c>
      <c r="I304" s="1" t="s">
        <v>2256</v>
      </c>
      <c r="J304" s="1" t="s">
        <v>2584</v>
      </c>
      <c r="M304" s="38"/>
      <c r="N304" s="38"/>
      <c r="O304" s="38"/>
      <c r="P304" s="38"/>
      <c r="Q304" s="38"/>
      <c r="R304" s="38"/>
      <c r="S304" s="38"/>
      <c r="T304" s="38"/>
      <c r="U304" s="38"/>
      <c r="V304" s="38"/>
      <c r="W304" s="38"/>
      <c r="X304" s="38"/>
      <c r="Y304" s="38"/>
      <c r="Z304" s="38"/>
    </row>
    <row r="305" spans="1:26" ht="15.75" customHeight="1" x14ac:dyDescent="0.2">
      <c r="A305" s="8" t="s">
        <v>737</v>
      </c>
      <c r="B305" s="1">
        <v>45.504013999999998</v>
      </c>
      <c r="C305" s="1" t="s">
        <v>1523</v>
      </c>
      <c r="D305" s="1" t="s">
        <v>1524</v>
      </c>
      <c r="E305" s="1" t="s">
        <v>2280</v>
      </c>
      <c r="F305" s="1" t="s">
        <v>1601</v>
      </c>
      <c r="G305" s="1" t="s">
        <v>2262</v>
      </c>
      <c r="H305" s="1" t="s">
        <v>2260</v>
      </c>
      <c r="I305" s="1" t="s">
        <v>2256</v>
      </c>
      <c r="J305" s="1" t="s">
        <v>2585</v>
      </c>
      <c r="M305" s="38"/>
      <c r="N305" s="38"/>
      <c r="O305" s="38"/>
      <c r="P305" s="38"/>
      <c r="Q305" s="38"/>
      <c r="R305" s="38"/>
      <c r="S305" s="38"/>
      <c r="T305" s="38"/>
      <c r="U305" s="38"/>
      <c r="V305" s="38"/>
      <c r="W305" s="38"/>
      <c r="X305" s="38"/>
      <c r="Y305" s="38"/>
      <c r="Z305" s="38"/>
    </row>
    <row r="306" spans="1:26" ht="15.75" customHeight="1" x14ac:dyDescent="0.2">
      <c r="A306" s="8" t="s">
        <v>737</v>
      </c>
      <c r="B306" s="1">
        <v>45.504013999999998</v>
      </c>
      <c r="C306" s="1" t="s">
        <v>1523</v>
      </c>
      <c r="D306" s="1" t="s">
        <v>1524</v>
      </c>
      <c r="E306" s="1" t="s">
        <v>2280</v>
      </c>
      <c r="F306" s="1" t="s">
        <v>1601</v>
      </c>
      <c r="G306" s="1" t="s">
        <v>2282</v>
      </c>
      <c r="H306" s="1" t="s">
        <v>2263</v>
      </c>
      <c r="I306" s="1" t="s">
        <v>2256</v>
      </c>
      <c r="J306" s="1" t="s">
        <v>2586</v>
      </c>
      <c r="M306" s="38"/>
      <c r="N306" s="38"/>
      <c r="O306" s="38"/>
      <c r="P306" s="38"/>
      <c r="Q306" s="38"/>
      <c r="R306" s="38"/>
      <c r="S306" s="38"/>
      <c r="T306" s="38"/>
      <c r="U306" s="38"/>
      <c r="V306" s="38"/>
      <c r="W306" s="38"/>
      <c r="X306" s="38"/>
      <c r="Y306" s="38"/>
      <c r="Z306" s="38"/>
    </row>
    <row r="307" spans="1:26" ht="15.75" customHeight="1" x14ac:dyDescent="0.2">
      <c r="A307" s="8" t="s">
        <v>737</v>
      </c>
      <c r="B307" s="1">
        <v>45.504013999999998</v>
      </c>
      <c r="C307" s="1" t="s">
        <v>1523</v>
      </c>
      <c r="D307" s="1" t="s">
        <v>1524</v>
      </c>
      <c r="E307" s="1" t="s">
        <v>2280</v>
      </c>
      <c r="F307" s="1" t="s">
        <v>1601</v>
      </c>
      <c r="G307" s="1" t="s">
        <v>2392</v>
      </c>
      <c r="H307" s="1" t="s">
        <v>2263</v>
      </c>
      <c r="I307" s="1" t="s">
        <v>2256</v>
      </c>
      <c r="J307" s="1" t="s">
        <v>2587</v>
      </c>
      <c r="M307" s="38"/>
      <c r="N307" s="38"/>
      <c r="O307" s="38"/>
      <c r="P307" s="38"/>
      <c r="Q307" s="38"/>
      <c r="R307" s="38"/>
      <c r="S307" s="38"/>
      <c r="T307" s="38"/>
      <c r="U307" s="38"/>
      <c r="V307" s="38"/>
      <c r="W307" s="38"/>
      <c r="X307" s="38"/>
      <c r="Y307" s="38"/>
      <c r="Z307" s="38"/>
    </row>
    <row r="308" spans="1:26" ht="15.75" customHeight="1" x14ac:dyDescent="0.2">
      <c r="A308" s="8" t="s">
        <v>737</v>
      </c>
      <c r="B308" s="1">
        <v>45.504013999999998</v>
      </c>
      <c r="C308" s="1" t="s">
        <v>1523</v>
      </c>
      <c r="D308" s="1" t="s">
        <v>1524</v>
      </c>
      <c r="E308" s="1" t="s">
        <v>2280</v>
      </c>
      <c r="F308" s="1" t="s">
        <v>1601</v>
      </c>
      <c r="G308" s="1" t="s">
        <v>2392</v>
      </c>
      <c r="H308" s="1" t="s">
        <v>2263</v>
      </c>
      <c r="I308" s="1" t="s">
        <v>2256</v>
      </c>
      <c r="J308" s="1" t="s">
        <v>2588</v>
      </c>
      <c r="M308" s="38"/>
      <c r="N308" s="38"/>
      <c r="O308" s="38"/>
      <c r="P308" s="38"/>
      <c r="Q308" s="38"/>
      <c r="R308" s="38"/>
      <c r="S308" s="38"/>
      <c r="T308" s="38"/>
      <c r="U308" s="38"/>
      <c r="V308" s="38"/>
      <c r="W308" s="38"/>
      <c r="X308" s="38"/>
      <c r="Y308" s="38"/>
      <c r="Z308" s="38"/>
    </row>
    <row r="309" spans="1:26" ht="15.75" customHeight="1" x14ac:dyDescent="0.2">
      <c r="A309" s="8" t="s">
        <v>737</v>
      </c>
      <c r="B309" s="1">
        <v>45.504013999999998</v>
      </c>
      <c r="C309" s="1" t="s">
        <v>1523</v>
      </c>
      <c r="D309" s="1" t="s">
        <v>1524</v>
      </c>
      <c r="E309" s="1" t="s">
        <v>2280</v>
      </c>
      <c r="F309" s="1" t="s">
        <v>1601</v>
      </c>
      <c r="G309" s="1" t="s">
        <v>2589</v>
      </c>
      <c r="H309" s="1" t="s">
        <v>2263</v>
      </c>
      <c r="I309" s="1" t="s">
        <v>2256</v>
      </c>
      <c r="J309" s="1" t="s">
        <v>2590</v>
      </c>
      <c r="M309" s="38"/>
      <c r="N309" s="38"/>
      <c r="O309" s="38"/>
      <c r="P309" s="38"/>
      <c r="Q309" s="38"/>
      <c r="R309" s="38"/>
      <c r="S309" s="38"/>
      <c r="T309" s="38"/>
      <c r="U309" s="38"/>
      <c r="V309" s="38"/>
      <c r="W309" s="38"/>
      <c r="X309" s="38"/>
      <c r="Y309" s="38"/>
      <c r="Z309" s="38"/>
    </row>
    <row r="310" spans="1:26" ht="15.75" customHeight="1" x14ac:dyDescent="0.2">
      <c r="A310" s="8" t="s">
        <v>747</v>
      </c>
      <c r="B310" s="1">
        <v>58.873213999999997</v>
      </c>
      <c r="C310" s="1" t="s">
        <v>1523</v>
      </c>
      <c r="D310" s="1" t="s">
        <v>1524</v>
      </c>
      <c r="E310" s="1" t="s">
        <v>2280</v>
      </c>
      <c r="F310" s="1" t="s">
        <v>1528</v>
      </c>
      <c r="G310" s="1" t="s">
        <v>2273</v>
      </c>
      <c r="H310" s="1" t="s">
        <v>2255</v>
      </c>
      <c r="I310" s="1" t="s">
        <v>2285</v>
      </c>
      <c r="J310" s="1" t="s">
        <v>2591</v>
      </c>
      <c r="M310" s="38"/>
      <c r="N310" s="38"/>
      <c r="O310" s="38"/>
      <c r="P310" s="38"/>
      <c r="Q310" s="38"/>
      <c r="R310" s="38"/>
      <c r="S310" s="38"/>
      <c r="T310" s="38"/>
      <c r="U310" s="38"/>
      <c r="V310" s="38"/>
      <c r="W310" s="38"/>
      <c r="X310" s="38"/>
      <c r="Y310" s="38"/>
      <c r="Z310" s="38"/>
    </row>
    <row r="311" spans="1:26" ht="15.75" customHeight="1" x14ac:dyDescent="0.2">
      <c r="A311" s="8" t="s">
        <v>747</v>
      </c>
      <c r="B311" s="1">
        <v>58.873213999999997</v>
      </c>
      <c r="C311" s="1" t="s">
        <v>1523</v>
      </c>
      <c r="D311" s="1" t="s">
        <v>1524</v>
      </c>
      <c r="E311" s="1" t="s">
        <v>2280</v>
      </c>
      <c r="F311" s="1" t="s">
        <v>1528</v>
      </c>
      <c r="G311" s="1" t="s">
        <v>2266</v>
      </c>
      <c r="H311" s="1" t="s">
        <v>2255</v>
      </c>
      <c r="I311" s="1" t="s">
        <v>2256</v>
      </c>
      <c r="J311" s="1" t="s">
        <v>2592</v>
      </c>
      <c r="M311" s="38"/>
      <c r="N311" s="38"/>
      <c r="O311" s="38"/>
      <c r="P311" s="38"/>
      <c r="Q311" s="38"/>
      <c r="R311" s="38"/>
      <c r="S311" s="38"/>
      <c r="T311" s="38"/>
      <c r="U311" s="38"/>
      <c r="V311" s="38"/>
      <c r="W311" s="38"/>
      <c r="X311" s="38"/>
      <c r="Y311" s="38"/>
      <c r="Z311" s="38"/>
    </row>
    <row r="312" spans="1:26" ht="15.75" customHeight="1" x14ac:dyDescent="0.2">
      <c r="A312" s="8" t="s">
        <v>747</v>
      </c>
      <c r="B312" s="1">
        <v>58.873213999999997</v>
      </c>
      <c r="C312" s="1" t="s">
        <v>1523</v>
      </c>
      <c r="D312" s="1" t="s">
        <v>1524</v>
      </c>
      <c r="E312" s="1" t="s">
        <v>2280</v>
      </c>
      <c r="F312" s="1" t="s">
        <v>1528</v>
      </c>
      <c r="G312" s="1" t="s">
        <v>2273</v>
      </c>
      <c r="H312" s="1" t="s">
        <v>2260</v>
      </c>
      <c r="I312" s="1" t="s">
        <v>2256</v>
      </c>
      <c r="J312" s="1" t="s">
        <v>2593</v>
      </c>
      <c r="M312" s="38"/>
      <c r="N312" s="38"/>
      <c r="O312" s="38"/>
      <c r="P312" s="38"/>
      <c r="Q312" s="38"/>
      <c r="R312" s="38"/>
      <c r="S312" s="38"/>
      <c r="T312" s="38"/>
      <c r="U312" s="38"/>
      <c r="V312" s="38"/>
      <c r="W312" s="38"/>
      <c r="X312" s="38"/>
      <c r="Y312" s="38"/>
      <c r="Z312" s="38"/>
    </row>
    <row r="313" spans="1:26" ht="15.75" customHeight="1" x14ac:dyDescent="0.2">
      <c r="A313" s="8" t="s">
        <v>752</v>
      </c>
      <c r="B313" s="1">
        <v>60.118848</v>
      </c>
      <c r="C313" s="1" t="s">
        <v>1587</v>
      </c>
      <c r="D313" s="1" t="s">
        <v>1524</v>
      </c>
      <c r="E313" s="1" t="s">
        <v>2253</v>
      </c>
      <c r="F313" s="1" t="s">
        <v>1528</v>
      </c>
      <c r="G313" s="1" t="s">
        <v>2273</v>
      </c>
      <c r="H313" s="1" t="s">
        <v>2255</v>
      </c>
      <c r="I313" s="1" t="s">
        <v>2274</v>
      </c>
      <c r="J313" s="1" t="s">
        <v>2594</v>
      </c>
      <c r="M313" s="38"/>
      <c r="N313" s="38"/>
      <c r="O313" s="38"/>
      <c r="P313" s="38"/>
      <c r="Q313" s="38"/>
      <c r="R313" s="38"/>
      <c r="S313" s="38"/>
      <c r="T313" s="38"/>
      <c r="U313" s="38"/>
      <c r="V313" s="38"/>
      <c r="W313" s="38"/>
      <c r="X313" s="38"/>
      <c r="Y313" s="38"/>
      <c r="Z313" s="38"/>
    </row>
    <row r="314" spans="1:26" ht="15.75" customHeight="1" x14ac:dyDescent="0.2">
      <c r="A314" s="8" t="s">
        <v>752</v>
      </c>
      <c r="B314" s="1">
        <v>60.118848</v>
      </c>
      <c r="C314" s="1" t="s">
        <v>1587</v>
      </c>
      <c r="D314" s="1" t="s">
        <v>1524</v>
      </c>
      <c r="E314" s="1" t="s">
        <v>2253</v>
      </c>
      <c r="F314" s="1" t="s">
        <v>1528</v>
      </c>
      <c r="G314" s="1" t="s">
        <v>2273</v>
      </c>
      <c r="H314" s="1" t="s">
        <v>2255</v>
      </c>
      <c r="I314" s="1" t="s">
        <v>2285</v>
      </c>
      <c r="J314" s="1" t="s">
        <v>2595</v>
      </c>
      <c r="M314" s="38"/>
      <c r="N314" s="38"/>
      <c r="O314" s="38"/>
      <c r="P314" s="38"/>
      <c r="Q314" s="38"/>
      <c r="R314" s="38"/>
      <c r="S314" s="38"/>
      <c r="T314" s="38"/>
      <c r="U314" s="38"/>
      <c r="V314" s="38"/>
      <c r="W314" s="38"/>
      <c r="X314" s="38"/>
      <c r="Y314" s="38"/>
      <c r="Z314" s="38"/>
    </row>
    <row r="315" spans="1:26" ht="15.75" customHeight="1" x14ac:dyDescent="0.2">
      <c r="A315" s="8" t="s">
        <v>752</v>
      </c>
      <c r="B315" s="1">
        <v>60.118848</v>
      </c>
      <c r="C315" s="1" t="s">
        <v>1587</v>
      </c>
      <c r="D315" s="1" t="s">
        <v>1524</v>
      </c>
      <c r="E315" s="1" t="s">
        <v>2253</v>
      </c>
      <c r="F315" s="1" t="s">
        <v>1528</v>
      </c>
      <c r="G315" s="1" t="s">
        <v>2287</v>
      </c>
      <c r="H315" s="1" t="s">
        <v>2255</v>
      </c>
      <c r="I315" s="1" t="s">
        <v>2256</v>
      </c>
      <c r="J315" s="1" t="s">
        <v>2596</v>
      </c>
      <c r="M315" s="38"/>
      <c r="N315" s="38"/>
      <c r="O315" s="38"/>
      <c r="P315" s="38"/>
      <c r="Q315" s="38"/>
      <c r="R315" s="38"/>
      <c r="S315" s="38"/>
      <c r="T315" s="38"/>
      <c r="U315" s="38"/>
      <c r="V315" s="38"/>
      <c r="W315" s="38"/>
      <c r="X315" s="38"/>
      <c r="Y315" s="38"/>
      <c r="Z315" s="38"/>
    </row>
    <row r="316" spans="1:26" ht="15.75" customHeight="1" x14ac:dyDescent="0.2">
      <c r="A316" s="8" t="s">
        <v>752</v>
      </c>
      <c r="B316" s="1">
        <v>60.118848</v>
      </c>
      <c r="C316" s="1" t="s">
        <v>1587</v>
      </c>
      <c r="D316" s="1" t="s">
        <v>1524</v>
      </c>
      <c r="E316" s="1" t="s">
        <v>2253</v>
      </c>
      <c r="F316" s="1" t="s">
        <v>1528</v>
      </c>
      <c r="G316" s="1" t="s">
        <v>2597</v>
      </c>
      <c r="H316" s="1" t="s">
        <v>2260</v>
      </c>
      <c r="I316" s="1" t="s">
        <v>2285</v>
      </c>
      <c r="J316" s="1" t="s">
        <v>2598</v>
      </c>
      <c r="M316" s="38"/>
      <c r="N316" s="38"/>
      <c r="O316" s="38"/>
      <c r="P316" s="38"/>
      <c r="Q316" s="38"/>
      <c r="R316" s="38"/>
      <c r="S316" s="38"/>
      <c r="T316" s="38"/>
      <c r="U316" s="38"/>
      <c r="V316" s="38"/>
      <c r="W316" s="38"/>
      <c r="X316" s="38"/>
      <c r="Y316" s="38"/>
      <c r="Z316" s="38"/>
    </row>
    <row r="317" spans="1:26" ht="15.75" customHeight="1" x14ac:dyDescent="0.2">
      <c r="A317" s="8" t="s">
        <v>752</v>
      </c>
      <c r="B317" s="1">
        <v>60.118848</v>
      </c>
      <c r="C317" s="1" t="s">
        <v>1587</v>
      </c>
      <c r="D317" s="1" t="s">
        <v>1524</v>
      </c>
      <c r="E317" s="1" t="s">
        <v>2253</v>
      </c>
      <c r="F317" s="1" t="s">
        <v>1528</v>
      </c>
      <c r="G317" s="1" t="s">
        <v>2262</v>
      </c>
      <c r="H317" s="1" t="s">
        <v>2260</v>
      </c>
      <c r="I317" s="1" t="s">
        <v>2256</v>
      </c>
      <c r="J317" s="1" t="s">
        <v>2599</v>
      </c>
      <c r="M317" s="38"/>
      <c r="N317" s="38"/>
      <c r="O317" s="38"/>
      <c r="P317" s="38"/>
      <c r="Q317" s="38"/>
      <c r="R317" s="38"/>
      <c r="S317" s="38"/>
      <c r="T317" s="38"/>
      <c r="U317" s="38"/>
      <c r="V317" s="38"/>
      <c r="W317" s="38"/>
      <c r="X317" s="38"/>
      <c r="Y317" s="38"/>
      <c r="Z317" s="38"/>
    </row>
    <row r="318" spans="1:26" ht="15.75" customHeight="1" x14ac:dyDescent="0.2">
      <c r="A318" s="8" t="s">
        <v>840</v>
      </c>
      <c r="B318" s="1">
        <v>64.611752999999993</v>
      </c>
      <c r="C318" s="1" t="s">
        <v>1587</v>
      </c>
      <c r="D318" s="1" t="s">
        <v>1524</v>
      </c>
      <c r="E318" s="1" t="s">
        <v>2253</v>
      </c>
      <c r="F318" s="1" t="s">
        <v>1560</v>
      </c>
      <c r="G318" s="1" t="s">
        <v>2273</v>
      </c>
      <c r="H318" s="1" t="s">
        <v>2255</v>
      </c>
      <c r="I318" s="1" t="s">
        <v>2274</v>
      </c>
      <c r="J318" s="1" t="s">
        <v>2594</v>
      </c>
      <c r="M318" s="38"/>
      <c r="N318" s="38"/>
      <c r="O318" s="38"/>
      <c r="P318" s="38"/>
      <c r="Q318" s="38"/>
      <c r="R318" s="38"/>
      <c r="S318" s="38"/>
      <c r="T318" s="38"/>
      <c r="U318" s="38"/>
      <c r="V318" s="38"/>
      <c r="W318" s="38"/>
      <c r="X318" s="38"/>
      <c r="Y318" s="38"/>
      <c r="Z318" s="38"/>
    </row>
    <row r="319" spans="1:26" ht="15.75" customHeight="1" x14ac:dyDescent="0.2">
      <c r="A319" s="8" t="s">
        <v>840</v>
      </c>
      <c r="B319" s="1">
        <v>64.611752999999993</v>
      </c>
      <c r="C319" s="1" t="s">
        <v>1587</v>
      </c>
      <c r="D319" s="1" t="s">
        <v>1524</v>
      </c>
      <c r="E319" s="1" t="s">
        <v>2253</v>
      </c>
      <c r="F319" s="1" t="s">
        <v>1560</v>
      </c>
      <c r="G319" s="1" t="s">
        <v>2259</v>
      </c>
      <c r="H319" s="1" t="s">
        <v>2255</v>
      </c>
      <c r="I319" s="1" t="s">
        <v>2256</v>
      </c>
      <c r="J319" s="1" t="s">
        <v>2600</v>
      </c>
      <c r="M319" s="38"/>
      <c r="N319" s="38"/>
      <c r="O319" s="38"/>
      <c r="P319" s="38"/>
      <c r="Q319" s="38"/>
      <c r="R319" s="38"/>
      <c r="S319" s="38"/>
      <c r="T319" s="38"/>
      <c r="U319" s="38"/>
      <c r="V319" s="38"/>
      <c r="W319" s="38"/>
      <c r="X319" s="38"/>
      <c r="Y319" s="38"/>
      <c r="Z319" s="38"/>
    </row>
    <row r="320" spans="1:26" ht="15.75" customHeight="1" x14ac:dyDescent="0.2">
      <c r="A320" s="8" t="s">
        <v>840</v>
      </c>
      <c r="B320" s="1">
        <v>64.611752999999993</v>
      </c>
      <c r="C320" s="1" t="s">
        <v>1587</v>
      </c>
      <c r="D320" s="1" t="s">
        <v>1524</v>
      </c>
      <c r="E320" s="1" t="s">
        <v>2253</v>
      </c>
      <c r="F320" s="1" t="s">
        <v>1560</v>
      </c>
      <c r="G320" s="1" t="s">
        <v>2302</v>
      </c>
      <c r="H320" s="1" t="s">
        <v>2255</v>
      </c>
      <c r="I320" s="1" t="s">
        <v>2285</v>
      </c>
      <c r="J320" s="1" t="s">
        <v>2502</v>
      </c>
      <c r="M320" s="38"/>
      <c r="N320" s="38"/>
      <c r="O320" s="38"/>
      <c r="P320" s="38"/>
      <c r="Q320" s="38"/>
      <c r="R320" s="38"/>
      <c r="S320" s="38"/>
      <c r="T320" s="38"/>
      <c r="U320" s="38"/>
      <c r="V320" s="38"/>
      <c r="W320" s="38"/>
      <c r="X320" s="38"/>
      <c r="Y320" s="38"/>
      <c r="Z320" s="38"/>
    </row>
    <row r="321" spans="1:26" ht="15.75" customHeight="1" x14ac:dyDescent="0.2">
      <c r="A321" s="8" t="s">
        <v>840</v>
      </c>
      <c r="B321" s="1">
        <v>64.611752999999993</v>
      </c>
      <c r="C321" s="1" t="s">
        <v>1587</v>
      </c>
      <c r="D321" s="1" t="s">
        <v>1524</v>
      </c>
      <c r="E321" s="1" t="s">
        <v>2253</v>
      </c>
      <c r="F321" s="1" t="s">
        <v>1560</v>
      </c>
      <c r="G321" s="1" t="s">
        <v>2557</v>
      </c>
      <c r="H321" s="1" t="s">
        <v>2255</v>
      </c>
      <c r="I321" s="1" t="s">
        <v>2285</v>
      </c>
      <c r="J321" s="1" t="s">
        <v>2601</v>
      </c>
      <c r="M321" s="38"/>
      <c r="N321" s="38"/>
      <c r="O321" s="38"/>
      <c r="P321" s="38"/>
      <c r="Q321" s="38"/>
      <c r="R321" s="38"/>
      <c r="S321" s="38"/>
      <c r="T321" s="38"/>
      <c r="U321" s="38"/>
      <c r="V321" s="38"/>
      <c r="W321" s="38"/>
      <c r="X321" s="38"/>
      <c r="Y321" s="38"/>
      <c r="Z321" s="38"/>
    </row>
    <row r="322" spans="1:26" ht="15.75" customHeight="1" x14ac:dyDescent="0.2">
      <c r="A322" s="8" t="s">
        <v>840</v>
      </c>
      <c r="B322" s="1">
        <v>64.611752999999993</v>
      </c>
      <c r="C322" s="1" t="s">
        <v>1587</v>
      </c>
      <c r="D322" s="1" t="s">
        <v>1524</v>
      </c>
      <c r="E322" s="1" t="s">
        <v>2253</v>
      </c>
      <c r="F322" s="1" t="s">
        <v>1560</v>
      </c>
      <c r="G322" s="1" t="s">
        <v>2273</v>
      </c>
      <c r="H322" s="1" t="s">
        <v>2255</v>
      </c>
      <c r="I322" s="1" t="s">
        <v>2285</v>
      </c>
      <c r="J322" s="1" t="s">
        <v>2595</v>
      </c>
      <c r="M322" s="38"/>
      <c r="N322" s="38"/>
      <c r="O322" s="38"/>
      <c r="P322" s="38"/>
      <c r="Q322" s="38"/>
      <c r="R322" s="38"/>
      <c r="S322" s="38"/>
      <c r="T322" s="38"/>
      <c r="U322" s="38"/>
      <c r="V322" s="38"/>
      <c r="W322" s="38"/>
      <c r="X322" s="38"/>
      <c r="Y322" s="38"/>
      <c r="Z322" s="38"/>
    </row>
    <row r="323" spans="1:26" ht="15.75" customHeight="1" x14ac:dyDescent="0.2">
      <c r="A323" s="8" t="s">
        <v>840</v>
      </c>
      <c r="B323" s="1">
        <v>64.611752999999993</v>
      </c>
      <c r="C323" s="1" t="s">
        <v>1587</v>
      </c>
      <c r="D323" s="1" t="s">
        <v>1524</v>
      </c>
      <c r="E323" s="1" t="s">
        <v>2253</v>
      </c>
      <c r="F323" s="1" t="s">
        <v>1560</v>
      </c>
      <c r="G323" s="1" t="s">
        <v>2254</v>
      </c>
      <c r="H323" s="1" t="s">
        <v>2255</v>
      </c>
      <c r="I323" s="1" t="s">
        <v>2256</v>
      </c>
      <c r="J323" s="1" t="s">
        <v>2582</v>
      </c>
      <c r="M323" s="38"/>
      <c r="N323" s="38"/>
      <c r="O323" s="38"/>
      <c r="P323" s="38"/>
      <c r="Q323" s="38"/>
      <c r="R323" s="38"/>
      <c r="S323" s="38"/>
      <c r="T323" s="38"/>
      <c r="U323" s="38"/>
      <c r="V323" s="38"/>
      <c r="W323" s="38"/>
      <c r="X323" s="38"/>
      <c r="Y323" s="38"/>
      <c r="Z323" s="38"/>
    </row>
    <row r="324" spans="1:26" ht="15.75" customHeight="1" x14ac:dyDescent="0.2">
      <c r="A324" s="8" t="s">
        <v>840</v>
      </c>
      <c r="B324" s="1">
        <v>64.611752999999993</v>
      </c>
      <c r="C324" s="1" t="s">
        <v>1587</v>
      </c>
      <c r="D324" s="1" t="s">
        <v>1524</v>
      </c>
      <c r="E324" s="1" t="s">
        <v>2253</v>
      </c>
      <c r="F324" s="1" t="s">
        <v>1560</v>
      </c>
      <c r="G324" s="1" t="s">
        <v>2271</v>
      </c>
      <c r="H324" s="1" t="s">
        <v>2260</v>
      </c>
      <c r="I324" s="1" t="s">
        <v>2256</v>
      </c>
      <c r="J324" s="1" t="s">
        <v>2602</v>
      </c>
      <c r="M324" s="38"/>
      <c r="N324" s="38"/>
      <c r="O324" s="38"/>
      <c r="P324" s="38"/>
      <c r="Q324" s="38"/>
      <c r="R324" s="38"/>
      <c r="S324" s="38"/>
      <c r="T324" s="38"/>
      <c r="U324" s="38"/>
      <c r="V324" s="38"/>
      <c r="W324" s="38"/>
      <c r="X324" s="38"/>
      <c r="Y324" s="38"/>
      <c r="Z324" s="38"/>
    </row>
    <row r="325" spans="1:26" ht="15.75" customHeight="1" x14ac:dyDescent="0.2">
      <c r="A325" s="8" t="s">
        <v>840</v>
      </c>
      <c r="B325" s="1">
        <v>64.611752999999993</v>
      </c>
      <c r="C325" s="1" t="s">
        <v>1587</v>
      </c>
      <c r="D325" s="1" t="s">
        <v>1524</v>
      </c>
      <c r="E325" s="1" t="s">
        <v>2253</v>
      </c>
      <c r="F325" s="1" t="s">
        <v>1560</v>
      </c>
      <c r="G325" s="1" t="s">
        <v>2262</v>
      </c>
      <c r="H325" s="1" t="s">
        <v>2260</v>
      </c>
      <c r="I325" s="1" t="s">
        <v>2256</v>
      </c>
      <c r="J325" s="1" t="s">
        <v>2603</v>
      </c>
      <c r="M325" s="38"/>
      <c r="N325" s="38"/>
      <c r="O325" s="38"/>
      <c r="P325" s="38"/>
      <c r="Q325" s="38"/>
      <c r="R325" s="38"/>
      <c r="S325" s="38"/>
      <c r="T325" s="38"/>
      <c r="U325" s="38"/>
      <c r="V325" s="38"/>
      <c r="W325" s="38"/>
      <c r="X325" s="38"/>
      <c r="Y325" s="38"/>
      <c r="Z325" s="38"/>
    </row>
    <row r="326" spans="1:26" ht="15.75" customHeight="1" x14ac:dyDescent="0.2">
      <c r="A326" s="8" t="s">
        <v>759</v>
      </c>
      <c r="B326" s="1">
        <v>62.476300000000002</v>
      </c>
      <c r="C326" s="1" t="s">
        <v>1587</v>
      </c>
      <c r="D326" s="1" t="s">
        <v>1578</v>
      </c>
      <c r="E326" s="1" t="s">
        <v>2280</v>
      </c>
      <c r="F326" s="1" t="s">
        <v>1528</v>
      </c>
      <c r="G326" s="1" t="s">
        <v>2287</v>
      </c>
      <c r="H326" s="1" t="s">
        <v>2255</v>
      </c>
      <c r="I326" s="1" t="s">
        <v>2256</v>
      </c>
      <c r="J326" s="1" t="s">
        <v>2604</v>
      </c>
      <c r="M326" s="38"/>
      <c r="N326" s="38"/>
      <c r="O326" s="38"/>
      <c r="P326" s="38"/>
      <c r="Q326" s="38"/>
      <c r="R326" s="38"/>
      <c r="S326" s="38"/>
      <c r="T326" s="38"/>
      <c r="U326" s="38"/>
      <c r="V326" s="38"/>
      <c r="W326" s="38"/>
      <c r="X326" s="38"/>
      <c r="Y326" s="38"/>
      <c r="Z326" s="38"/>
    </row>
    <row r="327" spans="1:26" ht="15.75" customHeight="1" x14ac:dyDescent="0.2">
      <c r="A327" s="8" t="s">
        <v>759</v>
      </c>
      <c r="B327" s="1">
        <v>62.476300000000002</v>
      </c>
      <c r="C327" s="1" t="s">
        <v>1587</v>
      </c>
      <c r="D327" s="1" t="s">
        <v>1578</v>
      </c>
      <c r="E327" s="1" t="s">
        <v>2280</v>
      </c>
      <c r="F327" s="1" t="s">
        <v>1528</v>
      </c>
      <c r="G327" s="1" t="s">
        <v>2302</v>
      </c>
      <c r="H327" s="1" t="s">
        <v>2260</v>
      </c>
      <c r="I327" s="1" t="s">
        <v>2256</v>
      </c>
      <c r="J327" s="1" t="s">
        <v>2605</v>
      </c>
      <c r="M327" s="38"/>
      <c r="N327" s="38"/>
      <c r="O327" s="38"/>
      <c r="P327" s="38"/>
      <c r="Q327" s="38"/>
      <c r="R327" s="38"/>
      <c r="S327" s="38"/>
      <c r="T327" s="38"/>
      <c r="U327" s="38"/>
      <c r="V327" s="38"/>
      <c r="W327" s="38"/>
      <c r="X327" s="38"/>
      <c r="Y327" s="38"/>
      <c r="Z327" s="38"/>
    </row>
    <row r="328" spans="1:26" ht="15.75" customHeight="1" x14ac:dyDescent="0.2">
      <c r="A328" s="8" t="s">
        <v>759</v>
      </c>
      <c r="B328" s="1">
        <v>62.476300000000002</v>
      </c>
      <c r="C328" s="1" t="s">
        <v>1587</v>
      </c>
      <c r="D328" s="1" t="s">
        <v>1578</v>
      </c>
      <c r="E328" s="1" t="s">
        <v>2280</v>
      </c>
      <c r="F328" s="1" t="s">
        <v>1528</v>
      </c>
      <c r="G328" s="1" t="s">
        <v>2262</v>
      </c>
      <c r="H328" s="1" t="s">
        <v>2260</v>
      </c>
      <c r="I328" s="1" t="s">
        <v>2256</v>
      </c>
      <c r="J328" s="1" t="s">
        <v>2606</v>
      </c>
      <c r="M328" s="38"/>
      <c r="N328" s="38"/>
      <c r="O328" s="38"/>
      <c r="P328" s="38"/>
      <c r="Q328" s="38"/>
      <c r="R328" s="38"/>
      <c r="S328" s="38"/>
      <c r="T328" s="38"/>
      <c r="U328" s="38"/>
      <c r="V328" s="38"/>
      <c r="W328" s="38"/>
      <c r="X328" s="38"/>
      <c r="Y328" s="38"/>
      <c r="Z328" s="38"/>
    </row>
    <row r="329" spans="1:26" ht="15.75" customHeight="1" x14ac:dyDescent="0.2">
      <c r="A329" s="8" t="s">
        <v>848</v>
      </c>
      <c r="B329" s="1">
        <v>45.432715000000002</v>
      </c>
      <c r="C329" s="1" t="s">
        <v>1523</v>
      </c>
      <c r="D329" s="1" t="s">
        <v>1524</v>
      </c>
      <c r="E329" s="1" t="s">
        <v>2280</v>
      </c>
      <c r="F329" s="1" t="s">
        <v>1528</v>
      </c>
      <c r="G329" s="1" t="s">
        <v>2302</v>
      </c>
      <c r="H329" s="1" t="s">
        <v>2255</v>
      </c>
      <c r="I329" s="1" t="s">
        <v>2285</v>
      </c>
      <c r="J329" s="1" t="s">
        <v>2303</v>
      </c>
      <c r="M329" s="38"/>
      <c r="N329" s="38"/>
      <c r="O329" s="38"/>
      <c r="P329" s="38"/>
      <c r="Q329" s="38"/>
      <c r="R329" s="38"/>
      <c r="S329" s="38"/>
      <c r="T329" s="38"/>
      <c r="U329" s="38"/>
      <c r="V329" s="38"/>
      <c r="W329" s="38"/>
      <c r="X329" s="38"/>
      <c r="Y329" s="38"/>
      <c r="Z329" s="38"/>
    </row>
    <row r="330" spans="1:26" ht="15.75" customHeight="1" x14ac:dyDescent="0.2">
      <c r="A330" s="8" t="s">
        <v>848</v>
      </c>
      <c r="B330" s="1">
        <v>45.432715000000002</v>
      </c>
      <c r="C330" s="1" t="s">
        <v>1523</v>
      </c>
      <c r="D330" s="1" t="s">
        <v>1524</v>
      </c>
      <c r="E330" s="1" t="s">
        <v>2280</v>
      </c>
      <c r="F330" s="1" t="s">
        <v>1528</v>
      </c>
      <c r="G330" s="1" t="s">
        <v>2557</v>
      </c>
      <c r="H330" s="1" t="s">
        <v>2255</v>
      </c>
      <c r="I330" s="1" t="s">
        <v>2285</v>
      </c>
      <c r="J330" s="1" t="s">
        <v>2607</v>
      </c>
      <c r="M330" s="38"/>
      <c r="N330" s="38"/>
      <c r="O330" s="38"/>
      <c r="P330" s="38"/>
      <c r="Q330" s="38"/>
      <c r="R330" s="38"/>
      <c r="S330" s="38"/>
      <c r="T330" s="38"/>
      <c r="U330" s="38"/>
      <c r="V330" s="38"/>
      <c r="W330" s="38"/>
      <c r="X330" s="38"/>
      <c r="Y330" s="38"/>
      <c r="Z330" s="38"/>
    </row>
    <row r="331" spans="1:26" ht="15.75" customHeight="1" x14ac:dyDescent="0.2">
      <c r="A331" s="8" t="s">
        <v>848</v>
      </c>
      <c r="B331" s="1">
        <v>45.432715000000002</v>
      </c>
      <c r="C331" s="1" t="s">
        <v>1523</v>
      </c>
      <c r="D331" s="1" t="s">
        <v>1524</v>
      </c>
      <c r="E331" s="1" t="s">
        <v>2280</v>
      </c>
      <c r="F331" s="1" t="s">
        <v>1528</v>
      </c>
      <c r="G331" s="1" t="s">
        <v>2266</v>
      </c>
      <c r="H331" s="1" t="s">
        <v>2255</v>
      </c>
      <c r="I331" s="1" t="s">
        <v>2256</v>
      </c>
      <c r="J331" s="1" t="s">
        <v>2608</v>
      </c>
      <c r="M331" s="38"/>
      <c r="N331" s="38"/>
      <c r="O331" s="38"/>
      <c r="P331" s="38"/>
      <c r="Q331" s="38"/>
      <c r="R331" s="38"/>
      <c r="S331" s="38"/>
      <c r="T331" s="38"/>
      <c r="U331" s="38"/>
      <c r="V331" s="38"/>
      <c r="W331" s="38"/>
      <c r="X331" s="38"/>
      <c r="Y331" s="38"/>
      <c r="Z331" s="38"/>
    </row>
    <row r="332" spans="1:26" ht="15.75" customHeight="1" x14ac:dyDescent="0.2">
      <c r="A332" s="8" t="s">
        <v>848</v>
      </c>
      <c r="B332" s="1">
        <v>45.432715000000002</v>
      </c>
      <c r="C332" s="1" t="s">
        <v>1523</v>
      </c>
      <c r="D332" s="1" t="s">
        <v>1524</v>
      </c>
      <c r="E332" s="1" t="s">
        <v>2280</v>
      </c>
      <c r="F332" s="1" t="s">
        <v>1528</v>
      </c>
      <c r="G332" s="1" t="s">
        <v>2273</v>
      </c>
      <c r="H332" s="1" t="s">
        <v>2260</v>
      </c>
      <c r="I332" s="1" t="s">
        <v>2256</v>
      </c>
      <c r="J332" s="1" t="s">
        <v>2609</v>
      </c>
      <c r="M332" s="38"/>
      <c r="N332" s="38"/>
      <c r="O332" s="38"/>
      <c r="P332" s="38"/>
      <c r="Q332" s="38"/>
      <c r="R332" s="38"/>
      <c r="S332" s="38"/>
      <c r="T332" s="38"/>
      <c r="U332" s="38"/>
      <c r="V332" s="38"/>
      <c r="W332" s="38"/>
      <c r="X332" s="38"/>
      <c r="Y332" s="38"/>
      <c r="Z332" s="38"/>
    </row>
    <row r="333" spans="1:26" ht="15.75" customHeight="1" x14ac:dyDescent="0.2">
      <c r="A333" s="8" t="s">
        <v>848</v>
      </c>
      <c r="B333" s="1">
        <v>45.432715000000002</v>
      </c>
      <c r="C333" s="1" t="s">
        <v>1523</v>
      </c>
      <c r="D333" s="1" t="s">
        <v>1524</v>
      </c>
      <c r="E333" s="1" t="s">
        <v>2280</v>
      </c>
      <c r="F333" s="1" t="s">
        <v>1528</v>
      </c>
      <c r="G333" s="1" t="s">
        <v>2273</v>
      </c>
      <c r="H333" s="1" t="s">
        <v>2260</v>
      </c>
      <c r="I333" s="1" t="s">
        <v>2256</v>
      </c>
      <c r="J333" s="1" t="s">
        <v>2610</v>
      </c>
      <c r="M333" s="38"/>
      <c r="N333" s="38"/>
      <c r="O333" s="38"/>
      <c r="P333" s="38"/>
      <c r="Q333" s="38"/>
      <c r="R333" s="38"/>
      <c r="S333" s="38"/>
      <c r="T333" s="38"/>
      <c r="U333" s="38"/>
      <c r="V333" s="38"/>
      <c r="W333" s="38"/>
      <c r="X333" s="38"/>
      <c r="Y333" s="38"/>
      <c r="Z333" s="38"/>
    </row>
    <row r="334" spans="1:26" ht="15.75" customHeight="1" x14ac:dyDescent="0.2">
      <c r="A334" s="8" t="s">
        <v>848</v>
      </c>
      <c r="B334" s="1">
        <v>45.432715000000002</v>
      </c>
      <c r="C334" s="1" t="s">
        <v>1523</v>
      </c>
      <c r="D334" s="1" t="s">
        <v>1524</v>
      </c>
      <c r="E334" s="1" t="s">
        <v>2280</v>
      </c>
      <c r="F334" s="1" t="s">
        <v>1528</v>
      </c>
      <c r="G334" s="1" t="s">
        <v>2297</v>
      </c>
      <c r="H334" s="1" t="s">
        <v>2260</v>
      </c>
      <c r="I334" s="1" t="s">
        <v>2285</v>
      </c>
      <c r="J334" s="1" t="s">
        <v>2611</v>
      </c>
      <c r="M334" s="38"/>
      <c r="N334" s="38"/>
      <c r="O334" s="38"/>
      <c r="P334" s="38"/>
      <c r="Q334" s="38"/>
      <c r="R334" s="38"/>
      <c r="S334" s="38"/>
      <c r="T334" s="38"/>
      <c r="U334" s="38"/>
      <c r="V334" s="38"/>
      <c r="W334" s="38"/>
      <c r="X334" s="38"/>
      <c r="Y334" s="38"/>
      <c r="Z334" s="38"/>
    </row>
    <row r="335" spans="1:26" ht="15.75" customHeight="1" x14ac:dyDescent="0.2">
      <c r="A335" s="8" t="s">
        <v>855</v>
      </c>
      <c r="B335" s="1">
        <v>41.799626000000004</v>
      </c>
      <c r="C335" s="1" t="s">
        <v>1587</v>
      </c>
      <c r="D335" s="1" t="s">
        <v>1524</v>
      </c>
      <c r="E335" s="1" t="s">
        <v>2280</v>
      </c>
      <c r="F335" s="1" t="s">
        <v>1546</v>
      </c>
      <c r="G335" s="1" t="s">
        <v>2446</v>
      </c>
      <c r="H335" s="1" t="s">
        <v>2255</v>
      </c>
      <c r="I335" s="1" t="s">
        <v>2274</v>
      </c>
      <c r="J335" s="1" t="s">
        <v>2612</v>
      </c>
      <c r="M335" s="38"/>
      <c r="N335" s="38"/>
      <c r="O335" s="38"/>
      <c r="P335" s="38"/>
      <c r="Q335" s="38"/>
      <c r="R335" s="38"/>
      <c r="S335" s="38"/>
      <c r="T335" s="38"/>
      <c r="U335" s="38"/>
      <c r="V335" s="38"/>
      <c r="W335" s="38"/>
      <c r="X335" s="38"/>
      <c r="Y335" s="38"/>
      <c r="Z335" s="38"/>
    </row>
    <row r="336" spans="1:26" ht="15.75" customHeight="1" x14ac:dyDescent="0.2">
      <c r="A336" s="8" t="s">
        <v>859</v>
      </c>
      <c r="B336" s="1">
        <v>58.383015</v>
      </c>
      <c r="C336" s="1" t="s">
        <v>1587</v>
      </c>
      <c r="D336" s="1" t="s">
        <v>1578</v>
      </c>
      <c r="E336" s="1" t="s">
        <v>2280</v>
      </c>
      <c r="F336" s="1" t="s">
        <v>1528</v>
      </c>
      <c r="G336" s="1" t="s">
        <v>2282</v>
      </c>
      <c r="H336" s="1" t="s">
        <v>2260</v>
      </c>
      <c r="I336" s="1" t="s">
        <v>2256</v>
      </c>
      <c r="J336" s="1" t="s">
        <v>2613</v>
      </c>
      <c r="M336" s="38"/>
      <c r="N336" s="38"/>
      <c r="O336" s="38"/>
      <c r="P336" s="38"/>
      <c r="Q336" s="38"/>
      <c r="R336" s="38"/>
      <c r="S336" s="38"/>
      <c r="T336" s="38"/>
      <c r="U336" s="38"/>
      <c r="V336" s="38"/>
      <c r="W336" s="38"/>
      <c r="X336" s="38"/>
      <c r="Y336" s="38"/>
      <c r="Z336" s="38"/>
    </row>
    <row r="337" spans="1:26" ht="15.75" customHeight="1" x14ac:dyDescent="0.2">
      <c r="A337" s="8" t="s">
        <v>863</v>
      </c>
      <c r="B337" s="1">
        <v>53.884748000000002</v>
      </c>
      <c r="C337" s="1" t="s">
        <v>1523</v>
      </c>
      <c r="D337" s="1" t="s">
        <v>1524</v>
      </c>
      <c r="E337" s="1" t="s">
        <v>2253</v>
      </c>
      <c r="F337" s="1" t="s">
        <v>1528</v>
      </c>
      <c r="G337" s="1" t="s">
        <v>2266</v>
      </c>
      <c r="H337" s="1" t="s">
        <v>2255</v>
      </c>
      <c r="I337" s="1" t="s">
        <v>2256</v>
      </c>
      <c r="J337" s="1" t="s">
        <v>2614</v>
      </c>
      <c r="M337" s="38"/>
      <c r="N337" s="38"/>
      <c r="O337" s="38"/>
      <c r="P337" s="38"/>
      <c r="Q337" s="38"/>
      <c r="R337" s="38"/>
      <c r="S337" s="38"/>
      <c r="T337" s="38"/>
      <c r="U337" s="38"/>
      <c r="V337" s="38"/>
      <c r="W337" s="38"/>
      <c r="X337" s="38"/>
      <c r="Y337" s="38"/>
      <c r="Z337" s="38"/>
    </row>
    <row r="338" spans="1:26" ht="15.75" customHeight="1" x14ac:dyDescent="0.2">
      <c r="A338" s="8" t="s">
        <v>863</v>
      </c>
      <c r="B338" s="1">
        <v>53.884748000000002</v>
      </c>
      <c r="C338" s="1" t="s">
        <v>1523</v>
      </c>
      <c r="D338" s="1" t="s">
        <v>1524</v>
      </c>
      <c r="E338" s="1" t="s">
        <v>2253</v>
      </c>
      <c r="F338" s="1" t="s">
        <v>1528</v>
      </c>
      <c r="G338" s="1" t="s">
        <v>2295</v>
      </c>
      <c r="H338" s="1" t="s">
        <v>2260</v>
      </c>
      <c r="I338" s="1" t="s">
        <v>2285</v>
      </c>
      <c r="J338" s="1" t="s">
        <v>2615</v>
      </c>
      <c r="M338" s="38"/>
      <c r="N338" s="38"/>
      <c r="O338" s="38"/>
      <c r="P338" s="38"/>
      <c r="Q338" s="38"/>
      <c r="R338" s="38"/>
      <c r="S338" s="38"/>
      <c r="T338" s="38"/>
      <c r="U338" s="38"/>
      <c r="V338" s="38"/>
      <c r="W338" s="38"/>
      <c r="X338" s="38"/>
      <c r="Y338" s="38"/>
      <c r="Z338" s="38"/>
    </row>
    <row r="339" spans="1:26" ht="15.75" customHeight="1" x14ac:dyDescent="0.2">
      <c r="A339" s="8" t="s">
        <v>867</v>
      </c>
      <c r="B339" s="1">
        <v>47.968131</v>
      </c>
      <c r="C339" s="1" t="s">
        <v>1523</v>
      </c>
      <c r="D339" s="1" t="s">
        <v>1524</v>
      </c>
      <c r="E339" s="1" t="s">
        <v>2253</v>
      </c>
      <c r="F339" s="1" t="s">
        <v>1528</v>
      </c>
      <c r="G339" s="1" t="s">
        <v>2287</v>
      </c>
      <c r="H339" s="1" t="s">
        <v>2255</v>
      </c>
      <c r="I339" s="1" t="s">
        <v>2256</v>
      </c>
      <c r="J339" s="1" t="s">
        <v>2616</v>
      </c>
      <c r="M339" s="38"/>
      <c r="N339" s="38"/>
      <c r="O339" s="38"/>
      <c r="P339" s="38"/>
      <c r="Q339" s="38"/>
      <c r="R339" s="38"/>
      <c r="S339" s="38"/>
      <c r="T339" s="38"/>
      <c r="U339" s="38"/>
      <c r="V339" s="38"/>
      <c r="W339" s="38"/>
      <c r="X339" s="38"/>
      <c r="Y339" s="38"/>
      <c r="Z339" s="38"/>
    </row>
    <row r="340" spans="1:26" ht="15.75" customHeight="1" x14ac:dyDescent="0.2">
      <c r="A340" s="8" t="s">
        <v>867</v>
      </c>
      <c r="B340" s="1">
        <v>47.968131</v>
      </c>
      <c r="C340" s="1" t="s">
        <v>1523</v>
      </c>
      <c r="D340" s="1" t="s">
        <v>1524</v>
      </c>
      <c r="E340" s="1" t="s">
        <v>2253</v>
      </c>
      <c r="F340" s="1" t="s">
        <v>1528</v>
      </c>
      <c r="G340" s="1" t="s">
        <v>2266</v>
      </c>
      <c r="H340" s="1" t="s">
        <v>2255</v>
      </c>
      <c r="I340" s="1" t="s">
        <v>2256</v>
      </c>
      <c r="J340" s="1" t="s">
        <v>2617</v>
      </c>
      <c r="M340" s="38"/>
      <c r="N340" s="38"/>
      <c r="O340" s="38"/>
      <c r="P340" s="38"/>
      <c r="Q340" s="38"/>
      <c r="R340" s="38"/>
      <c r="S340" s="38"/>
      <c r="T340" s="38"/>
      <c r="U340" s="38"/>
      <c r="V340" s="38"/>
      <c r="W340" s="38"/>
      <c r="X340" s="38"/>
      <c r="Y340" s="38"/>
      <c r="Z340" s="38"/>
    </row>
    <row r="341" spans="1:26" ht="15.75" customHeight="1" x14ac:dyDescent="0.2">
      <c r="A341" s="8" t="s">
        <v>867</v>
      </c>
      <c r="B341" s="1">
        <v>47.968131</v>
      </c>
      <c r="C341" s="1" t="s">
        <v>1523</v>
      </c>
      <c r="D341" s="1" t="s">
        <v>1524</v>
      </c>
      <c r="E341" s="1" t="s">
        <v>2253</v>
      </c>
      <c r="F341" s="1" t="s">
        <v>1528</v>
      </c>
      <c r="G341" s="1" t="s">
        <v>2295</v>
      </c>
      <c r="H341" s="1" t="s">
        <v>2260</v>
      </c>
      <c r="I341" s="1" t="s">
        <v>2285</v>
      </c>
      <c r="J341" s="1" t="s">
        <v>2618</v>
      </c>
      <c r="M341" s="38"/>
      <c r="N341" s="38"/>
      <c r="O341" s="38"/>
      <c r="P341" s="38"/>
      <c r="Q341" s="38"/>
      <c r="R341" s="38"/>
      <c r="S341" s="38"/>
      <c r="T341" s="38"/>
      <c r="U341" s="38"/>
      <c r="V341" s="38"/>
      <c r="W341" s="38"/>
      <c r="X341" s="38"/>
      <c r="Y341" s="38"/>
      <c r="Z341" s="38"/>
    </row>
    <row r="342" spans="1:26" ht="15.75" customHeight="1" x14ac:dyDescent="0.2">
      <c r="A342" s="8" t="s">
        <v>867</v>
      </c>
      <c r="B342" s="1">
        <v>47.968131</v>
      </c>
      <c r="C342" s="1" t="s">
        <v>1523</v>
      </c>
      <c r="D342" s="1" t="s">
        <v>1524</v>
      </c>
      <c r="E342" s="1" t="s">
        <v>2253</v>
      </c>
      <c r="F342" s="1" t="s">
        <v>1528</v>
      </c>
      <c r="G342" s="1" t="s">
        <v>2566</v>
      </c>
      <c r="H342" s="1" t="s">
        <v>2260</v>
      </c>
      <c r="I342" s="1" t="s">
        <v>2285</v>
      </c>
      <c r="J342" s="1" t="s">
        <v>2619</v>
      </c>
      <c r="M342" s="38"/>
      <c r="N342" s="38"/>
      <c r="O342" s="38"/>
      <c r="P342" s="38"/>
      <c r="Q342" s="38"/>
      <c r="R342" s="38"/>
      <c r="S342" s="38"/>
      <c r="T342" s="38"/>
      <c r="U342" s="38"/>
      <c r="V342" s="38"/>
      <c r="W342" s="38"/>
      <c r="X342" s="38"/>
      <c r="Y342" s="38"/>
      <c r="Z342" s="38"/>
    </row>
    <row r="343" spans="1:26" ht="15.75" customHeight="1" x14ac:dyDescent="0.2">
      <c r="A343" s="8" t="s">
        <v>867</v>
      </c>
      <c r="B343" s="1">
        <v>47.968131</v>
      </c>
      <c r="C343" s="1" t="s">
        <v>1523</v>
      </c>
      <c r="D343" s="1" t="s">
        <v>1524</v>
      </c>
      <c r="E343" s="1" t="s">
        <v>2253</v>
      </c>
      <c r="F343" s="1" t="s">
        <v>1528</v>
      </c>
      <c r="G343" s="1" t="s">
        <v>2416</v>
      </c>
      <c r="H343" s="1" t="s">
        <v>2263</v>
      </c>
      <c r="I343" s="1" t="s">
        <v>2256</v>
      </c>
      <c r="J343" s="1" t="s">
        <v>2620</v>
      </c>
      <c r="M343" s="38"/>
      <c r="N343" s="38"/>
      <c r="O343" s="38"/>
      <c r="P343" s="38"/>
      <c r="Q343" s="38"/>
      <c r="R343" s="38"/>
      <c r="S343" s="38"/>
      <c r="T343" s="38"/>
      <c r="U343" s="38"/>
      <c r="V343" s="38"/>
      <c r="W343" s="38"/>
      <c r="X343" s="38"/>
      <c r="Y343" s="38"/>
      <c r="Z343" s="38"/>
    </row>
    <row r="344" spans="1:26" ht="15.75" customHeight="1" x14ac:dyDescent="0.2">
      <c r="A344" s="8" t="s">
        <v>874</v>
      </c>
      <c r="B344" s="1">
        <v>47.026291000000001</v>
      </c>
      <c r="C344" s="1" t="s">
        <v>1587</v>
      </c>
      <c r="D344" s="1" t="s">
        <v>1524</v>
      </c>
      <c r="E344" s="1" t="s">
        <v>2280</v>
      </c>
      <c r="F344" s="1" t="s">
        <v>1528</v>
      </c>
      <c r="G344" s="1" t="s">
        <v>2266</v>
      </c>
      <c r="H344" s="1" t="s">
        <v>2255</v>
      </c>
      <c r="I344" s="1" t="s">
        <v>2256</v>
      </c>
      <c r="J344" s="1" t="s">
        <v>2617</v>
      </c>
      <c r="M344" s="38"/>
      <c r="N344" s="38"/>
      <c r="O344" s="38"/>
      <c r="P344" s="38"/>
      <c r="Q344" s="38"/>
      <c r="R344" s="38"/>
      <c r="S344" s="38"/>
      <c r="T344" s="38"/>
      <c r="U344" s="38"/>
      <c r="V344" s="38"/>
      <c r="W344" s="38"/>
      <c r="X344" s="38"/>
      <c r="Y344" s="38"/>
      <c r="Z344" s="38"/>
    </row>
    <row r="345" spans="1:26" ht="15.75" customHeight="1" x14ac:dyDescent="0.2">
      <c r="A345" s="8" t="s">
        <v>874</v>
      </c>
      <c r="B345" s="1">
        <v>47.026291000000001</v>
      </c>
      <c r="C345" s="1" t="s">
        <v>1587</v>
      </c>
      <c r="D345" s="1" t="s">
        <v>1524</v>
      </c>
      <c r="E345" s="1" t="s">
        <v>2280</v>
      </c>
      <c r="F345" s="1" t="s">
        <v>1528</v>
      </c>
      <c r="G345" s="1" t="s">
        <v>2273</v>
      </c>
      <c r="H345" s="1" t="s">
        <v>2255</v>
      </c>
      <c r="I345" s="1" t="s">
        <v>2274</v>
      </c>
      <c r="J345" s="1" t="s">
        <v>2594</v>
      </c>
      <c r="M345" s="38"/>
      <c r="N345" s="38"/>
      <c r="O345" s="38"/>
      <c r="P345" s="38"/>
      <c r="Q345" s="38"/>
      <c r="R345" s="38"/>
      <c r="S345" s="38"/>
      <c r="T345" s="38"/>
      <c r="U345" s="38"/>
      <c r="V345" s="38"/>
      <c r="W345" s="38"/>
      <c r="X345" s="38"/>
      <c r="Y345" s="38"/>
      <c r="Z345" s="38"/>
    </row>
    <row r="346" spans="1:26" ht="15.75" customHeight="1" x14ac:dyDescent="0.2">
      <c r="A346" s="8" t="s">
        <v>874</v>
      </c>
      <c r="B346" s="1">
        <v>47.026291000000001</v>
      </c>
      <c r="C346" s="1" t="s">
        <v>1587</v>
      </c>
      <c r="D346" s="1" t="s">
        <v>1524</v>
      </c>
      <c r="E346" s="1" t="s">
        <v>2280</v>
      </c>
      <c r="F346" s="1" t="s">
        <v>1528</v>
      </c>
      <c r="G346" s="1" t="s">
        <v>2302</v>
      </c>
      <c r="H346" s="1" t="s">
        <v>2255</v>
      </c>
      <c r="I346" s="1" t="s">
        <v>2285</v>
      </c>
      <c r="J346" s="1" t="s">
        <v>2621</v>
      </c>
      <c r="M346" s="38"/>
      <c r="N346" s="38"/>
      <c r="O346" s="38"/>
      <c r="P346" s="38"/>
      <c r="Q346" s="38"/>
      <c r="R346" s="38"/>
      <c r="S346" s="38"/>
      <c r="T346" s="38"/>
      <c r="U346" s="38"/>
      <c r="V346" s="38"/>
      <c r="W346" s="38"/>
      <c r="X346" s="38"/>
      <c r="Y346" s="38"/>
      <c r="Z346" s="38"/>
    </row>
    <row r="347" spans="1:26" ht="15.75" customHeight="1" x14ac:dyDescent="0.2">
      <c r="A347" s="8" t="s">
        <v>874</v>
      </c>
      <c r="B347" s="1">
        <v>47.026291000000001</v>
      </c>
      <c r="C347" s="1" t="s">
        <v>1587</v>
      </c>
      <c r="D347" s="1" t="s">
        <v>1524</v>
      </c>
      <c r="E347" s="1" t="s">
        <v>2280</v>
      </c>
      <c r="F347" s="1" t="s">
        <v>1528</v>
      </c>
      <c r="G347" s="1" t="s">
        <v>2557</v>
      </c>
      <c r="H347" s="1" t="s">
        <v>2255</v>
      </c>
      <c r="I347" s="1" t="s">
        <v>2285</v>
      </c>
      <c r="J347" s="1" t="s">
        <v>2622</v>
      </c>
      <c r="M347" s="38"/>
      <c r="N347" s="38"/>
      <c r="O347" s="38"/>
      <c r="P347" s="38"/>
      <c r="Q347" s="38"/>
      <c r="R347" s="38"/>
      <c r="S347" s="38"/>
      <c r="T347" s="38"/>
      <c r="U347" s="38"/>
      <c r="V347" s="38"/>
      <c r="W347" s="38"/>
      <c r="X347" s="38"/>
      <c r="Y347" s="38"/>
      <c r="Z347" s="38"/>
    </row>
    <row r="348" spans="1:26" ht="15.75" customHeight="1" x14ac:dyDescent="0.2">
      <c r="A348" s="8" t="s">
        <v>874</v>
      </c>
      <c r="B348" s="1">
        <v>47.026291000000001</v>
      </c>
      <c r="C348" s="1" t="s">
        <v>1587</v>
      </c>
      <c r="D348" s="1" t="s">
        <v>1524</v>
      </c>
      <c r="E348" s="1" t="s">
        <v>2280</v>
      </c>
      <c r="F348" s="1" t="s">
        <v>1528</v>
      </c>
      <c r="G348" s="1" t="s">
        <v>2273</v>
      </c>
      <c r="H348" s="1" t="s">
        <v>2255</v>
      </c>
      <c r="I348" s="1" t="s">
        <v>2285</v>
      </c>
      <c r="J348" s="1" t="s">
        <v>2623</v>
      </c>
      <c r="M348" s="38"/>
      <c r="N348" s="38"/>
      <c r="O348" s="38"/>
      <c r="P348" s="38"/>
      <c r="Q348" s="38"/>
      <c r="R348" s="38"/>
      <c r="S348" s="38"/>
      <c r="T348" s="38"/>
      <c r="U348" s="38"/>
      <c r="V348" s="38"/>
      <c r="W348" s="38"/>
      <c r="X348" s="38"/>
      <c r="Y348" s="38"/>
      <c r="Z348" s="38"/>
    </row>
    <row r="349" spans="1:26" ht="15.75" customHeight="1" x14ac:dyDescent="0.2">
      <c r="A349" s="8" t="s">
        <v>874</v>
      </c>
      <c r="B349" s="1">
        <v>47.026291000000001</v>
      </c>
      <c r="C349" s="1" t="s">
        <v>1587</v>
      </c>
      <c r="D349" s="1" t="s">
        <v>1524</v>
      </c>
      <c r="E349" s="1" t="s">
        <v>2280</v>
      </c>
      <c r="F349" s="1" t="s">
        <v>1528</v>
      </c>
      <c r="G349" s="1" t="s">
        <v>2463</v>
      </c>
      <c r="H349" s="1" t="s">
        <v>2260</v>
      </c>
      <c r="I349" s="1" t="s">
        <v>2285</v>
      </c>
      <c r="J349" s="1" t="s">
        <v>2624</v>
      </c>
      <c r="M349" s="38"/>
      <c r="N349" s="38"/>
      <c r="O349" s="38"/>
      <c r="P349" s="38"/>
      <c r="Q349" s="38"/>
      <c r="R349" s="38"/>
      <c r="S349" s="38"/>
      <c r="T349" s="38"/>
      <c r="U349" s="38"/>
      <c r="V349" s="38"/>
      <c r="W349" s="38"/>
      <c r="X349" s="38"/>
      <c r="Y349" s="38"/>
      <c r="Z349" s="38"/>
    </row>
    <row r="350" spans="1:26" ht="15.75" customHeight="1" x14ac:dyDescent="0.2">
      <c r="A350" s="8" t="s">
        <v>874</v>
      </c>
      <c r="B350" s="1">
        <v>47.026291000000001</v>
      </c>
      <c r="C350" s="1" t="s">
        <v>1587</v>
      </c>
      <c r="D350" s="1" t="s">
        <v>1524</v>
      </c>
      <c r="E350" s="1" t="s">
        <v>2280</v>
      </c>
      <c r="F350" s="1" t="s">
        <v>1528</v>
      </c>
      <c r="G350" s="1" t="s">
        <v>2297</v>
      </c>
      <c r="H350" s="1" t="s">
        <v>2260</v>
      </c>
      <c r="I350" s="1" t="s">
        <v>2285</v>
      </c>
      <c r="J350" s="1" t="s">
        <v>2625</v>
      </c>
      <c r="M350" s="38"/>
      <c r="N350" s="38"/>
      <c r="O350" s="38"/>
      <c r="P350" s="38"/>
      <c r="Q350" s="38"/>
      <c r="R350" s="38"/>
      <c r="S350" s="38"/>
      <c r="T350" s="38"/>
      <c r="U350" s="38"/>
      <c r="V350" s="38"/>
      <c r="W350" s="38"/>
      <c r="X350" s="38"/>
      <c r="Y350" s="38"/>
      <c r="Z350" s="38"/>
    </row>
    <row r="351" spans="1:26" ht="15.75" customHeight="1" x14ac:dyDescent="0.2">
      <c r="A351" s="8" t="s">
        <v>881</v>
      </c>
      <c r="B351" s="1">
        <v>44.219822000000001</v>
      </c>
      <c r="C351" s="1" t="s">
        <v>1523</v>
      </c>
      <c r="D351" s="1" t="s">
        <v>1524</v>
      </c>
      <c r="E351" s="1" t="s">
        <v>2280</v>
      </c>
      <c r="F351" s="1" t="s">
        <v>1528</v>
      </c>
      <c r="G351" s="1" t="s">
        <v>2273</v>
      </c>
      <c r="H351" s="1" t="s">
        <v>2255</v>
      </c>
      <c r="I351" s="1" t="s">
        <v>2274</v>
      </c>
      <c r="J351" s="1" t="s">
        <v>2594</v>
      </c>
      <c r="M351" s="38"/>
      <c r="N351" s="38"/>
      <c r="O351" s="38"/>
      <c r="P351" s="38"/>
      <c r="Q351" s="38"/>
      <c r="R351" s="38"/>
      <c r="S351" s="38"/>
      <c r="T351" s="38"/>
      <c r="U351" s="38"/>
      <c r="V351" s="38"/>
      <c r="W351" s="38"/>
      <c r="X351" s="38"/>
      <c r="Y351" s="38"/>
      <c r="Z351" s="38"/>
    </row>
    <row r="352" spans="1:26" ht="15.75" customHeight="1" x14ac:dyDescent="0.2">
      <c r="A352" s="8" t="s">
        <v>881</v>
      </c>
      <c r="B352" s="1">
        <v>44.219822000000001</v>
      </c>
      <c r="C352" s="1" t="s">
        <v>1523</v>
      </c>
      <c r="D352" s="1" t="s">
        <v>1524</v>
      </c>
      <c r="E352" s="1" t="s">
        <v>2280</v>
      </c>
      <c r="F352" s="1" t="s">
        <v>1528</v>
      </c>
      <c r="G352" s="1" t="s">
        <v>2287</v>
      </c>
      <c r="H352" s="1" t="s">
        <v>2260</v>
      </c>
      <c r="I352" s="1" t="s">
        <v>2256</v>
      </c>
      <c r="J352" s="1" t="s">
        <v>2626</v>
      </c>
      <c r="M352" s="38"/>
      <c r="N352" s="38"/>
      <c r="O352" s="38"/>
      <c r="P352" s="38"/>
      <c r="Q352" s="38"/>
      <c r="R352" s="38"/>
      <c r="S352" s="38"/>
      <c r="T352" s="38"/>
      <c r="U352" s="38"/>
      <c r="V352" s="38"/>
      <c r="W352" s="38"/>
      <c r="X352" s="38"/>
      <c r="Y352" s="38"/>
      <c r="Z352" s="38"/>
    </row>
    <row r="353" spans="1:26" ht="15.75" customHeight="1" x14ac:dyDescent="0.2">
      <c r="A353" s="8" t="s">
        <v>881</v>
      </c>
      <c r="B353" s="1">
        <v>44.219822000000001</v>
      </c>
      <c r="C353" s="1" t="s">
        <v>1523</v>
      </c>
      <c r="D353" s="1" t="s">
        <v>1524</v>
      </c>
      <c r="E353" s="1" t="s">
        <v>2280</v>
      </c>
      <c r="F353" s="1" t="s">
        <v>1528</v>
      </c>
      <c r="G353" s="1" t="s">
        <v>2341</v>
      </c>
      <c r="H353" s="1" t="s">
        <v>2260</v>
      </c>
      <c r="I353" s="1" t="s">
        <v>2256</v>
      </c>
      <c r="J353" s="1" t="s">
        <v>2627</v>
      </c>
      <c r="M353" s="38"/>
      <c r="N353" s="38"/>
      <c r="O353" s="38"/>
      <c r="P353" s="38"/>
      <c r="Q353" s="38"/>
      <c r="R353" s="38"/>
      <c r="S353" s="38"/>
      <c r="T353" s="38"/>
      <c r="U353" s="38"/>
      <c r="V353" s="38"/>
      <c r="W353" s="38"/>
      <c r="X353" s="38"/>
      <c r="Y353" s="38"/>
      <c r="Z353" s="38"/>
    </row>
    <row r="354" spans="1:26" ht="15.75" customHeight="1" x14ac:dyDescent="0.2">
      <c r="A354" s="8" t="s">
        <v>766</v>
      </c>
      <c r="B354" s="1">
        <v>41.150627999999998</v>
      </c>
      <c r="C354" s="1" t="s">
        <v>1523</v>
      </c>
      <c r="D354" s="1" t="s">
        <v>1578</v>
      </c>
      <c r="E354" s="1" t="s">
        <v>2280</v>
      </c>
      <c r="F354" s="1" t="s">
        <v>1528</v>
      </c>
      <c r="G354" s="1" t="s">
        <v>2259</v>
      </c>
      <c r="H354" s="1" t="s">
        <v>2255</v>
      </c>
      <c r="I354" s="1" t="s">
        <v>2256</v>
      </c>
      <c r="J354" s="1" t="s">
        <v>2628</v>
      </c>
      <c r="M354" s="38"/>
      <c r="N354" s="38"/>
      <c r="O354" s="38"/>
      <c r="P354" s="38"/>
      <c r="Q354" s="38"/>
      <c r="R354" s="38"/>
      <c r="S354" s="38"/>
      <c r="T354" s="38"/>
      <c r="U354" s="38"/>
      <c r="V354" s="38"/>
      <c r="W354" s="38"/>
      <c r="X354" s="38"/>
      <c r="Y354" s="38"/>
      <c r="Z354" s="38"/>
    </row>
    <row r="355" spans="1:26" ht="15.75" customHeight="1" x14ac:dyDescent="0.2">
      <c r="A355" s="8" t="s">
        <v>766</v>
      </c>
      <c r="B355" s="1">
        <v>41.150627999999998</v>
      </c>
      <c r="C355" s="1" t="s">
        <v>1523</v>
      </c>
      <c r="D355" s="1" t="s">
        <v>1578</v>
      </c>
      <c r="E355" s="1" t="s">
        <v>2280</v>
      </c>
      <c r="F355" s="1" t="s">
        <v>1528</v>
      </c>
      <c r="G355" s="1" t="s">
        <v>2299</v>
      </c>
      <c r="H355" s="1" t="s">
        <v>2260</v>
      </c>
      <c r="I355" s="1" t="s">
        <v>2285</v>
      </c>
      <c r="J355" s="1" t="s">
        <v>2629</v>
      </c>
      <c r="M355" s="38"/>
      <c r="N355" s="38"/>
      <c r="O355" s="38"/>
      <c r="P355" s="38"/>
      <c r="Q355" s="38"/>
      <c r="R355" s="38"/>
      <c r="S355" s="38"/>
      <c r="T355" s="38"/>
      <c r="U355" s="38"/>
      <c r="V355" s="38"/>
      <c r="W355" s="38"/>
      <c r="X355" s="38"/>
      <c r="Y355" s="38"/>
      <c r="Z355" s="38"/>
    </row>
    <row r="356" spans="1:26" ht="15.75" customHeight="1" x14ac:dyDescent="0.2">
      <c r="A356" s="8" t="s">
        <v>766</v>
      </c>
      <c r="B356" s="1">
        <v>41.150627999999998</v>
      </c>
      <c r="C356" s="1" t="s">
        <v>1523</v>
      </c>
      <c r="D356" s="1" t="s">
        <v>1578</v>
      </c>
      <c r="E356" s="1" t="s">
        <v>2280</v>
      </c>
      <c r="F356" s="1" t="s">
        <v>1528</v>
      </c>
      <c r="G356" s="1" t="s">
        <v>2262</v>
      </c>
      <c r="H356" s="1" t="s">
        <v>2260</v>
      </c>
      <c r="I356" s="1" t="s">
        <v>2256</v>
      </c>
      <c r="J356" s="1" t="s">
        <v>2630</v>
      </c>
      <c r="M356" s="38"/>
      <c r="N356" s="38"/>
      <c r="O356" s="38"/>
      <c r="P356" s="38"/>
      <c r="Q356" s="38"/>
      <c r="R356" s="38"/>
      <c r="S356" s="38"/>
      <c r="T356" s="38"/>
      <c r="U356" s="38"/>
      <c r="V356" s="38"/>
      <c r="W356" s="38"/>
      <c r="X356" s="38"/>
      <c r="Y356" s="38"/>
      <c r="Z356" s="38"/>
    </row>
    <row r="357" spans="1:26" ht="15.75" customHeight="1" x14ac:dyDescent="0.2">
      <c r="A357" s="8" t="s">
        <v>885</v>
      </c>
      <c r="B357" s="1">
        <v>42.024135000000001</v>
      </c>
      <c r="C357" s="1" t="s">
        <v>1523</v>
      </c>
      <c r="D357" s="1" t="s">
        <v>1524</v>
      </c>
      <c r="E357" s="1" t="s">
        <v>2280</v>
      </c>
      <c r="F357" s="1" t="s">
        <v>1528</v>
      </c>
      <c r="G357" s="1" t="s">
        <v>2287</v>
      </c>
      <c r="H357" s="1" t="s">
        <v>2255</v>
      </c>
      <c r="I357" s="1" t="s">
        <v>2256</v>
      </c>
      <c r="J357" s="1" t="s">
        <v>2631</v>
      </c>
      <c r="M357" s="38"/>
      <c r="N357" s="38"/>
      <c r="O357" s="38"/>
      <c r="P357" s="38"/>
      <c r="Q357" s="38"/>
      <c r="R357" s="38"/>
      <c r="S357" s="38"/>
      <c r="T357" s="38"/>
      <c r="U357" s="38"/>
      <c r="V357" s="38"/>
      <c r="W357" s="38"/>
      <c r="X357" s="38"/>
      <c r="Y357" s="38"/>
      <c r="Z357" s="38"/>
    </row>
    <row r="358" spans="1:26" ht="15.75" customHeight="1" x14ac:dyDescent="0.2">
      <c r="A358" s="8" t="s">
        <v>885</v>
      </c>
      <c r="B358" s="1">
        <v>42.024135000000001</v>
      </c>
      <c r="C358" s="1" t="s">
        <v>1523</v>
      </c>
      <c r="D358" s="1" t="s">
        <v>1524</v>
      </c>
      <c r="E358" s="1" t="s">
        <v>2280</v>
      </c>
      <c r="F358" s="1" t="s">
        <v>1528</v>
      </c>
      <c r="G358" s="1" t="s">
        <v>2273</v>
      </c>
      <c r="H358" s="1" t="s">
        <v>2255</v>
      </c>
      <c r="I358" s="1" t="s">
        <v>2274</v>
      </c>
      <c r="J358" s="1" t="s">
        <v>2594</v>
      </c>
      <c r="M358" s="38"/>
      <c r="N358" s="38"/>
      <c r="O358" s="38"/>
      <c r="P358" s="38"/>
      <c r="Q358" s="38"/>
      <c r="R358" s="38"/>
      <c r="S358" s="38"/>
      <c r="T358" s="38"/>
      <c r="U358" s="38"/>
      <c r="V358" s="38"/>
      <c r="W358" s="38"/>
      <c r="X358" s="38"/>
      <c r="Y358" s="38"/>
      <c r="Z358" s="38"/>
    </row>
    <row r="359" spans="1:26" ht="15.75" customHeight="1" x14ac:dyDescent="0.2">
      <c r="A359" s="8" t="s">
        <v>885</v>
      </c>
      <c r="B359" s="1">
        <v>42.024135000000001</v>
      </c>
      <c r="C359" s="1" t="s">
        <v>1523</v>
      </c>
      <c r="D359" s="1" t="s">
        <v>1524</v>
      </c>
      <c r="E359" s="1" t="s">
        <v>2280</v>
      </c>
      <c r="F359" s="1" t="s">
        <v>1528</v>
      </c>
      <c r="G359" s="1" t="s">
        <v>2266</v>
      </c>
      <c r="H359" s="1" t="s">
        <v>2255</v>
      </c>
      <c r="I359" s="1" t="s">
        <v>2256</v>
      </c>
      <c r="J359" s="1" t="s">
        <v>2617</v>
      </c>
      <c r="M359" s="38"/>
      <c r="N359" s="38"/>
      <c r="O359" s="38"/>
      <c r="P359" s="38"/>
      <c r="Q359" s="38"/>
      <c r="R359" s="38"/>
      <c r="S359" s="38"/>
      <c r="T359" s="38"/>
      <c r="U359" s="38"/>
      <c r="V359" s="38"/>
      <c r="W359" s="38"/>
      <c r="X359" s="38"/>
      <c r="Y359" s="38"/>
      <c r="Z359" s="38"/>
    </row>
    <row r="360" spans="1:26" ht="15.75" customHeight="1" x14ac:dyDescent="0.2">
      <c r="A360" s="8" t="s">
        <v>885</v>
      </c>
      <c r="B360" s="1">
        <v>42.024135000000001</v>
      </c>
      <c r="C360" s="1" t="s">
        <v>1523</v>
      </c>
      <c r="D360" s="1" t="s">
        <v>1524</v>
      </c>
      <c r="E360" s="1" t="s">
        <v>2280</v>
      </c>
      <c r="F360" s="1" t="s">
        <v>1528</v>
      </c>
      <c r="G360" s="1" t="s">
        <v>2302</v>
      </c>
      <c r="H360" s="1" t="s">
        <v>2255</v>
      </c>
      <c r="I360" s="1" t="s">
        <v>2285</v>
      </c>
      <c r="J360" s="1" t="s">
        <v>2556</v>
      </c>
      <c r="M360" s="38"/>
      <c r="N360" s="38"/>
      <c r="O360" s="38"/>
      <c r="P360" s="38"/>
      <c r="Q360" s="38"/>
      <c r="R360" s="38"/>
      <c r="S360" s="38"/>
      <c r="T360" s="38"/>
      <c r="U360" s="38"/>
      <c r="V360" s="38"/>
      <c r="W360" s="38"/>
      <c r="X360" s="38"/>
      <c r="Y360" s="38"/>
      <c r="Z360" s="38"/>
    </row>
    <row r="361" spans="1:26" ht="15.75" customHeight="1" x14ac:dyDescent="0.2">
      <c r="A361" s="8" t="s">
        <v>885</v>
      </c>
      <c r="B361" s="1">
        <v>42.024135000000001</v>
      </c>
      <c r="C361" s="1" t="s">
        <v>1523</v>
      </c>
      <c r="D361" s="1" t="s">
        <v>1524</v>
      </c>
      <c r="E361" s="1" t="s">
        <v>2280</v>
      </c>
      <c r="F361" s="1" t="s">
        <v>1528</v>
      </c>
      <c r="G361" s="1" t="s">
        <v>2557</v>
      </c>
      <c r="H361" s="1" t="s">
        <v>2255</v>
      </c>
      <c r="I361" s="1" t="s">
        <v>2285</v>
      </c>
      <c r="J361" s="1" t="s">
        <v>2622</v>
      </c>
      <c r="M361" s="38"/>
      <c r="N361" s="38"/>
      <c r="O361" s="38"/>
      <c r="P361" s="38"/>
      <c r="Q361" s="38"/>
      <c r="R361" s="38"/>
      <c r="S361" s="38"/>
      <c r="T361" s="38"/>
      <c r="U361" s="38"/>
      <c r="V361" s="38"/>
      <c r="W361" s="38"/>
      <c r="X361" s="38"/>
      <c r="Y361" s="38"/>
      <c r="Z361" s="38"/>
    </row>
    <row r="362" spans="1:26" ht="15.75" customHeight="1" x14ac:dyDescent="0.2">
      <c r="A362" s="8" t="s">
        <v>772</v>
      </c>
      <c r="B362" s="1">
        <v>42.555289000000002</v>
      </c>
      <c r="C362" s="1" t="s">
        <v>1523</v>
      </c>
      <c r="D362" s="1" t="s">
        <v>1524</v>
      </c>
      <c r="E362" s="1" t="s">
        <v>2280</v>
      </c>
      <c r="F362" s="1" t="s">
        <v>1601</v>
      </c>
      <c r="G362" s="1" t="s">
        <v>2254</v>
      </c>
      <c r="H362" s="1" t="s">
        <v>2255</v>
      </c>
      <c r="I362" s="1" t="s">
        <v>2256</v>
      </c>
      <c r="J362" s="1" t="s">
        <v>2578</v>
      </c>
      <c r="M362" s="38"/>
      <c r="N362" s="38"/>
      <c r="O362" s="38"/>
      <c r="P362" s="38"/>
      <c r="Q362" s="38"/>
      <c r="R362" s="38"/>
      <c r="S362" s="38"/>
      <c r="T362" s="38"/>
      <c r="U362" s="38"/>
      <c r="V362" s="38"/>
      <c r="W362" s="38"/>
      <c r="X362" s="38"/>
      <c r="Y362" s="38"/>
      <c r="Z362" s="38"/>
    </row>
    <row r="363" spans="1:26" ht="15.75" customHeight="1" x14ac:dyDescent="0.2">
      <c r="A363" s="8" t="s">
        <v>772</v>
      </c>
      <c r="B363" s="1">
        <v>42.555289000000002</v>
      </c>
      <c r="C363" s="1" t="s">
        <v>1523</v>
      </c>
      <c r="D363" s="1" t="s">
        <v>1524</v>
      </c>
      <c r="E363" s="1" t="s">
        <v>2280</v>
      </c>
      <c r="F363" s="1" t="s">
        <v>1601</v>
      </c>
      <c r="G363" s="1" t="s">
        <v>2266</v>
      </c>
      <c r="H363" s="1" t="s">
        <v>2255</v>
      </c>
      <c r="I363" s="1" t="s">
        <v>2256</v>
      </c>
      <c r="J363" s="1" t="s">
        <v>2632</v>
      </c>
      <c r="M363" s="38"/>
      <c r="N363" s="38"/>
      <c r="O363" s="38"/>
      <c r="P363" s="38"/>
      <c r="Q363" s="38"/>
      <c r="R363" s="38"/>
      <c r="S363" s="38"/>
      <c r="T363" s="38"/>
      <c r="U363" s="38"/>
      <c r="V363" s="38"/>
      <c r="W363" s="38"/>
      <c r="X363" s="38"/>
      <c r="Y363" s="38"/>
      <c r="Z363" s="38"/>
    </row>
    <row r="364" spans="1:26" ht="15.75" customHeight="1" x14ac:dyDescent="0.2">
      <c r="A364" s="8" t="s">
        <v>772</v>
      </c>
      <c r="B364" s="1">
        <v>42.555289000000002</v>
      </c>
      <c r="C364" s="1" t="s">
        <v>1523</v>
      </c>
      <c r="D364" s="1" t="s">
        <v>1524</v>
      </c>
      <c r="E364" s="1" t="s">
        <v>2280</v>
      </c>
      <c r="F364" s="1" t="s">
        <v>1601</v>
      </c>
      <c r="G364" s="1" t="s">
        <v>2392</v>
      </c>
      <c r="H364" s="1" t="s">
        <v>2260</v>
      </c>
      <c r="I364" s="1" t="s">
        <v>2256</v>
      </c>
      <c r="J364" s="1" t="s">
        <v>2633</v>
      </c>
      <c r="M364" s="38"/>
      <c r="N364" s="38"/>
      <c r="O364" s="38"/>
      <c r="P364" s="38"/>
      <c r="Q364" s="38"/>
      <c r="R364" s="38"/>
      <c r="S364" s="38"/>
      <c r="T364" s="38"/>
      <c r="U364" s="38"/>
      <c r="V364" s="38"/>
      <c r="W364" s="38"/>
      <c r="X364" s="38"/>
      <c r="Y364" s="38"/>
      <c r="Z364" s="38"/>
    </row>
    <row r="365" spans="1:26" ht="15.75" customHeight="1" x14ac:dyDescent="0.2">
      <c r="A365" s="8" t="s">
        <v>772</v>
      </c>
      <c r="B365" s="1">
        <v>42.555289000000002</v>
      </c>
      <c r="C365" s="1" t="s">
        <v>1523</v>
      </c>
      <c r="D365" s="1" t="s">
        <v>1524</v>
      </c>
      <c r="E365" s="1" t="s">
        <v>2280</v>
      </c>
      <c r="F365" s="1" t="s">
        <v>1601</v>
      </c>
      <c r="G365" s="1" t="s">
        <v>2416</v>
      </c>
      <c r="H365" s="1" t="s">
        <v>2263</v>
      </c>
      <c r="I365" s="1" t="s">
        <v>2256</v>
      </c>
      <c r="J365" s="1" t="s">
        <v>2634</v>
      </c>
      <c r="M365" s="38"/>
      <c r="N365" s="38"/>
      <c r="O365" s="38"/>
      <c r="P365" s="38"/>
      <c r="Q365" s="38"/>
      <c r="R365" s="38"/>
      <c r="S365" s="38"/>
      <c r="T365" s="38"/>
      <c r="U365" s="38"/>
      <c r="V365" s="38"/>
      <c r="W365" s="38"/>
      <c r="X365" s="38"/>
      <c r="Y365" s="38"/>
      <c r="Z365" s="38"/>
    </row>
    <row r="366" spans="1:26" ht="15.75" customHeight="1" x14ac:dyDescent="0.2">
      <c r="A366" s="8" t="s">
        <v>772</v>
      </c>
      <c r="B366" s="1">
        <v>42.555289000000002</v>
      </c>
      <c r="C366" s="1" t="s">
        <v>1523</v>
      </c>
      <c r="D366" s="1" t="s">
        <v>1524</v>
      </c>
      <c r="E366" s="1" t="s">
        <v>2280</v>
      </c>
      <c r="F366" s="1" t="s">
        <v>1601</v>
      </c>
      <c r="G366" s="1" t="s">
        <v>2397</v>
      </c>
      <c r="H366" s="1" t="s">
        <v>2263</v>
      </c>
      <c r="I366" s="1" t="s">
        <v>2256</v>
      </c>
      <c r="J366" s="1" t="s">
        <v>2635</v>
      </c>
      <c r="M366" s="38"/>
      <c r="N366" s="38"/>
      <c r="O366" s="38"/>
      <c r="P366" s="38"/>
      <c r="Q366" s="38"/>
      <c r="R366" s="38"/>
      <c r="S366" s="38"/>
      <c r="T366" s="38"/>
      <c r="U366" s="38"/>
      <c r="V366" s="38"/>
      <c r="W366" s="38"/>
      <c r="X366" s="38"/>
      <c r="Y366" s="38"/>
      <c r="Z366" s="38"/>
    </row>
    <row r="367" spans="1:26" ht="15.75" customHeight="1" x14ac:dyDescent="0.2">
      <c r="A367" s="8" t="s">
        <v>888</v>
      </c>
      <c r="B367" s="1">
        <v>37.350413000000003</v>
      </c>
      <c r="C367" s="1" t="s">
        <v>1587</v>
      </c>
      <c r="D367" s="1" t="s">
        <v>1524</v>
      </c>
      <c r="E367" s="1" t="s">
        <v>2253</v>
      </c>
      <c r="F367" s="1" t="s">
        <v>1528</v>
      </c>
      <c r="G367" s="1" t="s">
        <v>2273</v>
      </c>
      <c r="H367" s="1" t="s">
        <v>2255</v>
      </c>
      <c r="I367" s="1" t="s">
        <v>2285</v>
      </c>
      <c r="J367" s="1" t="s">
        <v>2636</v>
      </c>
      <c r="M367" s="38"/>
      <c r="N367" s="38"/>
      <c r="O367" s="38"/>
      <c r="P367" s="38"/>
      <c r="Q367" s="38"/>
      <c r="R367" s="38"/>
      <c r="S367" s="38"/>
      <c r="T367" s="38"/>
      <c r="U367" s="38"/>
      <c r="V367" s="38"/>
      <c r="W367" s="38"/>
      <c r="X367" s="38"/>
      <c r="Y367" s="38"/>
      <c r="Z367" s="38"/>
    </row>
    <row r="368" spans="1:26" ht="15.75" customHeight="1" x14ac:dyDescent="0.2">
      <c r="A368" s="8" t="s">
        <v>888</v>
      </c>
      <c r="B368" s="1">
        <v>37.350413000000003</v>
      </c>
      <c r="C368" s="1" t="s">
        <v>1587</v>
      </c>
      <c r="D368" s="1" t="s">
        <v>1524</v>
      </c>
      <c r="E368" s="1" t="s">
        <v>2253</v>
      </c>
      <c r="F368" s="1" t="s">
        <v>1528</v>
      </c>
      <c r="G368" s="1" t="s">
        <v>2266</v>
      </c>
      <c r="H368" s="1" t="s">
        <v>2255</v>
      </c>
      <c r="I368" s="1" t="s">
        <v>2256</v>
      </c>
      <c r="J368" s="1" t="s">
        <v>2617</v>
      </c>
      <c r="M368" s="38"/>
      <c r="N368" s="38"/>
      <c r="O368" s="38"/>
      <c r="P368" s="38"/>
      <c r="Q368" s="38"/>
      <c r="R368" s="38"/>
      <c r="S368" s="38"/>
      <c r="T368" s="38"/>
      <c r="U368" s="38"/>
      <c r="V368" s="38"/>
      <c r="W368" s="38"/>
      <c r="X368" s="38"/>
      <c r="Y368" s="38"/>
      <c r="Z368" s="38"/>
    </row>
    <row r="369" spans="1:26" ht="15.75" customHeight="1" x14ac:dyDescent="0.2">
      <c r="A369" s="8" t="s">
        <v>888</v>
      </c>
      <c r="B369" s="1">
        <v>37.350413000000003</v>
      </c>
      <c r="C369" s="1" t="s">
        <v>1587</v>
      </c>
      <c r="D369" s="1" t="s">
        <v>1524</v>
      </c>
      <c r="E369" s="1" t="s">
        <v>2253</v>
      </c>
      <c r="F369" s="1" t="s">
        <v>1528</v>
      </c>
      <c r="G369" s="1" t="s">
        <v>1363</v>
      </c>
      <c r="H369" s="1" t="s">
        <v>2260</v>
      </c>
      <c r="I369" s="1" t="s">
        <v>2256</v>
      </c>
      <c r="J369" s="1" t="s">
        <v>2637</v>
      </c>
      <c r="M369" s="38"/>
      <c r="N369" s="38"/>
      <c r="O369" s="38"/>
      <c r="P369" s="38"/>
      <c r="Q369" s="38"/>
      <c r="R369" s="38"/>
      <c r="S369" s="38"/>
      <c r="T369" s="38"/>
      <c r="U369" s="38"/>
      <c r="V369" s="38"/>
      <c r="W369" s="38"/>
      <c r="X369" s="38"/>
      <c r="Y369" s="38"/>
      <c r="Z369" s="38"/>
    </row>
    <row r="370" spans="1:26" ht="15.75" customHeight="1" x14ac:dyDescent="0.2">
      <c r="A370" s="8" t="s">
        <v>782</v>
      </c>
      <c r="B370" s="1">
        <v>34.672854000000001</v>
      </c>
      <c r="C370" s="1" t="s">
        <v>1587</v>
      </c>
      <c r="D370" s="1" t="s">
        <v>1578</v>
      </c>
      <c r="E370" s="1" t="s">
        <v>2280</v>
      </c>
      <c r="F370" s="1" t="s">
        <v>1560</v>
      </c>
      <c r="G370" s="1" t="s">
        <v>2302</v>
      </c>
      <c r="H370" s="1" t="s">
        <v>2255</v>
      </c>
      <c r="I370" s="1" t="s">
        <v>2285</v>
      </c>
      <c r="J370" s="1" t="s">
        <v>2638</v>
      </c>
      <c r="M370" s="38"/>
      <c r="N370" s="38"/>
      <c r="O370" s="38"/>
      <c r="P370" s="38"/>
      <c r="Q370" s="38"/>
      <c r="R370" s="38"/>
      <c r="S370" s="38"/>
      <c r="T370" s="38"/>
      <c r="U370" s="38"/>
      <c r="V370" s="38"/>
      <c r="W370" s="38"/>
      <c r="X370" s="38"/>
      <c r="Y370" s="38"/>
      <c r="Z370" s="38"/>
    </row>
    <row r="371" spans="1:26" ht="15.75" customHeight="1" x14ac:dyDescent="0.2">
      <c r="A371" s="8" t="s">
        <v>782</v>
      </c>
      <c r="B371" s="1">
        <v>34.672854000000001</v>
      </c>
      <c r="C371" s="1" t="s">
        <v>1587</v>
      </c>
      <c r="D371" s="1" t="s">
        <v>1578</v>
      </c>
      <c r="E371" s="1" t="s">
        <v>2280</v>
      </c>
      <c r="F371" s="1" t="s">
        <v>1560</v>
      </c>
      <c r="G371" s="1" t="s">
        <v>2557</v>
      </c>
      <c r="H371" s="1" t="s">
        <v>2255</v>
      </c>
      <c r="I371" s="1" t="s">
        <v>2285</v>
      </c>
      <c r="J371" s="1" t="s">
        <v>2639</v>
      </c>
      <c r="M371" s="38"/>
      <c r="N371" s="38"/>
      <c r="O371" s="38"/>
      <c r="P371" s="38"/>
      <c r="Q371" s="38"/>
      <c r="R371" s="38"/>
      <c r="S371" s="38"/>
      <c r="T371" s="38"/>
      <c r="U371" s="38"/>
      <c r="V371" s="38"/>
      <c r="W371" s="38"/>
      <c r="X371" s="38"/>
      <c r="Y371" s="38"/>
      <c r="Z371" s="38"/>
    </row>
    <row r="372" spans="1:26" ht="15.75" customHeight="1" x14ac:dyDescent="0.2">
      <c r="A372" s="8" t="s">
        <v>782</v>
      </c>
      <c r="B372" s="1">
        <v>34.672854000000001</v>
      </c>
      <c r="C372" s="1" t="s">
        <v>1587</v>
      </c>
      <c r="D372" s="1" t="s">
        <v>1578</v>
      </c>
      <c r="E372" s="1" t="s">
        <v>2280</v>
      </c>
      <c r="F372" s="1" t="s">
        <v>1560</v>
      </c>
      <c r="G372" s="1" t="s">
        <v>2254</v>
      </c>
      <c r="H372" s="1" t="s">
        <v>2255</v>
      </c>
      <c r="I372" s="1" t="s">
        <v>2256</v>
      </c>
      <c r="J372" s="1" t="s">
        <v>2582</v>
      </c>
      <c r="M372" s="38"/>
      <c r="N372" s="38"/>
      <c r="O372" s="38"/>
      <c r="P372" s="38"/>
      <c r="Q372" s="38"/>
      <c r="R372" s="38"/>
      <c r="S372" s="38"/>
      <c r="T372" s="38"/>
      <c r="U372" s="38"/>
      <c r="V372" s="38"/>
      <c r="W372" s="38"/>
      <c r="X372" s="38"/>
      <c r="Y372" s="38"/>
      <c r="Z372" s="38"/>
    </row>
    <row r="373" spans="1:26" ht="15.75" customHeight="1" x14ac:dyDescent="0.2">
      <c r="A373" s="8" t="s">
        <v>782</v>
      </c>
      <c r="B373" s="1">
        <v>34.672854000000001</v>
      </c>
      <c r="C373" s="1" t="s">
        <v>1587</v>
      </c>
      <c r="D373" s="1" t="s">
        <v>1578</v>
      </c>
      <c r="E373" s="1" t="s">
        <v>2280</v>
      </c>
      <c r="F373" s="1" t="s">
        <v>1560</v>
      </c>
      <c r="G373" s="1" t="s">
        <v>2392</v>
      </c>
      <c r="H373" s="1" t="s">
        <v>2255</v>
      </c>
      <c r="I373" s="1" t="s">
        <v>2256</v>
      </c>
      <c r="J373" s="1" t="s">
        <v>2640</v>
      </c>
      <c r="M373" s="38"/>
      <c r="N373" s="38"/>
      <c r="O373" s="38"/>
      <c r="P373" s="38"/>
      <c r="Q373" s="38"/>
      <c r="R373" s="38"/>
      <c r="S373" s="38"/>
      <c r="T373" s="38"/>
      <c r="U373" s="38"/>
      <c r="V373" s="38"/>
      <c r="W373" s="38"/>
      <c r="X373" s="38"/>
      <c r="Y373" s="38"/>
      <c r="Z373" s="38"/>
    </row>
    <row r="374" spans="1:26" ht="15.75" customHeight="1" x14ac:dyDescent="0.2">
      <c r="A374" s="8" t="s">
        <v>782</v>
      </c>
      <c r="B374" s="1">
        <v>34.672854000000001</v>
      </c>
      <c r="C374" s="1" t="s">
        <v>1587</v>
      </c>
      <c r="D374" s="1" t="s">
        <v>1578</v>
      </c>
      <c r="E374" s="1" t="s">
        <v>2280</v>
      </c>
      <c r="F374" s="1" t="s">
        <v>1560</v>
      </c>
      <c r="G374" s="1" t="s">
        <v>2287</v>
      </c>
      <c r="H374" s="1" t="s">
        <v>2255</v>
      </c>
      <c r="I374" s="1" t="s">
        <v>2256</v>
      </c>
      <c r="J374" s="1" t="s">
        <v>2641</v>
      </c>
      <c r="M374" s="38"/>
      <c r="N374" s="38"/>
      <c r="O374" s="38"/>
      <c r="P374" s="38"/>
      <c r="Q374" s="38"/>
      <c r="R374" s="38"/>
      <c r="S374" s="38"/>
      <c r="T374" s="38"/>
      <c r="U374" s="38"/>
      <c r="V374" s="38"/>
      <c r="W374" s="38"/>
      <c r="X374" s="38"/>
      <c r="Y374" s="38"/>
      <c r="Z374" s="38"/>
    </row>
    <row r="375" spans="1:26" ht="15.75" customHeight="1" x14ac:dyDescent="0.2">
      <c r="A375" s="8" t="s">
        <v>782</v>
      </c>
      <c r="B375" s="1">
        <v>34.672854000000001</v>
      </c>
      <c r="C375" s="1" t="s">
        <v>1587</v>
      </c>
      <c r="D375" s="1" t="s">
        <v>1578</v>
      </c>
      <c r="E375" s="1" t="s">
        <v>2280</v>
      </c>
      <c r="F375" s="1" t="s">
        <v>1560</v>
      </c>
      <c r="G375" s="1" t="s">
        <v>2341</v>
      </c>
      <c r="H375" s="1" t="s">
        <v>2260</v>
      </c>
      <c r="I375" s="1" t="s">
        <v>2256</v>
      </c>
      <c r="J375" s="1" t="s">
        <v>2642</v>
      </c>
      <c r="M375" s="38"/>
      <c r="N375" s="38"/>
      <c r="O375" s="38"/>
      <c r="P375" s="38"/>
      <c r="Q375" s="38"/>
      <c r="R375" s="38"/>
      <c r="S375" s="38"/>
      <c r="T375" s="38"/>
      <c r="U375" s="38"/>
      <c r="V375" s="38"/>
      <c r="W375" s="38"/>
      <c r="X375" s="38"/>
      <c r="Y375" s="38"/>
      <c r="Z375" s="38"/>
    </row>
    <row r="376" spans="1:26" ht="15.75" customHeight="1" x14ac:dyDescent="0.2">
      <c r="A376" s="8" t="s">
        <v>782</v>
      </c>
      <c r="B376" s="1">
        <v>34.672854000000001</v>
      </c>
      <c r="C376" s="1" t="s">
        <v>1587</v>
      </c>
      <c r="D376" s="1" t="s">
        <v>1578</v>
      </c>
      <c r="E376" s="1" t="s">
        <v>2280</v>
      </c>
      <c r="F376" s="1" t="s">
        <v>1560</v>
      </c>
      <c r="G376" s="1" t="s">
        <v>2418</v>
      </c>
      <c r="H376" s="1" t="s">
        <v>2260</v>
      </c>
      <c r="I376" s="1" t="s">
        <v>2256</v>
      </c>
      <c r="J376" s="1" t="s">
        <v>2643</v>
      </c>
      <c r="M376" s="38"/>
      <c r="N376" s="38"/>
      <c r="O376" s="38"/>
      <c r="P376" s="38"/>
      <c r="Q376" s="38"/>
      <c r="R376" s="38"/>
      <c r="S376" s="38"/>
      <c r="T376" s="38"/>
      <c r="U376" s="38"/>
      <c r="V376" s="38"/>
      <c r="W376" s="38"/>
      <c r="X376" s="38"/>
      <c r="Y376" s="38"/>
      <c r="Z376" s="38"/>
    </row>
    <row r="377" spans="1:26" ht="15.75" customHeight="1" x14ac:dyDescent="0.2">
      <c r="A377" s="8" t="s">
        <v>782</v>
      </c>
      <c r="B377" s="1">
        <v>34.672854000000001</v>
      </c>
      <c r="C377" s="1" t="s">
        <v>1587</v>
      </c>
      <c r="D377" s="1" t="s">
        <v>1578</v>
      </c>
      <c r="E377" s="1" t="s">
        <v>2280</v>
      </c>
      <c r="F377" s="1" t="s">
        <v>1560</v>
      </c>
      <c r="G377" s="1" t="s">
        <v>2299</v>
      </c>
      <c r="H377" s="1" t="s">
        <v>2260</v>
      </c>
      <c r="I377" s="1" t="s">
        <v>2285</v>
      </c>
      <c r="J377" s="1" t="s">
        <v>2644</v>
      </c>
      <c r="M377" s="38"/>
      <c r="N377" s="38"/>
      <c r="O377" s="38"/>
      <c r="P377" s="38"/>
      <c r="Q377" s="38"/>
      <c r="R377" s="38"/>
      <c r="S377" s="38"/>
      <c r="T377" s="38"/>
      <c r="U377" s="38"/>
      <c r="V377" s="38"/>
      <c r="W377" s="38"/>
      <c r="X377" s="38"/>
      <c r="Y377" s="38"/>
      <c r="Z377" s="38"/>
    </row>
    <row r="378" spans="1:26" ht="15.75" customHeight="1" x14ac:dyDescent="0.2">
      <c r="A378" s="8" t="s">
        <v>782</v>
      </c>
      <c r="B378" s="1">
        <v>34.672854000000001</v>
      </c>
      <c r="C378" s="1" t="s">
        <v>1587</v>
      </c>
      <c r="D378" s="1" t="s">
        <v>1578</v>
      </c>
      <c r="E378" s="1" t="s">
        <v>2280</v>
      </c>
      <c r="F378" s="1" t="s">
        <v>1560</v>
      </c>
      <c r="G378" s="1" t="s">
        <v>2271</v>
      </c>
      <c r="H378" s="1" t="s">
        <v>2260</v>
      </c>
      <c r="I378" s="1" t="s">
        <v>2256</v>
      </c>
      <c r="J378" s="1" t="s">
        <v>2645</v>
      </c>
      <c r="M378" s="38"/>
      <c r="N378" s="38"/>
      <c r="O378" s="38"/>
      <c r="P378" s="38"/>
      <c r="Q378" s="38"/>
      <c r="R378" s="38"/>
      <c r="S378" s="38"/>
      <c r="T378" s="38"/>
      <c r="U378" s="38"/>
      <c r="V378" s="38"/>
      <c r="W378" s="38"/>
      <c r="X378" s="38"/>
      <c r="Y378" s="38"/>
      <c r="Z378" s="38"/>
    </row>
    <row r="379" spans="1:26" ht="15.75" customHeight="1" x14ac:dyDescent="0.2">
      <c r="A379" s="8" t="s">
        <v>782</v>
      </c>
      <c r="B379" s="1">
        <v>34.672854000000001</v>
      </c>
      <c r="C379" s="1" t="s">
        <v>1587</v>
      </c>
      <c r="D379" s="1" t="s">
        <v>1578</v>
      </c>
      <c r="E379" s="1" t="s">
        <v>2280</v>
      </c>
      <c r="F379" s="1" t="s">
        <v>1560</v>
      </c>
      <c r="G379" s="1" t="s">
        <v>2262</v>
      </c>
      <c r="H379" s="1" t="s">
        <v>2260</v>
      </c>
      <c r="I379" s="1" t="s">
        <v>2256</v>
      </c>
      <c r="J379" s="1" t="s">
        <v>2646</v>
      </c>
      <c r="M379" s="38"/>
      <c r="N379" s="38"/>
      <c r="O379" s="38"/>
      <c r="P379" s="38"/>
      <c r="Q379" s="38"/>
      <c r="R379" s="38"/>
      <c r="S379" s="38"/>
      <c r="T379" s="38"/>
      <c r="U379" s="38"/>
      <c r="V379" s="38"/>
      <c r="W379" s="38"/>
      <c r="X379" s="38"/>
      <c r="Y379" s="38"/>
      <c r="Z379" s="38"/>
    </row>
    <row r="380" spans="1:26" ht="15.75" customHeight="1" x14ac:dyDescent="0.2">
      <c r="A380" s="8" t="s">
        <v>782</v>
      </c>
      <c r="B380" s="1">
        <v>34.672854000000001</v>
      </c>
      <c r="C380" s="1" t="s">
        <v>1587</v>
      </c>
      <c r="D380" s="1" t="s">
        <v>1578</v>
      </c>
      <c r="E380" s="1" t="s">
        <v>2280</v>
      </c>
      <c r="F380" s="1" t="s">
        <v>1560</v>
      </c>
      <c r="G380" s="1" t="s">
        <v>2416</v>
      </c>
      <c r="H380" s="1" t="s">
        <v>2263</v>
      </c>
      <c r="I380" s="1" t="s">
        <v>2256</v>
      </c>
      <c r="J380" s="1" t="s">
        <v>2647</v>
      </c>
      <c r="M380" s="38"/>
      <c r="N380" s="38"/>
      <c r="O380" s="38"/>
      <c r="P380" s="38"/>
      <c r="Q380" s="38"/>
      <c r="R380" s="38"/>
      <c r="S380" s="38"/>
      <c r="T380" s="38"/>
      <c r="U380" s="38"/>
      <c r="V380" s="38"/>
      <c r="W380" s="38"/>
      <c r="X380" s="38"/>
      <c r="Y380" s="38"/>
      <c r="Z380" s="38"/>
    </row>
    <row r="381" spans="1:26" ht="15.75" customHeight="1" x14ac:dyDescent="0.2">
      <c r="A381" s="8" t="s">
        <v>782</v>
      </c>
      <c r="B381" s="1">
        <v>34.672854000000001</v>
      </c>
      <c r="C381" s="1" t="s">
        <v>1587</v>
      </c>
      <c r="D381" s="1" t="s">
        <v>1578</v>
      </c>
      <c r="E381" s="1" t="s">
        <v>2280</v>
      </c>
      <c r="F381" s="1" t="s">
        <v>1560</v>
      </c>
      <c r="G381" s="1" t="s">
        <v>2287</v>
      </c>
      <c r="H381" s="1" t="s">
        <v>2263</v>
      </c>
      <c r="I381" s="1" t="s">
        <v>2256</v>
      </c>
      <c r="J381" s="1" t="s">
        <v>2648</v>
      </c>
      <c r="M381" s="38"/>
      <c r="N381" s="38"/>
      <c r="O381" s="38"/>
      <c r="P381" s="38"/>
      <c r="Q381" s="38"/>
      <c r="R381" s="38"/>
      <c r="S381" s="38"/>
      <c r="T381" s="38"/>
      <c r="U381" s="38"/>
      <c r="V381" s="38"/>
      <c r="W381" s="38"/>
      <c r="X381" s="38"/>
      <c r="Y381" s="38"/>
      <c r="Z381" s="38"/>
    </row>
    <row r="382" spans="1:26" ht="15.75" customHeight="1" x14ac:dyDescent="0.2">
      <c r="A382" s="8" t="s">
        <v>797</v>
      </c>
      <c r="B382" s="1">
        <v>43.483325000000001</v>
      </c>
      <c r="C382" s="1" t="s">
        <v>1587</v>
      </c>
      <c r="D382" s="1" t="s">
        <v>1524</v>
      </c>
      <c r="E382" s="1" t="s">
        <v>2280</v>
      </c>
      <c r="F382" s="1" t="s">
        <v>1583</v>
      </c>
      <c r="G382" s="1" t="s">
        <v>2259</v>
      </c>
      <c r="H382" s="1" t="s">
        <v>2263</v>
      </c>
      <c r="I382" s="1" t="s">
        <v>2256</v>
      </c>
      <c r="J382" s="1" t="s">
        <v>2649</v>
      </c>
      <c r="M382" s="38"/>
      <c r="N382" s="38"/>
      <c r="O382" s="38"/>
      <c r="P382" s="38"/>
      <c r="Q382" s="38"/>
      <c r="R382" s="38"/>
      <c r="S382" s="38"/>
      <c r="T382" s="38"/>
      <c r="U382" s="38"/>
      <c r="V382" s="38"/>
      <c r="W382" s="38"/>
      <c r="X382" s="38"/>
      <c r="Y382" s="38"/>
      <c r="Z382" s="38"/>
    </row>
    <row r="383" spans="1:26" ht="15.75" customHeight="1" x14ac:dyDescent="0.2">
      <c r="A383" s="8" t="s">
        <v>797</v>
      </c>
      <c r="B383" s="1">
        <v>43.483325000000001</v>
      </c>
      <c r="C383" s="1" t="s">
        <v>1587</v>
      </c>
      <c r="D383" s="1" t="s">
        <v>1524</v>
      </c>
      <c r="E383" s="1" t="s">
        <v>2280</v>
      </c>
      <c r="F383" s="1" t="s">
        <v>1583</v>
      </c>
      <c r="G383" s="1" t="s">
        <v>2431</v>
      </c>
      <c r="H383" s="1" t="s">
        <v>2263</v>
      </c>
      <c r="I383" s="1" t="s">
        <v>2256</v>
      </c>
      <c r="J383" s="1" t="s">
        <v>2650</v>
      </c>
      <c r="M383" s="38"/>
      <c r="N383" s="38"/>
      <c r="O383" s="38"/>
      <c r="P383" s="38"/>
      <c r="Q383" s="38"/>
      <c r="R383" s="38"/>
      <c r="S383" s="38"/>
      <c r="T383" s="38"/>
      <c r="U383" s="38"/>
      <c r="V383" s="38"/>
      <c r="W383" s="38"/>
      <c r="X383" s="38"/>
      <c r="Y383" s="38"/>
      <c r="Z383" s="38"/>
    </row>
    <row r="384" spans="1:26" ht="15.75" customHeight="1" x14ac:dyDescent="0.2">
      <c r="A384" s="8" t="s">
        <v>797</v>
      </c>
      <c r="B384" s="1">
        <v>43.483325000000001</v>
      </c>
      <c r="C384" s="1" t="s">
        <v>1587</v>
      </c>
      <c r="D384" s="1" t="s">
        <v>1524</v>
      </c>
      <c r="E384" s="1" t="s">
        <v>2280</v>
      </c>
      <c r="F384" s="1" t="s">
        <v>1583</v>
      </c>
      <c r="G384" s="1" t="s">
        <v>2266</v>
      </c>
      <c r="H384" s="1" t="s">
        <v>2263</v>
      </c>
      <c r="I384" s="1" t="s">
        <v>2256</v>
      </c>
      <c r="J384" s="1" t="s">
        <v>2651</v>
      </c>
      <c r="M384" s="38"/>
      <c r="N384" s="38"/>
      <c r="O384" s="38"/>
      <c r="P384" s="38"/>
      <c r="Q384" s="38"/>
      <c r="R384" s="38"/>
      <c r="S384" s="38"/>
      <c r="T384" s="38"/>
      <c r="U384" s="38"/>
      <c r="V384" s="38"/>
      <c r="W384" s="38"/>
      <c r="X384" s="38"/>
      <c r="Y384" s="38"/>
      <c r="Z384" s="38"/>
    </row>
    <row r="385" spans="1:26" ht="15.75" customHeight="1" x14ac:dyDescent="0.2">
      <c r="A385" s="8" t="s">
        <v>803</v>
      </c>
      <c r="B385" s="1">
        <v>29.542017000000001</v>
      </c>
      <c r="C385" s="1" t="s">
        <v>1587</v>
      </c>
      <c r="D385" s="1" t="s">
        <v>1524</v>
      </c>
      <c r="E385" s="1" t="s">
        <v>2280</v>
      </c>
      <c r="F385" s="1" t="s">
        <v>1560</v>
      </c>
      <c r="G385" s="1" t="s">
        <v>2259</v>
      </c>
      <c r="H385" s="1" t="s">
        <v>2255</v>
      </c>
      <c r="I385" s="1" t="s">
        <v>2256</v>
      </c>
      <c r="J385" s="1" t="s">
        <v>2652</v>
      </c>
      <c r="M385" s="38"/>
      <c r="N385" s="38"/>
      <c r="O385" s="38"/>
      <c r="P385" s="38"/>
      <c r="Q385" s="38"/>
      <c r="R385" s="38"/>
      <c r="S385" s="38"/>
      <c r="T385" s="38"/>
      <c r="U385" s="38"/>
      <c r="V385" s="38"/>
      <c r="W385" s="38"/>
      <c r="X385" s="38"/>
      <c r="Y385" s="38"/>
      <c r="Z385" s="38"/>
    </row>
    <row r="386" spans="1:26" ht="15.75" customHeight="1" x14ac:dyDescent="0.2">
      <c r="A386" s="8" t="s">
        <v>803</v>
      </c>
      <c r="B386" s="1">
        <v>29.542017000000001</v>
      </c>
      <c r="C386" s="1" t="s">
        <v>1587</v>
      </c>
      <c r="D386" s="1" t="s">
        <v>1524</v>
      </c>
      <c r="E386" s="1" t="s">
        <v>2280</v>
      </c>
      <c r="F386" s="1" t="s">
        <v>1560</v>
      </c>
      <c r="G386" s="1" t="s">
        <v>2254</v>
      </c>
      <c r="H386" s="1" t="s">
        <v>2255</v>
      </c>
      <c r="I386" s="1" t="s">
        <v>2256</v>
      </c>
      <c r="J386" s="1" t="s">
        <v>2550</v>
      </c>
      <c r="M386" s="38"/>
      <c r="N386" s="38"/>
      <c r="O386" s="38"/>
      <c r="P386" s="38"/>
      <c r="Q386" s="38"/>
      <c r="R386" s="38"/>
      <c r="S386" s="38"/>
      <c r="T386" s="38"/>
      <c r="U386" s="38"/>
      <c r="V386" s="38"/>
      <c r="W386" s="38"/>
      <c r="X386" s="38"/>
      <c r="Y386" s="38"/>
      <c r="Z386" s="38"/>
    </row>
    <row r="387" spans="1:26" ht="15.75" customHeight="1" x14ac:dyDescent="0.2">
      <c r="A387" s="8" t="s">
        <v>803</v>
      </c>
      <c r="B387" s="1">
        <v>29.542017000000001</v>
      </c>
      <c r="C387" s="1" t="s">
        <v>1587</v>
      </c>
      <c r="D387" s="1" t="s">
        <v>1524</v>
      </c>
      <c r="E387" s="1" t="s">
        <v>2280</v>
      </c>
      <c r="F387" s="1" t="s">
        <v>1560</v>
      </c>
      <c r="G387" s="1" t="s">
        <v>2262</v>
      </c>
      <c r="H387" s="1" t="s">
        <v>2260</v>
      </c>
      <c r="I387" s="1" t="s">
        <v>2256</v>
      </c>
      <c r="J387" s="1" t="s">
        <v>2653</v>
      </c>
      <c r="M387" s="38"/>
      <c r="N387" s="38"/>
      <c r="O387" s="38"/>
      <c r="P387" s="38"/>
      <c r="Q387" s="38"/>
      <c r="R387" s="38"/>
      <c r="S387" s="38"/>
      <c r="T387" s="38"/>
      <c r="U387" s="38"/>
      <c r="V387" s="38"/>
      <c r="W387" s="38"/>
      <c r="X387" s="38"/>
      <c r="Y387" s="38"/>
      <c r="Z387" s="38"/>
    </row>
    <row r="388" spans="1:26" ht="15.75" customHeight="1" x14ac:dyDescent="0.2">
      <c r="A388" s="8" t="s">
        <v>892</v>
      </c>
      <c r="B388" s="1">
        <v>39.313721000000001</v>
      </c>
      <c r="C388" s="1" t="s">
        <v>1523</v>
      </c>
      <c r="D388" s="1" t="s">
        <v>1524</v>
      </c>
      <c r="E388" s="1" t="s">
        <v>2280</v>
      </c>
      <c r="F388" s="1" t="s">
        <v>1528</v>
      </c>
      <c r="G388" s="1" t="s">
        <v>2654</v>
      </c>
      <c r="H388" s="1" t="s">
        <v>2255</v>
      </c>
      <c r="I388" s="1" t="s">
        <v>2256</v>
      </c>
      <c r="J388" s="1" t="s">
        <v>2655</v>
      </c>
      <c r="M388" s="38"/>
      <c r="N388" s="38"/>
      <c r="O388" s="38"/>
      <c r="P388" s="38"/>
      <c r="Q388" s="38"/>
      <c r="R388" s="38"/>
      <c r="S388" s="38"/>
      <c r="T388" s="38"/>
      <c r="U388" s="38"/>
      <c r="V388" s="38"/>
      <c r="W388" s="38"/>
      <c r="X388" s="38"/>
      <c r="Y388" s="38"/>
      <c r="Z388" s="38"/>
    </row>
    <row r="389" spans="1:26" ht="15.75" customHeight="1" x14ac:dyDescent="0.2">
      <c r="A389" s="8" t="s">
        <v>895</v>
      </c>
      <c r="B389" s="1">
        <v>69.950785999999994</v>
      </c>
      <c r="C389" s="1" t="s">
        <v>1523</v>
      </c>
      <c r="D389" s="1" t="s">
        <v>1524</v>
      </c>
      <c r="E389" s="1" t="s">
        <v>2253</v>
      </c>
      <c r="F389" s="1" t="s">
        <v>1528</v>
      </c>
      <c r="G389" s="1" t="s">
        <v>2273</v>
      </c>
      <c r="H389" s="1" t="s">
        <v>2255</v>
      </c>
      <c r="I389" s="1" t="s">
        <v>2285</v>
      </c>
      <c r="J389" s="1" t="s">
        <v>2656</v>
      </c>
      <c r="M389" s="38"/>
      <c r="N389" s="38"/>
      <c r="O389" s="38"/>
      <c r="P389" s="38"/>
      <c r="Q389" s="38"/>
      <c r="R389" s="38"/>
      <c r="S389" s="38"/>
      <c r="T389" s="38"/>
      <c r="U389" s="38"/>
      <c r="V389" s="38"/>
      <c r="W389" s="38"/>
      <c r="X389" s="38"/>
      <c r="Y389" s="38"/>
      <c r="Z389" s="38"/>
    </row>
    <row r="390" spans="1:26" ht="15.75" customHeight="1" x14ac:dyDescent="0.2">
      <c r="A390" s="8" t="s">
        <v>895</v>
      </c>
      <c r="B390" s="1">
        <v>69.950785999999994</v>
      </c>
      <c r="C390" s="1" t="s">
        <v>1523</v>
      </c>
      <c r="D390" s="1" t="s">
        <v>1524</v>
      </c>
      <c r="E390" s="1" t="s">
        <v>2253</v>
      </c>
      <c r="F390" s="1" t="s">
        <v>1528</v>
      </c>
      <c r="G390" s="1" t="s">
        <v>2266</v>
      </c>
      <c r="H390" s="1" t="s">
        <v>2255</v>
      </c>
      <c r="I390" s="1" t="s">
        <v>2256</v>
      </c>
      <c r="J390" s="1" t="s">
        <v>2617</v>
      </c>
      <c r="M390" s="38"/>
      <c r="N390" s="38"/>
      <c r="O390" s="38"/>
      <c r="P390" s="38"/>
      <c r="Q390" s="38"/>
      <c r="R390" s="38"/>
      <c r="S390" s="38"/>
      <c r="T390" s="38"/>
      <c r="U390" s="38"/>
      <c r="V390" s="38"/>
      <c r="W390" s="38"/>
      <c r="X390" s="38"/>
      <c r="Y390" s="38"/>
      <c r="Z390" s="38"/>
    </row>
    <row r="391" spans="1:26" ht="15.75" customHeight="1" x14ac:dyDescent="0.2">
      <c r="A391" s="8" t="s">
        <v>895</v>
      </c>
      <c r="B391" s="1">
        <v>69.950785999999994</v>
      </c>
      <c r="C391" s="1" t="s">
        <v>1523</v>
      </c>
      <c r="D391" s="1" t="s">
        <v>1524</v>
      </c>
      <c r="E391" s="1" t="s">
        <v>2253</v>
      </c>
      <c r="F391" s="1" t="s">
        <v>1528</v>
      </c>
      <c r="G391" s="1" t="s">
        <v>2295</v>
      </c>
      <c r="H391" s="1" t="s">
        <v>2260</v>
      </c>
      <c r="I391" s="1" t="s">
        <v>2285</v>
      </c>
      <c r="J391" s="1" t="s">
        <v>2657</v>
      </c>
      <c r="M391" s="38"/>
      <c r="N391" s="38"/>
      <c r="O391" s="38"/>
      <c r="P391" s="38"/>
      <c r="Q391" s="38"/>
      <c r="R391" s="38"/>
      <c r="S391" s="38"/>
      <c r="T391" s="38"/>
      <c r="U391" s="38"/>
      <c r="V391" s="38"/>
      <c r="W391" s="38"/>
      <c r="X391" s="38"/>
      <c r="Y391" s="38"/>
      <c r="Z391" s="38"/>
    </row>
    <row r="392" spans="1:26" ht="15.75" customHeight="1" x14ac:dyDescent="0.2">
      <c r="A392" s="8" t="s">
        <v>895</v>
      </c>
      <c r="B392" s="1">
        <v>69.950785999999994</v>
      </c>
      <c r="C392" s="1" t="s">
        <v>1523</v>
      </c>
      <c r="D392" s="1" t="s">
        <v>1524</v>
      </c>
      <c r="E392" s="1" t="s">
        <v>2253</v>
      </c>
      <c r="F392" s="1" t="s">
        <v>1528</v>
      </c>
      <c r="G392" s="1" t="s">
        <v>2566</v>
      </c>
      <c r="H392" s="1" t="s">
        <v>2260</v>
      </c>
      <c r="I392" s="1" t="s">
        <v>2285</v>
      </c>
      <c r="J392" s="1" t="s">
        <v>2658</v>
      </c>
      <c r="M392" s="38"/>
      <c r="N392" s="38"/>
      <c r="O392" s="38"/>
      <c r="P392" s="38"/>
      <c r="Q392" s="38"/>
      <c r="R392" s="38"/>
      <c r="S392" s="38"/>
      <c r="T392" s="38"/>
      <c r="U392" s="38"/>
      <c r="V392" s="38"/>
      <c r="W392" s="38"/>
      <c r="X392" s="38"/>
      <c r="Y392" s="38"/>
      <c r="Z392" s="38"/>
    </row>
    <row r="393" spans="1:26" ht="15.75" customHeight="1" x14ac:dyDescent="0.2">
      <c r="A393" s="8" t="s">
        <v>895</v>
      </c>
      <c r="B393" s="1">
        <v>69.950785999999994</v>
      </c>
      <c r="C393" s="1" t="s">
        <v>1523</v>
      </c>
      <c r="D393" s="1" t="s">
        <v>1524</v>
      </c>
      <c r="E393" s="1" t="s">
        <v>2253</v>
      </c>
      <c r="F393" s="1" t="s">
        <v>1528</v>
      </c>
      <c r="G393" s="1" t="s">
        <v>2287</v>
      </c>
      <c r="H393" s="1" t="s">
        <v>2260</v>
      </c>
      <c r="I393" s="1" t="s">
        <v>2256</v>
      </c>
      <c r="J393" s="1" t="s">
        <v>2659</v>
      </c>
      <c r="M393" s="38"/>
      <c r="N393" s="38"/>
      <c r="O393" s="38"/>
      <c r="P393" s="38"/>
      <c r="Q393" s="38"/>
      <c r="R393" s="38"/>
      <c r="S393" s="38"/>
      <c r="T393" s="38"/>
      <c r="U393" s="38"/>
      <c r="V393" s="38"/>
      <c r="W393" s="38"/>
      <c r="X393" s="38"/>
      <c r="Y393" s="38"/>
      <c r="Z393" s="38"/>
    </row>
    <row r="394" spans="1:26" ht="15.75" customHeight="1" x14ac:dyDescent="0.2">
      <c r="A394" s="8" t="s">
        <v>895</v>
      </c>
      <c r="B394" s="1">
        <v>69.950785999999994</v>
      </c>
      <c r="C394" s="1" t="s">
        <v>1523</v>
      </c>
      <c r="D394" s="1" t="s">
        <v>1524</v>
      </c>
      <c r="E394" s="1" t="s">
        <v>2253</v>
      </c>
      <c r="F394" s="1" t="s">
        <v>1528</v>
      </c>
      <c r="G394" s="1" t="s">
        <v>2660</v>
      </c>
      <c r="H394" s="1" t="s">
        <v>2260</v>
      </c>
      <c r="I394" s="1" t="s">
        <v>2256</v>
      </c>
      <c r="J394" s="1" t="s">
        <v>2661</v>
      </c>
      <c r="M394" s="38"/>
      <c r="N394" s="38"/>
      <c r="O394" s="38"/>
      <c r="P394" s="38"/>
      <c r="Q394" s="38"/>
      <c r="R394" s="38"/>
      <c r="S394" s="38"/>
      <c r="T394" s="38"/>
      <c r="U394" s="38"/>
      <c r="V394" s="38"/>
      <c r="W394" s="38"/>
      <c r="X394" s="38"/>
      <c r="Y394" s="38"/>
      <c r="Z394" s="38"/>
    </row>
    <row r="395" spans="1:26" ht="15.75" customHeight="1" x14ac:dyDescent="0.2">
      <c r="A395" s="8" t="s">
        <v>807</v>
      </c>
      <c r="B395" s="1">
        <v>49.003059999999998</v>
      </c>
      <c r="C395" s="1" t="s">
        <v>1587</v>
      </c>
      <c r="D395" s="1" t="s">
        <v>1524</v>
      </c>
      <c r="E395" s="1" t="s">
        <v>1525</v>
      </c>
      <c r="F395" s="1" t="s">
        <v>1528</v>
      </c>
      <c r="G395" s="1" t="s">
        <v>2287</v>
      </c>
      <c r="H395" s="1" t="s">
        <v>2255</v>
      </c>
      <c r="I395" s="1" t="s">
        <v>2256</v>
      </c>
      <c r="J395" s="1" t="s">
        <v>2662</v>
      </c>
      <c r="M395" s="38"/>
      <c r="N395" s="38"/>
      <c r="O395" s="38"/>
      <c r="P395" s="38"/>
      <c r="Q395" s="38"/>
      <c r="R395" s="38"/>
      <c r="S395" s="38"/>
      <c r="T395" s="38"/>
      <c r="U395" s="38"/>
      <c r="V395" s="38"/>
      <c r="W395" s="38"/>
      <c r="X395" s="38"/>
      <c r="Y395" s="38"/>
      <c r="Z395" s="38"/>
    </row>
    <row r="396" spans="1:26" ht="15.75" customHeight="1" x14ac:dyDescent="0.2">
      <c r="A396" s="8" t="s">
        <v>807</v>
      </c>
      <c r="B396" s="1">
        <v>49.003059999999998</v>
      </c>
      <c r="C396" s="1" t="s">
        <v>1587</v>
      </c>
      <c r="D396" s="1" t="s">
        <v>1524</v>
      </c>
      <c r="E396" s="1" t="s">
        <v>1525</v>
      </c>
      <c r="F396" s="1" t="s">
        <v>1528</v>
      </c>
      <c r="G396" s="1" t="s">
        <v>2266</v>
      </c>
      <c r="H396" s="1" t="s">
        <v>2255</v>
      </c>
      <c r="I396" s="1" t="s">
        <v>2256</v>
      </c>
      <c r="J396" s="1" t="s">
        <v>2663</v>
      </c>
      <c r="M396" s="38"/>
      <c r="N396" s="38"/>
      <c r="O396" s="38"/>
      <c r="P396" s="38"/>
      <c r="Q396" s="38"/>
      <c r="R396" s="38"/>
      <c r="S396" s="38"/>
      <c r="T396" s="38"/>
      <c r="U396" s="38"/>
      <c r="V396" s="38"/>
      <c r="W396" s="38"/>
      <c r="X396" s="38"/>
      <c r="Y396" s="38"/>
      <c r="Z396" s="38"/>
    </row>
    <row r="397" spans="1:26" ht="15.75" customHeight="1" x14ac:dyDescent="0.2">
      <c r="A397" s="8" t="s">
        <v>807</v>
      </c>
      <c r="B397" s="1">
        <v>49.003059999999998</v>
      </c>
      <c r="C397" s="1" t="s">
        <v>1587</v>
      </c>
      <c r="D397" s="1" t="s">
        <v>1524</v>
      </c>
      <c r="E397" s="1" t="s">
        <v>1525</v>
      </c>
      <c r="F397" s="1" t="s">
        <v>1528</v>
      </c>
      <c r="G397" s="1" t="s">
        <v>2295</v>
      </c>
      <c r="H397" s="1" t="s">
        <v>2260</v>
      </c>
      <c r="I397" s="1" t="s">
        <v>2285</v>
      </c>
      <c r="J397" s="1" t="s">
        <v>2664</v>
      </c>
      <c r="M397" s="38"/>
      <c r="N397" s="38"/>
      <c r="O397" s="38"/>
      <c r="P397" s="38"/>
      <c r="Q397" s="38"/>
      <c r="R397" s="38"/>
      <c r="S397" s="38"/>
      <c r="T397" s="38"/>
      <c r="U397" s="38"/>
      <c r="V397" s="38"/>
      <c r="W397" s="38"/>
      <c r="X397" s="38"/>
      <c r="Y397" s="38"/>
      <c r="Z397" s="38"/>
    </row>
    <row r="398" spans="1:26" ht="15.75" customHeight="1" x14ac:dyDescent="0.2">
      <c r="A398" s="8" t="s">
        <v>807</v>
      </c>
      <c r="B398" s="1">
        <v>49.003059999999998</v>
      </c>
      <c r="C398" s="1" t="s">
        <v>1587</v>
      </c>
      <c r="D398" s="1" t="s">
        <v>1524</v>
      </c>
      <c r="E398" s="1" t="s">
        <v>1525</v>
      </c>
      <c r="F398" s="1" t="s">
        <v>1528</v>
      </c>
      <c r="G398" s="1" t="s">
        <v>2262</v>
      </c>
      <c r="H398" s="1" t="s">
        <v>2260</v>
      </c>
      <c r="I398" s="1" t="s">
        <v>2256</v>
      </c>
      <c r="J398" s="1" t="s">
        <v>2665</v>
      </c>
      <c r="M398" s="38"/>
      <c r="N398" s="38"/>
      <c r="O398" s="38"/>
      <c r="P398" s="38"/>
      <c r="Q398" s="38"/>
      <c r="R398" s="38"/>
      <c r="S398" s="38"/>
      <c r="T398" s="38"/>
      <c r="U398" s="38"/>
      <c r="V398" s="38"/>
      <c r="W398" s="38"/>
      <c r="X398" s="38"/>
      <c r="Y398" s="38"/>
      <c r="Z398" s="38"/>
    </row>
    <row r="399" spans="1:26" ht="15.75" customHeight="1" x14ac:dyDescent="0.2">
      <c r="A399" s="8" t="s">
        <v>807</v>
      </c>
      <c r="B399" s="1">
        <v>49.003059999999998</v>
      </c>
      <c r="C399" s="1" t="s">
        <v>1587</v>
      </c>
      <c r="D399" s="1" t="s">
        <v>1524</v>
      </c>
      <c r="E399" s="1" t="s">
        <v>1525</v>
      </c>
      <c r="F399" s="1" t="s">
        <v>1528</v>
      </c>
      <c r="G399" s="1" t="s">
        <v>2262</v>
      </c>
      <c r="H399" s="1" t="s">
        <v>2260</v>
      </c>
      <c r="I399" s="1" t="s">
        <v>2256</v>
      </c>
      <c r="J399" s="1" t="s">
        <v>2666</v>
      </c>
      <c r="M399" s="38"/>
      <c r="N399" s="38"/>
      <c r="O399" s="38"/>
      <c r="P399" s="38"/>
      <c r="Q399" s="38"/>
      <c r="R399" s="38"/>
      <c r="S399" s="38"/>
      <c r="T399" s="38"/>
      <c r="U399" s="38"/>
      <c r="V399" s="38"/>
      <c r="W399" s="38"/>
      <c r="X399" s="38"/>
      <c r="Y399" s="38"/>
      <c r="Z399" s="38"/>
    </row>
    <row r="400" spans="1:26" ht="15.75" customHeight="1" x14ac:dyDescent="0.2">
      <c r="A400" s="8" t="s">
        <v>814</v>
      </c>
      <c r="B400" s="1">
        <v>62.607605</v>
      </c>
      <c r="C400" s="1" t="s">
        <v>1587</v>
      </c>
      <c r="D400" s="1" t="s">
        <v>1578</v>
      </c>
      <c r="E400" s="1" t="s">
        <v>2280</v>
      </c>
      <c r="F400" s="1" t="s">
        <v>1528</v>
      </c>
      <c r="G400" s="1" t="s">
        <v>2273</v>
      </c>
      <c r="H400" s="1" t="s">
        <v>2255</v>
      </c>
      <c r="I400" s="1" t="s">
        <v>2274</v>
      </c>
      <c r="J400" s="1" t="s">
        <v>2594</v>
      </c>
      <c r="M400" s="38"/>
      <c r="N400" s="38"/>
      <c r="O400" s="38"/>
      <c r="P400" s="38"/>
      <c r="Q400" s="38"/>
      <c r="R400" s="38"/>
      <c r="S400" s="38"/>
      <c r="T400" s="38"/>
      <c r="U400" s="38"/>
      <c r="V400" s="38"/>
      <c r="W400" s="38"/>
      <c r="X400" s="38"/>
      <c r="Y400" s="38"/>
      <c r="Z400" s="38"/>
    </row>
    <row r="401" spans="1:26" ht="15.75" customHeight="1" x14ac:dyDescent="0.2">
      <c r="A401" s="8" t="s">
        <v>814</v>
      </c>
      <c r="B401" s="1">
        <v>62.607605</v>
      </c>
      <c r="C401" s="1" t="s">
        <v>1587</v>
      </c>
      <c r="D401" s="1" t="s">
        <v>1578</v>
      </c>
      <c r="E401" s="1" t="s">
        <v>2280</v>
      </c>
      <c r="F401" s="1" t="s">
        <v>1528</v>
      </c>
      <c r="G401" s="1" t="s">
        <v>2302</v>
      </c>
      <c r="H401" s="1" t="s">
        <v>2255</v>
      </c>
      <c r="I401" s="1" t="s">
        <v>2285</v>
      </c>
      <c r="J401" s="1" t="s">
        <v>2556</v>
      </c>
      <c r="M401" s="38"/>
      <c r="N401" s="38"/>
      <c r="O401" s="38"/>
      <c r="P401" s="38"/>
      <c r="Q401" s="38"/>
      <c r="R401" s="38"/>
      <c r="S401" s="38"/>
      <c r="T401" s="38"/>
      <c r="U401" s="38"/>
      <c r="V401" s="38"/>
      <c r="W401" s="38"/>
      <c r="X401" s="38"/>
      <c r="Y401" s="38"/>
      <c r="Z401" s="38"/>
    </row>
    <row r="402" spans="1:26" ht="15.75" customHeight="1" x14ac:dyDescent="0.2">
      <c r="A402" s="8" t="s">
        <v>814</v>
      </c>
      <c r="B402" s="1">
        <v>62.607605</v>
      </c>
      <c r="C402" s="1" t="s">
        <v>1587</v>
      </c>
      <c r="D402" s="1" t="s">
        <v>1578</v>
      </c>
      <c r="E402" s="1" t="s">
        <v>2280</v>
      </c>
      <c r="F402" s="1" t="s">
        <v>1528</v>
      </c>
      <c r="G402" s="1" t="s">
        <v>2557</v>
      </c>
      <c r="H402" s="1" t="s">
        <v>2255</v>
      </c>
      <c r="I402" s="1" t="s">
        <v>2285</v>
      </c>
      <c r="J402" s="1" t="s">
        <v>2558</v>
      </c>
      <c r="M402" s="38"/>
      <c r="N402" s="38"/>
      <c r="O402" s="38"/>
      <c r="P402" s="38"/>
      <c r="Q402" s="38"/>
      <c r="R402" s="38"/>
      <c r="S402" s="38"/>
      <c r="T402" s="38"/>
      <c r="U402" s="38"/>
      <c r="V402" s="38"/>
      <c r="W402" s="38"/>
      <c r="X402" s="38"/>
      <c r="Y402" s="38"/>
      <c r="Z402" s="38"/>
    </row>
    <row r="403" spans="1:26" ht="15.75" customHeight="1" x14ac:dyDescent="0.2">
      <c r="A403" s="8" t="s">
        <v>814</v>
      </c>
      <c r="B403" s="1">
        <v>62.607605</v>
      </c>
      <c r="C403" s="1" t="s">
        <v>1587</v>
      </c>
      <c r="D403" s="1" t="s">
        <v>1578</v>
      </c>
      <c r="E403" s="1" t="s">
        <v>2280</v>
      </c>
      <c r="F403" s="1" t="s">
        <v>1528</v>
      </c>
      <c r="G403" s="1" t="s">
        <v>2273</v>
      </c>
      <c r="H403" s="1" t="s">
        <v>2255</v>
      </c>
      <c r="I403" s="1" t="s">
        <v>2285</v>
      </c>
      <c r="J403" s="1" t="s">
        <v>2667</v>
      </c>
      <c r="M403" s="38"/>
      <c r="N403" s="38"/>
      <c r="O403" s="38"/>
      <c r="P403" s="38"/>
      <c r="Q403" s="38"/>
      <c r="R403" s="38"/>
      <c r="S403" s="38"/>
      <c r="T403" s="38"/>
      <c r="U403" s="38"/>
      <c r="V403" s="38"/>
      <c r="W403" s="38"/>
      <c r="X403" s="38"/>
      <c r="Y403" s="38"/>
      <c r="Z403" s="38"/>
    </row>
    <row r="404" spans="1:26" ht="15.75" customHeight="1" x14ac:dyDescent="0.2">
      <c r="A404" s="8" t="s">
        <v>814</v>
      </c>
      <c r="B404" s="1">
        <v>62.607605</v>
      </c>
      <c r="C404" s="1" t="s">
        <v>1587</v>
      </c>
      <c r="D404" s="1" t="s">
        <v>1578</v>
      </c>
      <c r="E404" s="1" t="s">
        <v>2280</v>
      </c>
      <c r="F404" s="1" t="s">
        <v>1528</v>
      </c>
      <c r="G404" s="1" t="s">
        <v>2262</v>
      </c>
      <c r="H404" s="1" t="s">
        <v>2260</v>
      </c>
      <c r="I404" s="1" t="s">
        <v>2256</v>
      </c>
      <c r="J404" s="1" t="s">
        <v>2668</v>
      </c>
      <c r="M404" s="38"/>
      <c r="N404" s="38"/>
      <c r="O404" s="38"/>
      <c r="P404" s="38"/>
      <c r="Q404" s="38"/>
      <c r="R404" s="38"/>
      <c r="S404" s="38"/>
      <c r="T404" s="38"/>
      <c r="U404" s="38"/>
      <c r="V404" s="38"/>
      <c r="W404" s="38"/>
      <c r="X404" s="38"/>
      <c r="Y404" s="38"/>
      <c r="Z404" s="38"/>
    </row>
    <row r="405" spans="1:26" ht="15.75" customHeight="1" x14ac:dyDescent="0.2">
      <c r="A405" s="8" t="s">
        <v>818</v>
      </c>
      <c r="B405" s="1">
        <v>54.183065999999997</v>
      </c>
      <c r="C405" s="1" t="s">
        <v>1523</v>
      </c>
      <c r="D405" s="1" t="s">
        <v>1524</v>
      </c>
      <c r="E405" s="1" t="s">
        <v>2280</v>
      </c>
      <c r="F405" s="1" t="s">
        <v>1528</v>
      </c>
      <c r="G405" s="1" t="s">
        <v>2266</v>
      </c>
      <c r="H405" s="1" t="s">
        <v>2255</v>
      </c>
      <c r="I405" s="1" t="s">
        <v>2256</v>
      </c>
      <c r="J405" s="1" t="s">
        <v>2669</v>
      </c>
      <c r="M405" s="38"/>
      <c r="N405" s="38"/>
      <c r="O405" s="38"/>
      <c r="P405" s="38"/>
      <c r="Q405" s="38"/>
      <c r="R405" s="38"/>
      <c r="S405" s="38"/>
      <c r="T405" s="38"/>
      <c r="U405" s="38"/>
      <c r="V405" s="38"/>
      <c r="W405" s="38"/>
      <c r="X405" s="38"/>
      <c r="Y405" s="38"/>
      <c r="Z405" s="38"/>
    </row>
    <row r="406" spans="1:26" ht="15.75" customHeight="1" x14ac:dyDescent="0.2">
      <c r="A406" s="8" t="s">
        <v>818</v>
      </c>
      <c r="B406" s="1">
        <v>54.183065999999997</v>
      </c>
      <c r="C406" s="1" t="s">
        <v>1523</v>
      </c>
      <c r="D406" s="1" t="s">
        <v>1524</v>
      </c>
      <c r="E406" s="1" t="s">
        <v>2280</v>
      </c>
      <c r="F406" s="1" t="s">
        <v>1528</v>
      </c>
      <c r="G406" s="1" t="s">
        <v>2344</v>
      </c>
      <c r="H406" s="1" t="s">
        <v>2260</v>
      </c>
      <c r="I406" s="1" t="s">
        <v>2274</v>
      </c>
      <c r="J406" s="1" t="s">
        <v>2670</v>
      </c>
      <c r="M406" s="38"/>
      <c r="N406" s="38"/>
      <c r="O406" s="38"/>
      <c r="P406" s="38"/>
      <c r="Q406" s="38"/>
      <c r="R406" s="38"/>
      <c r="S406" s="38"/>
      <c r="T406" s="38"/>
      <c r="U406" s="38"/>
      <c r="V406" s="38"/>
      <c r="W406" s="38"/>
      <c r="X406" s="38"/>
      <c r="Y406" s="38"/>
      <c r="Z406" s="38"/>
    </row>
    <row r="407" spans="1:26" ht="15.75" customHeight="1" x14ac:dyDescent="0.2">
      <c r="A407" s="8" t="s">
        <v>818</v>
      </c>
      <c r="B407" s="1">
        <v>54.183065999999997</v>
      </c>
      <c r="C407" s="1" t="s">
        <v>1523</v>
      </c>
      <c r="D407" s="1" t="s">
        <v>1524</v>
      </c>
      <c r="E407" s="1" t="s">
        <v>2280</v>
      </c>
      <c r="F407" s="1" t="s">
        <v>1528</v>
      </c>
      <c r="G407" s="1" t="s">
        <v>1363</v>
      </c>
      <c r="H407" s="1" t="s">
        <v>2260</v>
      </c>
      <c r="I407" s="1" t="s">
        <v>2256</v>
      </c>
      <c r="J407" s="1" t="s">
        <v>2671</v>
      </c>
      <c r="M407" s="38"/>
      <c r="N407" s="38"/>
      <c r="O407" s="38"/>
      <c r="P407" s="38"/>
      <c r="Q407" s="38"/>
      <c r="R407" s="38"/>
      <c r="S407" s="38"/>
      <c r="T407" s="38"/>
      <c r="U407" s="38"/>
      <c r="V407" s="38"/>
      <c r="W407" s="38"/>
      <c r="X407" s="38"/>
      <c r="Y407" s="38"/>
      <c r="Z407" s="38"/>
    </row>
    <row r="408" spans="1:26" ht="15.75" customHeight="1" x14ac:dyDescent="0.2">
      <c r="A408" s="8" t="s">
        <v>818</v>
      </c>
      <c r="B408" s="1">
        <v>54.183065999999997</v>
      </c>
      <c r="C408" s="1" t="s">
        <v>1523</v>
      </c>
      <c r="D408" s="1" t="s">
        <v>1524</v>
      </c>
      <c r="E408" s="1" t="s">
        <v>2280</v>
      </c>
      <c r="F408" s="1" t="s">
        <v>1528</v>
      </c>
      <c r="G408" s="1" t="s">
        <v>2287</v>
      </c>
      <c r="H408" s="1" t="s">
        <v>2260</v>
      </c>
      <c r="I408" s="1" t="s">
        <v>2256</v>
      </c>
      <c r="J408" s="1" t="s">
        <v>2672</v>
      </c>
      <c r="M408" s="38"/>
      <c r="N408" s="38"/>
      <c r="O408" s="38"/>
      <c r="P408" s="38"/>
      <c r="Q408" s="38"/>
      <c r="R408" s="38"/>
      <c r="S408" s="38"/>
      <c r="T408" s="38"/>
      <c r="U408" s="38"/>
      <c r="V408" s="38"/>
      <c r="W408" s="38"/>
      <c r="X408" s="38"/>
      <c r="Y408" s="38"/>
      <c r="Z408" s="38"/>
    </row>
    <row r="409" spans="1:26" ht="15.75" customHeight="1" x14ac:dyDescent="0.2">
      <c r="A409" s="8" t="s">
        <v>818</v>
      </c>
      <c r="B409" s="1">
        <v>54.183065999999997</v>
      </c>
      <c r="C409" s="1" t="s">
        <v>1523</v>
      </c>
      <c r="D409" s="1" t="s">
        <v>1524</v>
      </c>
      <c r="E409" s="1" t="s">
        <v>2280</v>
      </c>
      <c r="F409" s="1" t="s">
        <v>1528</v>
      </c>
      <c r="G409" s="1" t="s">
        <v>2660</v>
      </c>
      <c r="H409" s="1" t="s">
        <v>2260</v>
      </c>
      <c r="I409" s="1" t="s">
        <v>2256</v>
      </c>
      <c r="J409" s="1" t="s">
        <v>2673</v>
      </c>
      <c r="M409" s="38"/>
      <c r="N409" s="38"/>
      <c r="O409" s="38"/>
      <c r="P409" s="38"/>
      <c r="Q409" s="38"/>
      <c r="R409" s="38"/>
      <c r="S409" s="38"/>
      <c r="T409" s="38"/>
      <c r="U409" s="38"/>
      <c r="V409" s="38"/>
      <c r="W409" s="38"/>
      <c r="X409" s="38"/>
      <c r="Y409" s="38"/>
      <c r="Z409" s="38"/>
    </row>
    <row r="410" spans="1:26" ht="15.75" customHeight="1" x14ac:dyDescent="0.2">
      <c r="A410" s="8" t="s">
        <v>902</v>
      </c>
      <c r="B410" s="1">
        <v>45.909224999999999</v>
      </c>
      <c r="C410" s="1" t="s">
        <v>1523</v>
      </c>
      <c r="D410" s="1" t="s">
        <v>1524</v>
      </c>
      <c r="E410" s="1" t="s">
        <v>2280</v>
      </c>
      <c r="F410" s="1" t="s">
        <v>1528</v>
      </c>
      <c r="G410" s="1" t="s">
        <v>2266</v>
      </c>
      <c r="H410" s="1" t="s">
        <v>2255</v>
      </c>
      <c r="I410" s="1" t="s">
        <v>2256</v>
      </c>
      <c r="J410" s="1" t="s">
        <v>2617</v>
      </c>
      <c r="M410" s="38"/>
      <c r="N410" s="38"/>
      <c r="O410" s="38"/>
      <c r="P410" s="38"/>
      <c r="Q410" s="38"/>
      <c r="R410" s="38"/>
      <c r="S410" s="38"/>
      <c r="T410" s="38"/>
      <c r="U410" s="38"/>
      <c r="V410" s="38"/>
      <c r="W410" s="38"/>
      <c r="X410" s="38"/>
      <c r="Y410" s="38"/>
      <c r="Z410" s="38"/>
    </row>
    <row r="411" spans="1:26" ht="15.75" customHeight="1" x14ac:dyDescent="0.2">
      <c r="A411" s="8" t="s">
        <v>902</v>
      </c>
      <c r="B411" s="1">
        <v>45.909224999999999</v>
      </c>
      <c r="C411" s="1" t="s">
        <v>1523</v>
      </c>
      <c r="D411" s="1" t="s">
        <v>1524</v>
      </c>
      <c r="E411" s="1" t="s">
        <v>2280</v>
      </c>
      <c r="F411" s="1" t="s">
        <v>1528</v>
      </c>
      <c r="G411" s="1" t="s">
        <v>2273</v>
      </c>
      <c r="H411" s="1" t="s">
        <v>2255</v>
      </c>
      <c r="I411" s="1" t="s">
        <v>2274</v>
      </c>
      <c r="J411" s="1" t="s">
        <v>2594</v>
      </c>
      <c r="M411" s="38"/>
      <c r="N411" s="38"/>
      <c r="O411" s="38"/>
      <c r="P411" s="38"/>
      <c r="Q411" s="38"/>
      <c r="R411" s="38"/>
      <c r="S411" s="38"/>
      <c r="T411" s="38"/>
      <c r="U411" s="38"/>
      <c r="V411" s="38"/>
      <c r="W411" s="38"/>
      <c r="X411" s="38"/>
      <c r="Y411" s="38"/>
      <c r="Z411" s="38"/>
    </row>
    <row r="412" spans="1:26" ht="15.75" customHeight="1" x14ac:dyDescent="0.2">
      <c r="A412" s="8" t="s">
        <v>904</v>
      </c>
      <c r="B412" s="1">
        <v>49.112575999999997</v>
      </c>
      <c r="C412" s="1" t="s">
        <v>1523</v>
      </c>
      <c r="D412" s="1" t="s">
        <v>1524</v>
      </c>
      <c r="E412" s="1" t="s">
        <v>2280</v>
      </c>
      <c r="F412" s="1" t="s">
        <v>1528</v>
      </c>
      <c r="G412" s="1" t="s">
        <v>2273</v>
      </c>
      <c r="H412" s="1" t="s">
        <v>2255</v>
      </c>
      <c r="I412" s="1" t="s">
        <v>2274</v>
      </c>
      <c r="J412" s="1" t="s">
        <v>2594</v>
      </c>
      <c r="M412" s="38"/>
      <c r="N412" s="38"/>
      <c r="O412" s="38"/>
      <c r="P412" s="38"/>
      <c r="Q412" s="38"/>
      <c r="R412" s="38"/>
      <c r="S412" s="38"/>
      <c r="T412" s="38"/>
      <c r="U412" s="38"/>
      <c r="V412" s="38"/>
      <c r="W412" s="38"/>
      <c r="X412" s="38"/>
      <c r="Y412" s="38"/>
      <c r="Z412" s="38"/>
    </row>
    <row r="413" spans="1:26" ht="15.75" customHeight="1" x14ac:dyDescent="0.2">
      <c r="A413" s="8" t="s">
        <v>904</v>
      </c>
      <c r="B413" s="1">
        <v>49.112575999999997</v>
      </c>
      <c r="C413" s="1" t="s">
        <v>1523</v>
      </c>
      <c r="D413" s="1" t="s">
        <v>1524</v>
      </c>
      <c r="E413" s="1" t="s">
        <v>2280</v>
      </c>
      <c r="F413" s="1" t="s">
        <v>1528</v>
      </c>
      <c r="G413" s="1" t="s">
        <v>2302</v>
      </c>
      <c r="H413" s="1" t="s">
        <v>2255</v>
      </c>
      <c r="I413" s="1" t="s">
        <v>2285</v>
      </c>
      <c r="J413" s="1" t="s">
        <v>2556</v>
      </c>
      <c r="M413" s="38"/>
      <c r="N413" s="38"/>
      <c r="O413" s="38"/>
      <c r="P413" s="38"/>
      <c r="Q413" s="38"/>
      <c r="R413" s="38"/>
      <c r="S413" s="38"/>
      <c r="T413" s="38"/>
      <c r="U413" s="38"/>
      <c r="V413" s="38"/>
      <c r="W413" s="38"/>
      <c r="X413" s="38"/>
      <c r="Y413" s="38"/>
      <c r="Z413" s="38"/>
    </row>
    <row r="414" spans="1:26" ht="15.75" customHeight="1" x14ac:dyDescent="0.2">
      <c r="A414" s="8" t="s">
        <v>904</v>
      </c>
      <c r="B414" s="1">
        <v>49.112575999999997</v>
      </c>
      <c r="C414" s="1" t="s">
        <v>1523</v>
      </c>
      <c r="D414" s="1" t="s">
        <v>1524</v>
      </c>
      <c r="E414" s="1" t="s">
        <v>2280</v>
      </c>
      <c r="F414" s="1" t="s">
        <v>1528</v>
      </c>
      <c r="G414" s="1" t="s">
        <v>2557</v>
      </c>
      <c r="H414" s="1" t="s">
        <v>2255</v>
      </c>
      <c r="I414" s="1" t="s">
        <v>2285</v>
      </c>
      <c r="J414" s="1" t="s">
        <v>2558</v>
      </c>
      <c r="M414" s="38"/>
      <c r="N414" s="38"/>
      <c r="O414" s="38"/>
      <c r="P414" s="38"/>
      <c r="Q414" s="38"/>
      <c r="R414" s="38"/>
      <c r="S414" s="38"/>
      <c r="T414" s="38"/>
      <c r="U414" s="38"/>
      <c r="V414" s="38"/>
      <c r="W414" s="38"/>
      <c r="X414" s="38"/>
      <c r="Y414" s="38"/>
      <c r="Z414" s="38"/>
    </row>
    <row r="415" spans="1:26" ht="15.75" customHeight="1" x14ac:dyDescent="0.2">
      <c r="A415" s="8" t="s">
        <v>904</v>
      </c>
      <c r="B415" s="1">
        <v>49.112575999999997</v>
      </c>
      <c r="C415" s="1" t="s">
        <v>1523</v>
      </c>
      <c r="D415" s="1" t="s">
        <v>1524</v>
      </c>
      <c r="E415" s="1" t="s">
        <v>2280</v>
      </c>
      <c r="F415" s="1" t="s">
        <v>1528</v>
      </c>
      <c r="G415" s="1" t="s">
        <v>2262</v>
      </c>
      <c r="H415" s="1" t="s">
        <v>2260</v>
      </c>
      <c r="I415" s="1" t="s">
        <v>2256</v>
      </c>
      <c r="J415" s="1" t="s">
        <v>2674</v>
      </c>
      <c r="M415" s="38"/>
      <c r="N415" s="38"/>
      <c r="O415" s="38"/>
      <c r="P415" s="38"/>
      <c r="Q415" s="38"/>
      <c r="R415" s="38"/>
      <c r="S415" s="38"/>
      <c r="T415" s="38"/>
      <c r="U415" s="38"/>
      <c r="V415" s="38"/>
      <c r="W415" s="38"/>
      <c r="X415" s="38"/>
      <c r="Y415" s="38"/>
      <c r="Z415" s="38"/>
    </row>
    <row r="416" spans="1:26" ht="15.75" customHeight="1" x14ac:dyDescent="0.2">
      <c r="A416" s="8" t="s">
        <v>904</v>
      </c>
      <c r="B416" s="1">
        <v>49.112575999999997</v>
      </c>
      <c r="C416" s="1" t="s">
        <v>1523</v>
      </c>
      <c r="D416" s="1" t="s">
        <v>1524</v>
      </c>
      <c r="E416" s="1" t="s">
        <v>2280</v>
      </c>
      <c r="F416" s="1" t="s">
        <v>1528</v>
      </c>
      <c r="G416" s="1" t="s">
        <v>2392</v>
      </c>
      <c r="H416" s="1" t="s">
        <v>2263</v>
      </c>
      <c r="I416" s="1" t="s">
        <v>2256</v>
      </c>
      <c r="J416" s="1" t="s">
        <v>2675</v>
      </c>
      <c r="M416" s="38"/>
      <c r="N416" s="38"/>
      <c r="O416" s="38"/>
      <c r="P416" s="38"/>
      <c r="Q416" s="38"/>
      <c r="R416" s="38"/>
      <c r="S416" s="38"/>
      <c r="T416" s="38"/>
      <c r="U416" s="38"/>
      <c r="V416" s="38"/>
      <c r="W416" s="38"/>
      <c r="X416" s="38"/>
      <c r="Y416" s="38"/>
      <c r="Z416" s="38"/>
    </row>
    <row r="417" spans="1:26" ht="15.75" customHeight="1" x14ac:dyDescent="0.2">
      <c r="A417" s="8" t="s">
        <v>908</v>
      </c>
      <c r="B417" s="1">
        <v>35.193057000000003</v>
      </c>
      <c r="C417" s="1" t="s">
        <v>1523</v>
      </c>
      <c r="D417" s="1" t="s">
        <v>1578</v>
      </c>
      <c r="E417" s="1" t="s">
        <v>2280</v>
      </c>
      <c r="F417" s="1" t="s">
        <v>1528</v>
      </c>
      <c r="G417" s="1" t="s">
        <v>2295</v>
      </c>
      <c r="H417" s="1" t="s">
        <v>2260</v>
      </c>
      <c r="I417" s="1" t="s">
        <v>2285</v>
      </c>
      <c r="J417" s="1" t="s">
        <v>2676</v>
      </c>
      <c r="M417" s="38"/>
      <c r="N417" s="38"/>
      <c r="O417" s="38"/>
      <c r="P417" s="38"/>
      <c r="Q417" s="38"/>
      <c r="R417" s="38"/>
      <c r="S417" s="38"/>
      <c r="T417" s="38"/>
      <c r="U417" s="38"/>
      <c r="V417" s="38"/>
      <c r="W417" s="38"/>
      <c r="X417" s="38"/>
      <c r="Y417" s="38"/>
      <c r="Z417" s="38"/>
    </row>
    <row r="418" spans="1:26" ht="15.75" customHeight="1" x14ac:dyDescent="0.2">
      <c r="A418" s="8" t="s">
        <v>908</v>
      </c>
      <c r="B418" s="1">
        <v>35.193057000000003</v>
      </c>
      <c r="C418" s="1" t="s">
        <v>1523</v>
      </c>
      <c r="D418" s="1" t="s">
        <v>1578</v>
      </c>
      <c r="E418" s="1" t="s">
        <v>2280</v>
      </c>
      <c r="F418" s="1" t="s">
        <v>1528</v>
      </c>
      <c r="G418" s="1" t="s">
        <v>2566</v>
      </c>
      <c r="H418" s="1" t="s">
        <v>2260</v>
      </c>
      <c r="I418" s="1" t="s">
        <v>2285</v>
      </c>
      <c r="J418" s="1" t="s">
        <v>2677</v>
      </c>
      <c r="M418" s="38"/>
      <c r="N418" s="38"/>
      <c r="O418" s="38"/>
      <c r="P418" s="38"/>
      <c r="Q418" s="38"/>
      <c r="R418" s="38"/>
      <c r="S418" s="38"/>
      <c r="T418" s="38"/>
      <c r="U418" s="38"/>
      <c r="V418" s="38"/>
      <c r="W418" s="38"/>
      <c r="X418" s="38"/>
      <c r="Y418" s="38"/>
      <c r="Z418" s="38"/>
    </row>
    <row r="419" spans="1:26" ht="15.75" customHeight="1" x14ac:dyDescent="0.2">
      <c r="A419" s="8" t="s">
        <v>908</v>
      </c>
      <c r="B419" s="1">
        <v>35.193057000000003</v>
      </c>
      <c r="C419" s="1" t="s">
        <v>1523</v>
      </c>
      <c r="D419" s="1" t="s">
        <v>1578</v>
      </c>
      <c r="E419" s="1" t="s">
        <v>2280</v>
      </c>
      <c r="F419" s="1" t="s">
        <v>1528</v>
      </c>
      <c r="G419" s="1" t="s">
        <v>2299</v>
      </c>
      <c r="H419" s="1" t="s">
        <v>2260</v>
      </c>
      <c r="I419" s="1" t="s">
        <v>2285</v>
      </c>
      <c r="J419" s="1" t="s">
        <v>2678</v>
      </c>
      <c r="M419" s="38"/>
      <c r="N419" s="38"/>
      <c r="O419" s="38"/>
      <c r="P419" s="38"/>
      <c r="Q419" s="38"/>
      <c r="R419" s="38"/>
      <c r="S419" s="38"/>
      <c r="T419" s="38"/>
      <c r="U419" s="38"/>
      <c r="V419" s="38"/>
      <c r="W419" s="38"/>
      <c r="X419" s="38"/>
      <c r="Y419" s="38"/>
      <c r="Z419" s="38"/>
    </row>
    <row r="420" spans="1:26" ht="15.75" customHeight="1" x14ac:dyDescent="0.2">
      <c r="A420" s="8" t="s">
        <v>908</v>
      </c>
      <c r="B420" s="1">
        <v>35.193057000000003</v>
      </c>
      <c r="C420" s="1" t="s">
        <v>1523</v>
      </c>
      <c r="D420" s="1" t="s">
        <v>1578</v>
      </c>
      <c r="E420" s="1" t="s">
        <v>2280</v>
      </c>
      <c r="F420" s="1" t="s">
        <v>1528</v>
      </c>
      <c r="G420" s="1" t="s">
        <v>2392</v>
      </c>
      <c r="H420" s="1" t="s">
        <v>2263</v>
      </c>
      <c r="I420" s="1" t="s">
        <v>2256</v>
      </c>
      <c r="J420" s="1" t="s">
        <v>2679</v>
      </c>
      <c r="M420" s="38"/>
      <c r="N420" s="38"/>
      <c r="O420" s="38"/>
      <c r="P420" s="38"/>
      <c r="Q420" s="38"/>
      <c r="R420" s="38"/>
      <c r="S420" s="38"/>
      <c r="T420" s="38"/>
      <c r="U420" s="38"/>
      <c r="V420" s="38"/>
      <c r="W420" s="38"/>
      <c r="X420" s="38"/>
      <c r="Y420" s="38"/>
      <c r="Z420" s="38"/>
    </row>
    <row r="421" spans="1:26" ht="15.75" customHeight="1" x14ac:dyDescent="0.2">
      <c r="A421" s="8" t="s">
        <v>914</v>
      </c>
      <c r="B421" s="1">
        <v>36.939841000000001</v>
      </c>
      <c r="C421" s="1" t="s">
        <v>1523</v>
      </c>
      <c r="D421" s="1" t="s">
        <v>1524</v>
      </c>
      <c r="E421" s="1" t="s">
        <v>2253</v>
      </c>
      <c r="F421" s="1" t="s">
        <v>1560</v>
      </c>
      <c r="G421" s="1" t="s">
        <v>2259</v>
      </c>
      <c r="H421" s="1" t="s">
        <v>2255</v>
      </c>
      <c r="I421" s="1" t="s">
        <v>2256</v>
      </c>
      <c r="J421" s="1" t="s">
        <v>2680</v>
      </c>
      <c r="M421" s="38"/>
      <c r="N421" s="38"/>
      <c r="O421" s="38"/>
      <c r="P421" s="38"/>
      <c r="Q421" s="38"/>
      <c r="R421" s="38"/>
      <c r="S421" s="38"/>
      <c r="T421" s="38"/>
      <c r="U421" s="38"/>
      <c r="V421" s="38"/>
      <c r="W421" s="38"/>
      <c r="X421" s="38"/>
      <c r="Y421" s="38"/>
      <c r="Z421" s="38"/>
    </row>
    <row r="422" spans="1:26" ht="15.75" customHeight="1" x14ac:dyDescent="0.2">
      <c r="A422" s="8" t="s">
        <v>914</v>
      </c>
      <c r="B422" s="1">
        <v>36.939841000000001</v>
      </c>
      <c r="C422" s="1" t="s">
        <v>1523</v>
      </c>
      <c r="D422" s="1" t="s">
        <v>1524</v>
      </c>
      <c r="E422" s="1" t="s">
        <v>2253</v>
      </c>
      <c r="F422" s="1" t="s">
        <v>1560</v>
      </c>
      <c r="G422" s="1" t="s">
        <v>2287</v>
      </c>
      <c r="H422" s="1" t="s">
        <v>2255</v>
      </c>
      <c r="I422" s="1" t="s">
        <v>2256</v>
      </c>
      <c r="J422" s="1" t="s">
        <v>2681</v>
      </c>
      <c r="M422" s="38"/>
      <c r="N422" s="38"/>
      <c r="O422" s="38"/>
      <c r="P422" s="38"/>
      <c r="Q422" s="38"/>
      <c r="R422" s="38"/>
      <c r="S422" s="38"/>
      <c r="T422" s="38"/>
      <c r="U422" s="38"/>
      <c r="V422" s="38"/>
      <c r="W422" s="38"/>
      <c r="X422" s="38"/>
      <c r="Y422" s="38"/>
      <c r="Z422" s="38"/>
    </row>
    <row r="423" spans="1:26" ht="15.75" customHeight="1" x14ac:dyDescent="0.2">
      <c r="A423" s="8" t="s">
        <v>914</v>
      </c>
      <c r="B423" s="1">
        <v>36.939841000000001</v>
      </c>
      <c r="C423" s="1" t="s">
        <v>1523</v>
      </c>
      <c r="D423" s="1" t="s">
        <v>1524</v>
      </c>
      <c r="E423" s="1" t="s">
        <v>2253</v>
      </c>
      <c r="F423" s="1" t="s">
        <v>1560</v>
      </c>
      <c r="G423" s="1" t="s">
        <v>2392</v>
      </c>
      <c r="H423" s="1" t="s">
        <v>2260</v>
      </c>
      <c r="I423" s="1" t="s">
        <v>2256</v>
      </c>
      <c r="J423" s="1" t="s">
        <v>2682</v>
      </c>
      <c r="M423" s="38"/>
      <c r="N423" s="38"/>
      <c r="O423" s="38"/>
      <c r="P423" s="38"/>
      <c r="Q423" s="38"/>
      <c r="R423" s="38"/>
      <c r="S423" s="38"/>
      <c r="T423" s="38"/>
      <c r="U423" s="38"/>
      <c r="V423" s="38"/>
      <c r="W423" s="38"/>
      <c r="X423" s="38"/>
      <c r="Y423" s="38"/>
      <c r="Z423" s="38"/>
    </row>
    <row r="424" spans="1:26" ht="15.75" customHeight="1" x14ac:dyDescent="0.2">
      <c r="A424" s="8" t="s">
        <v>914</v>
      </c>
      <c r="B424" s="1">
        <v>36.939841000000001</v>
      </c>
      <c r="C424" s="1" t="s">
        <v>1523</v>
      </c>
      <c r="D424" s="1" t="s">
        <v>1524</v>
      </c>
      <c r="E424" s="1" t="s">
        <v>2253</v>
      </c>
      <c r="F424" s="1" t="s">
        <v>1560</v>
      </c>
      <c r="G424" s="1" t="s">
        <v>2299</v>
      </c>
      <c r="H424" s="1" t="s">
        <v>2260</v>
      </c>
      <c r="I424" s="1" t="s">
        <v>2256</v>
      </c>
      <c r="J424" s="1" t="s">
        <v>2683</v>
      </c>
      <c r="M424" s="38"/>
      <c r="N424" s="38"/>
      <c r="O424" s="38"/>
      <c r="P424" s="38"/>
      <c r="Q424" s="38"/>
      <c r="R424" s="38"/>
      <c r="S424" s="38"/>
      <c r="T424" s="38"/>
      <c r="U424" s="38"/>
      <c r="V424" s="38"/>
      <c r="W424" s="38"/>
      <c r="X424" s="38"/>
      <c r="Y424" s="38"/>
      <c r="Z424" s="38"/>
    </row>
    <row r="425" spans="1:26" ht="15.75" customHeight="1" x14ac:dyDescent="0.2">
      <c r="A425" s="8" t="s">
        <v>914</v>
      </c>
      <c r="B425" s="1">
        <v>36.939841000000001</v>
      </c>
      <c r="C425" s="1" t="s">
        <v>1523</v>
      </c>
      <c r="D425" s="1" t="s">
        <v>1524</v>
      </c>
      <c r="E425" s="1" t="s">
        <v>2253</v>
      </c>
      <c r="F425" s="1" t="s">
        <v>1560</v>
      </c>
      <c r="G425" s="1" t="s">
        <v>2262</v>
      </c>
      <c r="H425" s="1" t="s">
        <v>2260</v>
      </c>
      <c r="I425" s="1" t="s">
        <v>2256</v>
      </c>
      <c r="J425" s="1" t="s">
        <v>2684</v>
      </c>
      <c r="M425" s="38"/>
      <c r="N425" s="38"/>
      <c r="O425" s="38"/>
      <c r="P425" s="38"/>
      <c r="Q425" s="38"/>
      <c r="R425" s="38"/>
      <c r="S425" s="38"/>
      <c r="T425" s="38"/>
      <c r="U425" s="38"/>
      <c r="V425" s="38"/>
      <c r="W425" s="38"/>
      <c r="X425" s="38"/>
      <c r="Y425" s="38"/>
      <c r="Z425" s="38"/>
    </row>
    <row r="426" spans="1:26" ht="15.75" customHeight="1" x14ac:dyDescent="0.2">
      <c r="A426" s="8" t="s">
        <v>914</v>
      </c>
      <c r="B426" s="1">
        <v>36.939841000000001</v>
      </c>
      <c r="C426" s="1" t="s">
        <v>1523</v>
      </c>
      <c r="D426" s="1" t="s">
        <v>1524</v>
      </c>
      <c r="E426" s="1" t="s">
        <v>2253</v>
      </c>
      <c r="F426" s="1" t="s">
        <v>1560</v>
      </c>
      <c r="G426" s="1" t="s">
        <v>2566</v>
      </c>
      <c r="H426" s="1" t="s">
        <v>2263</v>
      </c>
      <c r="I426" s="1" t="s">
        <v>2256</v>
      </c>
      <c r="J426" s="1" t="s">
        <v>2685</v>
      </c>
      <c r="M426" s="38"/>
      <c r="N426" s="38"/>
      <c r="O426" s="38"/>
      <c r="P426" s="38"/>
      <c r="Q426" s="38"/>
      <c r="R426" s="38"/>
      <c r="S426" s="38"/>
      <c r="T426" s="38"/>
      <c r="U426" s="38"/>
      <c r="V426" s="38"/>
      <c r="W426" s="38"/>
      <c r="X426" s="38"/>
      <c r="Y426" s="38"/>
      <c r="Z426" s="38"/>
    </row>
    <row r="427" spans="1:26" ht="15.75" customHeight="1" x14ac:dyDescent="0.2">
      <c r="A427" s="8" t="s">
        <v>914</v>
      </c>
      <c r="B427" s="1">
        <v>36.939841000000001</v>
      </c>
      <c r="C427" s="1" t="s">
        <v>1523</v>
      </c>
      <c r="D427" s="1" t="s">
        <v>1524</v>
      </c>
      <c r="E427" s="1" t="s">
        <v>2253</v>
      </c>
      <c r="F427" s="1" t="s">
        <v>1560</v>
      </c>
      <c r="G427" s="1" t="s">
        <v>2392</v>
      </c>
      <c r="H427" s="1" t="s">
        <v>2263</v>
      </c>
      <c r="I427" s="1" t="s">
        <v>2256</v>
      </c>
      <c r="J427" s="1" t="s">
        <v>2686</v>
      </c>
      <c r="M427" s="38"/>
      <c r="N427" s="38"/>
      <c r="O427" s="38"/>
      <c r="P427" s="38"/>
      <c r="Q427" s="38"/>
      <c r="R427" s="38"/>
      <c r="S427" s="38"/>
      <c r="T427" s="38"/>
      <c r="U427" s="38"/>
      <c r="V427" s="38"/>
      <c r="W427" s="38"/>
      <c r="X427" s="38"/>
      <c r="Y427" s="38"/>
      <c r="Z427" s="38"/>
    </row>
    <row r="428" spans="1:26" ht="15.75" customHeight="1" x14ac:dyDescent="0.2">
      <c r="A428" s="8" t="s">
        <v>914</v>
      </c>
      <c r="B428" s="1">
        <v>36.939841000000001</v>
      </c>
      <c r="C428" s="1" t="s">
        <v>1523</v>
      </c>
      <c r="D428" s="1" t="s">
        <v>1524</v>
      </c>
      <c r="E428" s="1" t="s">
        <v>2253</v>
      </c>
      <c r="F428" s="1" t="s">
        <v>1560</v>
      </c>
      <c r="G428" s="1" t="s">
        <v>2442</v>
      </c>
      <c r="H428" s="1" t="s">
        <v>2263</v>
      </c>
      <c r="I428" s="1" t="s">
        <v>2256</v>
      </c>
      <c r="J428" s="1" t="s">
        <v>2687</v>
      </c>
      <c r="M428" s="38"/>
      <c r="N428" s="38"/>
      <c r="O428" s="38"/>
      <c r="P428" s="38"/>
      <c r="Q428" s="38"/>
      <c r="R428" s="38"/>
      <c r="S428" s="38"/>
      <c r="T428" s="38"/>
      <c r="U428" s="38"/>
      <c r="V428" s="38"/>
      <c r="W428" s="38"/>
      <c r="X428" s="38"/>
      <c r="Y428" s="38"/>
      <c r="Z428" s="38"/>
    </row>
    <row r="429" spans="1:26" ht="15.75" customHeight="1" x14ac:dyDescent="0.2">
      <c r="A429" s="8" t="s">
        <v>914</v>
      </c>
      <c r="B429" s="1">
        <v>36.939841000000001</v>
      </c>
      <c r="C429" s="1" t="s">
        <v>1523</v>
      </c>
      <c r="D429" s="1" t="s">
        <v>1524</v>
      </c>
      <c r="E429" s="1" t="s">
        <v>2253</v>
      </c>
      <c r="F429" s="1" t="s">
        <v>1560</v>
      </c>
      <c r="G429" s="1" t="s">
        <v>2276</v>
      </c>
      <c r="H429" s="1" t="s">
        <v>2263</v>
      </c>
      <c r="I429" s="1" t="s">
        <v>2256</v>
      </c>
      <c r="J429" s="1" t="s">
        <v>2688</v>
      </c>
      <c r="M429" s="38"/>
      <c r="N429" s="38"/>
      <c r="O429" s="38"/>
      <c r="P429" s="38"/>
      <c r="Q429" s="38"/>
      <c r="R429" s="38"/>
      <c r="S429" s="38"/>
      <c r="T429" s="38"/>
      <c r="U429" s="38"/>
      <c r="V429" s="38"/>
      <c r="W429" s="38"/>
      <c r="X429" s="38"/>
      <c r="Y429" s="38"/>
      <c r="Z429" s="38"/>
    </row>
    <row r="430" spans="1:26" ht="15.75" customHeight="1" x14ac:dyDescent="0.2">
      <c r="A430" s="8" t="s">
        <v>914</v>
      </c>
      <c r="B430" s="1">
        <v>36.939841000000001</v>
      </c>
      <c r="C430" s="1" t="s">
        <v>1523</v>
      </c>
      <c r="D430" s="1" t="s">
        <v>1524</v>
      </c>
      <c r="E430" s="1" t="s">
        <v>2253</v>
      </c>
      <c r="F430" s="1" t="s">
        <v>1560</v>
      </c>
      <c r="G430" s="1" t="s">
        <v>2399</v>
      </c>
      <c r="H430" s="1" t="s">
        <v>2263</v>
      </c>
      <c r="I430" s="1" t="s">
        <v>2256</v>
      </c>
      <c r="J430" s="1" t="s">
        <v>2689</v>
      </c>
      <c r="M430" s="38"/>
      <c r="N430" s="38"/>
      <c r="O430" s="38"/>
      <c r="P430" s="38"/>
      <c r="Q430" s="38"/>
      <c r="R430" s="38"/>
      <c r="S430" s="38"/>
      <c r="T430" s="38"/>
      <c r="U430" s="38"/>
      <c r="V430" s="38"/>
      <c r="W430" s="38"/>
      <c r="X430" s="38"/>
      <c r="Y430" s="38"/>
      <c r="Z430" s="38"/>
    </row>
    <row r="431" spans="1:26" ht="15.75" customHeight="1" x14ac:dyDescent="0.2">
      <c r="A431" s="8" t="s">
        <v>926</v>
      </c>
      <c r="B431" s="1">
        <v>57.964229000000003</v>
      </c>
      <c r="C431" s="1" t="s">
        <v>1523</v>
      </c>
      <c r="D431" s="1" t="s">
        <v>1524</v>
      </c>
      <c r="E431" s="1" t="s">
        <v>2280</v>
      </c>
      <c r="F431" s="1" t="s">
        <v>1528</v>
      </c>
      <c r="G431" s="1" t="s">
        <v>2273</v>
      </c>
      <c r="H431" s="1" t="s">
        <v>2255</v>
      </c>
      <c r="I431" s="1" t="s">
        <v>2285</v>
      </c>
      <c r="J431" s="1" t="s">
        <v>2690</v>
      </c>
      <c r="M431" s="38"/>
      <c r="N431" s="38"/>
      <c r="O431" s="38"/>
      <c r="P431" s="38"/>
      <c r="Q431" s="38"/>
      <c r="R431" s="38"/>
      <c r="S431" s="38"/>
      <c r="T431" s="38"/>
      <c r="U431" s="38"/>
      <c r="V431" s="38"/>
      <c r="W431" s="38"/>
      <c r="X431" s="38"/>
      <c r="Y431" s="38"/>
      <c r="Z431" s="38"/>
    </row>
    <row r="432" spans="1:26" ht="15.75" customHeight="1" x14ac:dyDescent="0.2">
      <c r="A432" s="8" t="s">
        <v>926</v>
      </c>
      <c r="B432" s="1">
        <v>57.964229000000003</v>
      </c>
      <c r="C432" s="1" t="s">
        <v>1523</v>
      </c>
      <c r="D432" s="1" t="s">
        <v>1524</v>
      </c>
      <c r="E432" s="1" t="s">
        <v>2280</v>
      </c>
      <c r="F432" s="1" t="s">
        <v>1528</v>
      </c>
      <c r="G432" s="1" t="s">
        <v>2273</v>
      </c>
      <c r="H432" s="1" t="s">
        <v>2255</v>
      </c>
      <c r="I432" s="1" t="s">
        <v>2274</v>
      </c>
      <c r="J432" s="1" t="s">
        <v>2594</v>
      </c>
      <c r="M432" s="38"/>
      <c r="N432" s="38"/>
      <c r="O432" s="38"/>
      <c r="P432" s="38"/>
      <c r="Q432" s="38"/>
      <c r="R432" s="38"/>
      <c r="S432" s="38"/>
      <c r="T432" s="38"/>
      <c r="U432" s="38"/>
      <c r="V432" s="38"/>
      <c r="W432" s="38"/>
      <c r="X432" s="38"/>
      <c r="Y432" s="38"/>
      <c r="Z432" s="38"/>
    </row>
    <row r="433" spans="1:26" ht="15.75" customHeight="1" x14ac:dyDescent="0.2">
      <c r="A433" s="8" t="s">
        <v>926</v>
      </c>
      <c r="B433" s="1">
        <v>57.964229000000003</v>
      </c>
      <c r="C433" s="1" t="s">
        <v>1523</v>
      </c>
      <c r="D433" s="1" t="s">
        <v>1524</v>
      </c>
      <c r="E433" s="1" t="s">
        <v>2280</v>
      </c>
      <c r="F433" s="1" t="s">
        <v>1528</v>
      </c>
      <c r="G433" s="1" t="s">
        <v>2266</v>
      </c>
      <c r="H433" s="1" t="s">
        <v>2255</v>
      </c>
      <c r="I433" s="1" t="s">
        <v>2256</v>
      </c>
      <c r="J433" s="1" t="s">
        <v>2617</v>
      </c>
      <c r="M433" s="38"/>
      <c r="N433" s="38"/>
      <c r="O433" s="38"/>
      <c r="P433" s="38"/>
      <c r="Q433" s="38"/>
      <c r="R433" s="38"/>
      <c r="S433" s="38"/>
      <c r="T433" s="38"/>
      <c r="U433" s="38"/>
      <c r="V433" s="38"/>
      <c r="W433" s="38"/>
      <c r="X433" s="38"/>
      <c r="Y433" s="38"/>
      <c r="Z433" s="38"/>
    </row>
    <row r="434" spans="1:26" ht="15.75" customHeight="1" x14ac:dyDescent="0.2">
      <c r="A434" s="8" t="s">
        <v>825</v>
      </c>
      <c r="B434" s="1">
        <v>38.785190999999998</v>
      </c>
      <c r="C434" s="1" t="s">
        <v>1523</v>
      </c>
      <c r="D434" s="1" t="s">
        <v>1524</v>
      </c>
      <c r="E434" s="1" t="s">
        <v>2280</v>
      </c>
      <c r="F434" s="1" t="s">
        <v>1560</v>
      </c>
      <c r="G434" s="1" t="s">
        <v>2254</v>
      </c>
      <c r="H434" s="1" t="s">
        <v>2255</v>
      </c>
      <c r="I434" s="1" t="s">
        <v>2256</v>
      </c>
      <c r="J434" s="1" t="s">
        <v>2339</v>
      </c>
      <c r="M434" s="38"/>
      <c r="N434" s="38"/>
      <c r="O434" s="38"/>
      <c r="P434" s="38"/>
      <c r="Q434" s="38"/>
      <c r="R434" s="38"/>
      <c r="S434" s="38"/>
      <c r="T434" s="38"/>
      <c r="U434" s="38"/>
      <c r="V434" s="38"/>
      <c r="W434" s="38"/>
      <c r="X434" s="38"/>
      <c r="Y434" s="38"/>
      <c r="Z434" s="38"/>
    </row>
    <row r="435" spans="1:26" ht="15.75" customHeight="1" x14ac:dyDescent="0.2">
      <c r="A435" s="8" t="s">
        <v>825</v>
      </c>
      <c r="B435" s="1">
        <v>38.785190999999998</v>
      </c>
      <c r="C435" s="1" t="s">
        <v>1523</v>
      </c>
      <c r="D435" s="1" t="s">
        <v>1524</v>
      </c>
      <c r="E435" s="1" t="s">
        <v>2280</v>
      </c>
      <c r="F435" s="1" t="s">
        <v>1560</v>
      </c>
      <c r="G435" s="1" t="s">
        <v>2499</v>
      </c>
      <c r="H435" s="1" t="s">
        <v>2260</v>
      </c>
      <c r="I435" s="1" t="s">
        <v>2256</v>
      </c>
      <c r="J435" s="1" t="s">
        <v>2691</v>
      </c>
      <c r="M435" s="38"/>
      <c r="N435" s="38"/>
      <c r="O435" s="38"/>
      <c r="P435" s="38"/>
      <c r="Q435" s="38"/>
      <c r="R435" s="38"/>
      <c r="S435" s="38"/>
      <c r="T435" s="38"/>
      <c r="U435" s="38"/>
      <c r="V435" s="38"/>
      <c r="W435" s="38"/>
      <c r="X435" s="38"/>
      <c r="Y435" s="38"/>
      <c r="Z435" s="38"/>
    </row>
    <row r="436" spans="1:26" ht="15.75" customHeight="1" x14ac:dyDescent="0.2">
      <c r="A436" s="8" t="s">
        <v>825</v>
      </c>
      <c r="B436" s="1">
        <v>38.785190999999998</v>
      </c>
      <c r="C436" s="1" t="s">
        <v>1523</v>
      </c>
      <c r="D436" s="1" t="s">
        <v>1524</v>
      </c>
      <c r="E436" s="1" t="s">
        <v>2280</v>
      </c>
      <c r="F436" s="1" t="s">
        <v>1560</v>
      </c>
      <c r="G436" s="1" t="s">
        <v>2262</v>
      </c>
      <c r="H436" s="1" t="s">
        <v>2260</v>
      </c>
      <c r="I436" s="1" t="s">
        <v>2256</v>
      </c>
      <c r="J436" s="1" t="s">
        <v>2692</v>
      </c>
      <c r="M436" s="38"/>
      <c r="N436" s="38"/>
      <c r="O436" s="38"/>
      <c r="P436" s="38"/>
      <c r="Q436" s="38"/>
      <c r="R436" s="38"/>
      <c r="S436" s="38"/>
      <c r="T436" s="38"/>
      <c r="U436" s="38"/>
      <c r="V436" s="38"/>
      <c r="W436" s="38"/>
      <c r="X436" s="38"/>
      <c r="Y436" s="38"/>
      <c r="Z436" s="38"/>
    </row>
    <row r="437" spans="1:26" ht="15.75" customHeight="1" x14ac:dyDescent="0.2">
      <c r="A437" s="8" t="s">
        <v>825</v>
      </c>
      <c r="B437" s="1">
        <v>38.785190999999998</v>
      </c>
      <c r="C437" s="1" t="s">
        <v>1523</v>
      </c>
      <c r="D437" s="1" t="s">
        <v>1524</v>
      </c>
      <c r="E437" s="1" t="s">
        <v>2280</v>
      </c>
      <c r="F437" s="1" t="s">
        <v>1560</v>
      </c>
      <c r="G437" s="1" t="s">
        <v>2566</v>
      </c>
      <c r="H437" s="1" t="s">
        <v>2263</v>
      </c>
      <c r="I437" s="1" t="s">
        <v>2256</v>
      </c>
      <c r="J437" s="1" t="s">
        <v>2693</v>
      </c>
      <c r="M437" s="38"/>
      <c r="N437" s="38"/>
      <c r="O437" s="38"/>
      <c r="P437" s="38"/>
      <c r="Q437" s="38"/>
      <c r="R437" s="38"/>
      <c r="S437" s="38"/>
      <c r="T437" s="38"/>
      <c r="U437" s="38"/>
      <c r="V437" s="38"/>
      <c r="W437" s="38"/>
      <c r="X437" s="38"/>
      <c r="Y437" s="38"/>
      <c r="Z437" s="38"/>
    </row>
    <row r="438" spans="1:26" ht="15.75" customHeight="1" x14ac:dyDescent="0.2">
      <c r="A438" s="8" t="s">
        <v>825</v>
      </c>
      <c r="B438" s="1">
        <v>38.785190999999998</v>
      </c>
      <c r="C438" s="1" t="s">
        <v>1523</v>
      </c>
      <c r="D438" s="1" t="s">
        <v>1524</v>
      </c>
      <c r="E438" s="1" t="s">
        <v>2280</v>
      </c>
      <c r="F438" s="1" t="s">
        <v>1560</v>
      </c>
      <c r="G438" s="1" t="s">
        <v>1363</v>
      </c>
      <c r="H438" s="1" t="s">
        <v>2263</v>
      </c>
      <c r="I438" s="1" t="s">
        <v>2256</v>
      </c>
      <c r="J438" s="1" t="s">
        <v>2694</v>
      </c>
      <c r="M438" s="38"/>
      <c r="N438" s="38"/>
      <c r="O438" s="38"/>
      <c r="P438" s="38"/>
      <c r="Q438" s="38"/>
      <c r="R438" s="38"/>
      <c r="S438" s="38"/>
      <c r="T438" s="38"/>
      <c r="U438" s="38"/>
      <c r="V438" s="38"/>
      <c r="W438" s="38"/>
      <c r="X438" s="38"/>
      <c r="Y438" s="38"/>
      <c r="Z438" s="38"/>
    </row>
    <row r="439" spans="1:26" ht="15.75" customHeight="1" x14ac:dyDescent="0.2">
      <c r="A439" s="8" t="s">
        <v>825</v>
      </c>
      <c r="B439" s="1">
        <v>38.785190999999998</v>
      </c>
      <c r="C439" s="1" t="s">
        <v>1523</v>
      </c>
      <c r="D439" s="1" t="s">
        <v>1524</v>
      </c>
      <c r="E439" s="1" t="s">
        <v>2280</v>
      </c>
      <c r="F439" s="1" t="s">
        <v>1560</v>
      </c>
      <c r="G439" s="1" t="s">
        <v>2431</v>
      </c>
      <c r="H439" s="1" t="s">
        <v>2263</v>
      </c>
      <c r="I439" s="1" t="s">
        <v>2256</v>
      </c>
      <c r="J439" s="1" t="s">
        <v>2695</v>
      </c>
      <c r="M439" s="38"/>
      <c r="N439" s="38"/>
      <c r="O439" s="38"/>
      <c r="P439" s="38"/>
      <c r="Q439" s="38"/>
      <c r="R439" s="38"/>
      <c r="S439" s="38"/>
      <c r="T439" s="38"/>
      <c r="U439" s="38"/>
      <c r="V439" s="38"/>
      <c r="W439" s="38"/>
      <c r="X439" s="38"/>
      <c r="Y439" s="38"/>
      <c r="Z439" s="38"/>
    </row>
    <row r="440" spans="1:26" ht="15.75" customHeight="1" x14ac:dyDescent="0.2">
      <c r="A440" s="8" t="s">
        <v>929</v>
      </c>
      <c r="B440" s="1">
        <v>32.156717999999998</v>
      </c>
      <c r="C440" s="1" t="s">
        <v>1587</v>
      </c>
      <c r="D440" s="1" t="s">
        <v>1524</v>
      </c>
      <c r="E440" s="1" t="s">
        <v>2280</v>
      </c>
      <c r="F440" s="1" t="s">
        <v>1546</v>
      </c>
      <c r="G440" s="1" t="s">
        <v>2271</v>
      </c>
      <c r="H440" s="1" t="s">
        <v>2260</v>
      </c>
      <c r="I440" s="1" t="s">
        <v>2256</v>
      </c>
      <c r="J440" s="1" t="s">
        <v>2696</v>
      </c>
      <c r="M440" s="38"/>
      <c r="N440" s="38"/>
      <c r="O440" s="38"/>
      <c r="P440" s="38"/>
      <c r="Q440" s="38"/>
      <c r="R440" s="38"/>
      <c r="S440" s="38"/>
      <c r="T440" s="38"/>
      <c r="U440" s="38"/>
      <c r="V440" s="38"/>
      <c r="W440" s="38"/>
      <c r="X440" s="38"/>
      <c r="Y440" s="38"/>
      <c r="Z440" s="38"/>
    </row>
    <row r="441" spans="1:26" ht="15.75" customHeight="1" x14ac:dyDescent="0.2">
      <c r="A441" s="8" t="s">
        <v>929</v>
      </c>
      <c r="B441" s="1">
        <v>32.156717999999998</v>
      </c>
      <c r="C441" s="1" t="s">
        <v>1587</v>
      </c>
      <c r="D441" s="1" t="s">
        <v>1524</v>
      </c>
      <c r="E441" s="1" t="s">
        <v>2280</v>
      </c>
      <c r="F441" s="1" t="s">
        <v>1546</v>
      </c>
      <c r="G441" s="1" t="s">
        <v>2282</v>
      </c>
      <c r="H441" s="1" t="s">
        <v>2260</v>
      </c>
      <c r="I441" s="1" t="s">
        <v>2256</v>
      </c>
      <c r="J441" s="1" t="s">
        <v>2697</v>
      </c>
      <c r="M441" s="38"/>
      <c r="N441" s="38"/>
      <c r="O441" s="38"/>
      <c r="P441" s="38"/>
      <c r="Q441" s="38"/>
      <c r="R441" s="38"/>
      <c r="S441" s="38"/>
      <c r="T441" s="38"/>
      <c r="U441" s="38"/>
      <c r="V441" s="38"/>
      <c r="W441" s="38"/>
      <c r="X441" s="38"/>
      <c r="Y441" s="38"/>
      <c r="Z441" s="38"/>
    </row>
    <row r="442" spans="1:26" ht="15.75" customHeight="1" x14ac:dyDescent="0.2">
      <c r="A442" s="8" t="s">
        <v>935</v>
      </c>
      <c r="B442" s="1">
        <v>61.608269</v>
      </c>
      <c r="C442" s="1" t="s">
        <v>1523</v>
      </c>
      <c r="D442" s="1" t="s">
        <v>1524</v>
      </c>
      <c r="E442" s="1" t="s">
        <v>2280</v>
      </c>
      <c r="F442" s="1" t="s">
        <v>1561</v>
      </c>
      <c r="G442" s="1" t="s">
        <v>2266</v>
      </c>
      <c r="H442" s="1" t="s">
        <v>2255</v>
      </c>
      <c r="I442" s="1" t="s">
        <v>2256</v>
      </c>
      <c r="J442" s="1" t="s">
        <v>2617</v>
      </c>
      <c r="M442" s="38"/>
      <c r="N442" s="38"/>
      <c r="O442" s="38"/>
      <c r="P442" s="38"/>
      <c r="Q442" s="38"/>
      <c r="R442" s="38"/>
      <c r="S442" s="38"/>
      <c r="T442" s="38"/>
      <c r="U442" s="38"/>
      <c r="V442" s="38"/>
      <c r="W442" s="38"/>
      <c r="X442" s="38"/>
      <c r="Y442" s="38"/>
      <c r="Z442" s="38"/>
    </row>
    <row r="443" spans="1:26" ht="15.75" customHeight="1" x14ac:dyDescent="0.2">
      <c r="A443" s="8" t="s">
        <v>935</v>
      </c>
      <c r="B443" s="1">
        <v>61.608269</v>
      </c>
      <c r="C443" s="1" t="s">
        <v>1523</v>
      </c>
      <c r="D443" s="1" t="s">
        <v>1524</v>
      </c>
      <c r="E443" s="1" t="s">
        <v>2280</v>
      </c>
      <c r="F443" s="1" t="s">
        <v>1561</v>
      </c>
      <c r="G443" s="1" t="s">
        <v>2416</v>
      </c>
      <c r="H443" s="1" t="s">
        <v>2260</v>
      </c>
      <c r="I443" s="1" t="s">
        <v>2256</v>
      </c>
      <c r="J443" s="1" t="s">
        <v>2698</v>
      </c>
      <c r="M443" s="38"/>
      <c r="N443" s="38"/>
      <c r="O443" s="38"/>
      <c r="P443" s="38"/>
      <c r="Q443" s="38"/>
      <c r="R443" s="38"/>
      <c r="S443" s="38"/>
      <c r="T443" s="38"/>
      <c r="U443" s="38"/>
      <c r="V443" s="38"/>
      <c r="W443" s="38"/>
      <c r="X443" s="38"/>
      <c r="Y443" s="38"/>
      <c r="Z443" s="38"/>
    </row>
    <row r="444" spans="1:26" ht="15.75" customHeight="1" x14ac:dyDescent="0.2">
      <c r="A444" s="8" t="s">
        <v>935</v>
      </c>
      <c r="B444" s="1">
        <v>61.608269</v>
      </c>
      <c r="C444" s="1" t="s">
        <v>1523</v>
      </c>
      <c r="D444" s="1" t="s">
        <v>1524</v>
      </c>
      <c r="E444" s="1" t="s">
        <v>2280</v>
      </c>
      <c r="F444" s="1" t="s">
        <v>1561</v>
      </c>
      <c r="G444" s="1" t="s">
        <v>2271</v>
      </c>
      <c r="H444" s="1" t="s">
        <v>2260</v>
      </c>
      <c r="I444" s="1" t="s">
        <v>2256</v>
      </c>
      <c r="J444" s="1" t="s">
        <v>2699</v>
      </c>
      <c r="M444" s="38"/>
      <c r="N444" s="38"/>
      <c r="O444" s="38"/>
      <c r="P444" s="38"/>
      <c r="Q444" s="38"/>
      <c r="R444" s="38"/>
      <c r="S444" s="38"/>
      <c r="T444" s="38"/>
      <c r="U444" s="38"/>
      <c r="V444" s="38"/>
      <c r="W444" s="38"/>
      <c r="X444" s="38"/>
      <c r="Y444" s="38"/>
      <c r="Z444" s="38"/>
    </row>
    <row r="445" spans="1:26" ht="15.75" customHeight="1" x14ac:dyDescent="0.2">
      <c r="A445" s="8" t="s">
        <v>935</v>
      </c>
      <c r="B445" s="1">
        <v>61.608269</v>
      </c>
      <c r="C445" s="1" t="s">
        <v>1523</v>
      </c>
      <c r="D445" s="1" t="s">
        <v>1524</v>
      </c>
      <c r="E445" s="1" t="s">
        <v>2280</v>
      </c>
      <c r="F445" s="1" t="s">
        <v>1561</v>
      </c>
      <c r="G445" s="1" t="s">
        <v>2700</v>
      </c>
      <c r="H445" s="1" t="s">
        <v>2263</v>
      </c>
      <c r="I445" s="1" t="s">
        <v>2256</v>
      </c>
      <c r="J445" s="1" t="s">
        <v>2701</v>
      </c>
      <c r="M445" s="38"/>
      <c r="N445" s="38"/>
      <c r="O445" s="38"/>
      <c r="P445" s="38"/>
      <c r="Q445" s="38"/>
      <c r="R445" s="38"/>
      <c r="S445" s="38"/>
      <c r="T445" s="38"/>
      <c r="U445" s="38"/>
      <c r="V445" s="38"/>
      <c r="W445" s="38"/>
      <c r="X445" s="38"/>
      <c r="Y445" s="38"/>
      <c r="Z445" s="38"/>
    </row>
    <row r="446" spans="1:26" ht="15.75" customHeight="1" x14ac:dyDescent="0.2">
      <c r="A446" s="8" t="s">
        <v>940</v>
      </c>
      <c r="B446" s="1">
        <v>49</v>
      </c>
      <c r="C446" s="1" t="s">
        <v>1587</v>
      </c>
      <c r="D446" s="1" t="s">
        <v>1524</v>
      </c>
      <c r="E446" s="1" t="s">
        <v>2280</v>
      </c>
      <c r="F446" s="1" t="s">
        <v>1561</v>
      </c>
      <c r="G446" s="1" t="s">
        <v>2290</v>
      </c>
      <c r="H446" s="1" t="s">
        <v>2255</v>
      </c>
      <c r="I446" s="1" t="s">
        <v>2256</v>
      </c>
      <c r="J446" s="1" t="s">
        <v>2702</v>
      </c>
      <c r="M446" s="38"/>
      <c r="N446" s="38"/>
      <c r="O446" s="38"/>
      <c r="P446" s="38"/>
      <c r="Q446" s="38"/>
      <c r="R446" s="38"/>
      <c r="S446" s="38"/>
      <c r="T446" s="38"/>
      <c r="U446" s="38"/>
      <c r="V446" s="38"/>
      <c r="W446" s="38"/>
      <c r="X446" s="38"/>
      <c r="Y446" s="38"/>
      <c r="Z446" s="38"/>
    </row>
    <row r="447" spans="1:26" ht="15.75" customHeight="1" x14ac:dyDescent="0.2">
      <c r="A447" s="8" t="s">
        <v>944</v>
      </c>
      <c r="B447" s="1">
        <v>21.114739</v>
      </c>
      <c r="C447" s="1" t="s">
        <v>1523</v>
      </c>
      <c r="D447" s="1" t="s">
        <v>1524</v>
      </c>
      <c r="E447" s="1" t="s">
        <v>2343</v>
      </c>
      <c r="F447" s="1" t="s">
        <v>1560</v>
      </c>
      <c r="G447" s="1" t="s">
        <v>2254</v>
      </c>
      <c r="H447" s="1" t="s">
        <v>2255</v>
      </c>
      <c r="I447" s="1" t="s">
        <v>2703</v>
      </c>
      <c r="J447" s="1" t="s">
        <v>946</v>
      </c>
      <c r="M447" s="38"/>
      <c r="N447" s="38"/>
      <c r="O447" s="38"/>
      <c r="P447" s="38"/>
      <c r="Q447" s="38"/>
      <c r="R447" s="38"/>
      <c r="S447" s="38"/>
      <c r="T447" s="38"/>
      <c r="U447" s="38"/>
      <c r="V447" s="38"/>
      <c r="W447" s="38"/>
      <c r="X447" s="38"/>
      <c r="Y447" s="38"/>
      <c r="Z447" s="38"/>
    </row>
    <row r="448" spans="1:26" ht="15.75" customHeight="1" x14ac:dyDescent="0.2">
      <c r="A448" s="8" t="s">
        <v>944</v>
      </c>
      <c r="B448" s="1">
        <v>21.114739</v>
      </c>
      <c r="C448" s="1" t="s">
        <v>1523</v>
      </c>
      <c r="D448" s="1" t="s">
        <v>1524</v>
      </c>
      <c r="E448" s="1" t="s">
        <v>2343</v>
      </c>
      <c r="F448" s="1" t="s">
        <v>1560</v>
      </c>
      <c r="G448" s="1" t="s">
        <v>2262</v>
      </c>
      <c r="H448" s="1" t="s">
        <v>2260</v>
      </c>
      <c r="I448" s="1" t="s">
        <v>2256</v>
      </c>
      <c r="J448" s="1" t="s">
        <v>2704</v>
      </c>
      <c r="M448" s="38"/>
      <c r="N448" s="38"/>
      <c r="O448" s="38"/>
      <c r="P448" s="38"/>
      <c r="Q448" s="38"/>
      <c r="R448" s="38"/>
      <c r="S448" s="38"/>
      <c r="T448" s="38"/>
      <c r="U448" s="38"/>
      <c r="V448" s="38"/>
      <c r="W448" s="38"/>
      <c r="X448" s="38"/>
      <c r="Y448" s="38"/>
      <c r="Z448" s="38"/>
    </row>
    <row r="449" spans="1:26" ht="15.75" customHeight="1" x14ac:dyDescent="0.2">
      <c r="A449" s="8" t="s">
        <v>948</v>
      </c>
      <c r="B449" s="1">
        <v>57.580807999999998</v>
      </c>
      <c r="C449" s="1" t="s">
        <v>1523</v>
      </c>
      <c r="D449" s="1" t="s">
        <v>1578</v>
      </c>
      <c r="E449" s="1" t="s">
        <v>2280</v>
      </c>
      <c r="F449" s="1" t="s">
        <v>1528</v>
      </c>
      <c r="G449" s="1" t="s">
        <v>2266</v>
      </c>
      <c r="H449" s="1" t="s">
        <v>2255</v>
      </c>
      <c r="I449" s="1" t="s">
        <v>2256</v>
      </c>
      <c r="J449" s="1" t="s">
        <v>2617</v>
      </c>
      <c r="M449" s="38"/>
      <c r="N449" s="38"/>
      <c r="O449" s="38"/>
      <c r="P449" s="38"/>
      <c r="Q449" s="38"/>
      <c r="R449" s="38"/>
      <c r="S449" s="38"/>
      <c r="T449" s="38"/>
      <c r="U449" s="38"/>
      <c r="V449" s="38"/>
      <c r="W449" s="38"/>
      <c r="X449" s="38"/>
      <c r="Y449" s="38"/>
      <c r="Z449" s="38"/>
    </row>
    <row r="450" spans="1:26" ht="15.75" customHeight="1" x14ac:dyDescent="0.2">
      <c r="A450" s="8" t="s">
        <v>948</v>
      </c>
      <c r="B450" s="1">
        <v>57.580807999999998</v>
      </c>
      <c r="C450" s="1" t="s">
        <v>1523</v>
      </c>
      <c r="D450" s="1" t="s">
        <v>1578</v>
      </c>
      <c r="E450" s="1" t="s">
        <v>2280</v>
      </c>
      <c r="F450" s="1" t="s">
        <v>1528</v>
      </c>
      <c r="G450" s="1" t="s">
        <v>2557</v>
      </c>
      <c r="H450" s="1" t="s">
        <v>2255</v>
      </c>
      <c r="I450" s="1" t="s">
        <v>2285</v>
      </c>
      <c r="J450" s="1" t="s">
        <v>2705</v>
      </c>
      <c r="M450" s="38"/>
      <c r="N450" s="38"/>
      <c r="O450" s="38"/>
      <c r="P450" s="38"/>
      <c r="Q450" s="38"/>
      <c r="R450" s="38"/>
      <c r="S450" s="38"/>
      <c r="T450" s="38"/>
      <c r="U450" s="38"/>
      <c r="V450" s="38"/>
      <c r="W450" s="38"/>
      <c r="X450" s="38"/>
      <c r="Y450" s="38"/>
      <c r="Z450" s="38"/>
    </row>
    <row r="451" spans="1:26" ht="15.75" customHeight="1" x14ac:dyDescent="0.2">
      <c r="A451" s="8" t="s">
        <v>948</v>
      </c>
      <c r="B451" s="1">
        <v>57.580807999999998</v>
      </c>
      <c r="C451" s="1" t="s">
        <v>1523</v>
      </c>
      <c r="D451" s="1" t="s">
        <v>1578</v>
      </c>
      <c r="E451" s="1" t="s">
        <v>2280</v>
      </c>
      <c r="F451" s="1" t="s">
        <v>1528</v>
      </c>
      <c r="G451" s="1" t="s">
        <v>2273</v>
      </c>
      <c r="H451" s="1" t="s">
        <v>2260</v>
      </c>
      <c r="I451" s="1" t="s">
        <v>2256</v>
      </c>
      <c r="J451" s="1" t="s">
        <v>2706</v>
      </c>
      <c r="M451" s="38"/>
      <c r="N451" s="38"/>
      <c r="O451" s="38"/>
      <c r="P451" s="38"/>
      <c r="Q451" s="38"/>
      <c r="R451" s="38"/>
      <c r="S451" s="38"/>
      <c r="T451" s="38"/>
      <c r="U451" s="38"/>
      <c r="V451" s="38"/>
      <c r="W451" s="38"/>
      <c r="X451" s="38"/>
      <c r="Y451" s="38"/>
      <c r="Z451" s="38"/>
    </row>
    <row r="452" spans="1:26" ht="15.75" customHeight="1" x14ac:dyDescent="0.2">
      <c r="A452" s="8" t="s">
        <v>948</v>
      </c>
      <c r="B452" s="1">
        <v>57.580807999999998</v>
      </c>
      <c r="C452" s="1" t="s">
        <v>1523</v>
      </c>
      <c r="D452" s="1" t="s">
        <v>1578</v>
      </c>
      <c r="E452" s="1" t="s">
        <v>2280</v>
      </c>
      <c r="F452" s="1" t="s">
        <v>1528</v>
      </c>
      <c r="G452" s="1" t="s">
        <v>1363</v>
      </c>
      <c r="H452" s="1" t="s">
        <v>2263</v>
      </c>
      <c r="I452" s="1" t="s">
        <v>2256</v>
      </c>
      <c r="J452" s="1" t="s">
        <v>2707</v>
      </c>
      <c r="M452" s="38"/>
      <c r="N452" s="38"/>
      <c r="O452" s="38"/>
      <c r="P452" s="38"/>
      <c r="Q452" s="38"/>
      <c r="R452" s="38"/>
      <c r="S452" s="38"/>
      <c r="T452" s="38"/>
      <c r="U452" s="38"/>
      <c r="V452" s="38"/>
      <c r="W452" s="38"/>
      <c r="X452" s="38"/>
      <c r="Y452" s="38"/>
      <c r="Z452" s="38"/>
    </row>
    <row r="453" spans="1:26" ht="15.75" customHeight="1" x14ac:dyDescent="0.2">
      <c r="A453" s="8" t="s">
        <v>953</v>
      </c>
      <c r="B453" s="1">
        <v>45.807921999999998</v>
      </c>
      <c r="C453" s="1" t="s">
        <v>1523</v>
      </c>
      <c r="D453" s="1" t="s">
        <v>1524</v>
      </c>
      <c r="E453" s="1" t="s">
        <v>2253</v>
      </c>
      <c r="F453" s="1" t="s">
        <v>1601</v>
      </c>
      <c r="G453" s="1" t="s">
        <v>2309</v>
      </c>
      <c r="H453" s="1" t="s">
        <v>2255</v>
      </c>
      <c r="I453" s="1" t="s">
        <v>2256</v>
      </c>
      <c r="J453" s="1" t="s">
        <v>2708</v>
      </c>
      <c r="M453" s="38"/>
      <c r="N453" s="38"/>
      <c r="O453" s="38"/>
      <c r="P453" s="38"/>
      <c r="Q453" s="38"/>
      <c r="R453" s="38"/>
      <c r="S453" s="38"/>
      <c r="T453" s="38"/>
      <c r="U453" s="38"/>
      <c r="V453" s="38"/>
      <c r="W453" s="38"/>
      <c r="X453" s="38"/>
      <c r="Y453" s="38"/>
      <c r="Z453" s="38"/>
    </row>
    <row r="454" spans="1:26" ht="15.75" customHeight="1" x14ac:dyDescent="0.2">
      <c r="A454" s="8" t="s">
        <v>957</v>
      </c>
      <c r="B454" s="1">
        <v>50.076205000000002</v>
      </c>
      <c r="C454" s="1" t="s">
        <v>1587</v>
      </c>
      <c r="D454" s="1" t="s">
        <v>1524</v>
      </c>
      <c r="E454" s="1" t="s">
        <v>2253</v>
      </c>
      <c r="F454" s="1" t="s">
        <v>1528</v>
      </c>
      <c r="G454" s="1" t="s">
        <v>2266</v>
      </c>
      <c r="H454" s="1" t="s">
        <v>2255</v>
      </c>
      <c r="I454" s="1" t="s">
        <v>2256</v>
      </c>
      <c r="J454" s="1" t="s">
        <v>2617</v>
      </c>
      <c r="M454" s="38"/>
      <c r="N454" s="38"/>
      <c r="O454" s="38"/>
      <c r="P454" s="38"/>
      <c r="Q454" s="38"/>
      <c r="R454" s="38"/>
      <c r="S454" s="38"/>
      <c r="T454" s="38"/>
      <c r="U454" s="38"/>
      <c r="V454" s="38"/>
      <c r="W454" s="38"/>
      <c r="X454" s="38"/>
      <c r="Y454" s="38"/>
      <c r="Z454" s="38"/>
    </row>
    <row r="455" spans="1:26" ht="15.75" customHeight="1" x14ac:dyDescent="0.2">
      <c r="A455" s="8" t="s">
        <v>957</v>
      </c>
      <c r="B455" s="1">
        <v>50.076205000000002</v>
      </c>
      <c r="C455" s="1" t="s">
        <v>1587</v>
      </c>
      <c r="D455" s="1" t="s">
        <v>1524</v>
      </c>
      <c r="E455" s="1" t="s">
        <v>2253</v>
      </c>
      <c r="F455" s="1" t="s">
        <v>1528</v>
      </c>
      <c r="G455" s="1" t="s">
        <v>2273</v>
      </c>
      <c r="H455" s="1" t="s">
        <v>2263</v>
      </c>
      <c r="I455" s="1" t="s">
        <v>2256</v>
      </c>
      <c r="J455" s="1" t="s">
        <v>2709</v>
      </c>
      <c r="M455" s="38"/>
      <c r="N455" s="38"/>
      <c r="O455" s="38"/>
      <c r="P455" s="38"/>
      <c r="Q455" s="38"/>
      <c r="R455" s="38"/>
      <c r="S455" s="38"/>
      <c r="T455" s="38"/>
      <c r="U455" s="38"/>
      <c r="V455" s="38"/>
      <c r="W455" s="38"/>
      <c r="X455" s="38"/>
      <c r="Y455" s="38"/>
      <c r="Z455" s="38"/>
    </row>
    <row r="456" spans="1:26" ht="15.75" customHeight="1" x14ac:dyDescent="0.2">
      <c r="A456" s="8" t="s">
        <v>960</v>
      </c>
      <c r="B456" s="1">
        <v>71.426518000000002</v>
      </c>
      <c r="C456" s="1" t="s">
        <v>1523</v>
      </c>
      <c r="D456" s="1" t="s">
        <v>1524</v>
      </c>
      <c r="E456" s="1" t="s">
        <v>2343</v>
      </c>
      <c r="F456" s="1" t="s">
        <v>1528</v>
      </c>
      <c r="G456" s="1" t="s">
        <v>2273</v>
      </c>
      <c r="H456" s="1" t="s">
        <v>2255</v>
      </c>
      <c r="I456" s="1" t="s">
        <v>2285</v>
      </c>
      <c r="J456" s="1" t="s">
        <v>2710</v>
      </c>
      <c r="M456" s="38"/>
      <c r="N456" s="38"/>
      <c r="O456" s="38"/>
      <c r="P456" s="38"/>
      <c r="Q456" s="38"/>
      <c r="R456" s="38"/>
      <c r="S456" s="38"/>
      <c r="T456" s="38"/>
      <c r="U456" s="38"/>
      <c r="V456" s="38"/>
      <c r="W456" s="38"/>
      <c r="X456" s="38"/>
      <c r="Y456" s="38"/>
      <c r="Z456" s="38"/>
    </row>
    <row r="457" spans="1:26" ht="15.75" customHeight="1" x14ac:dyDescent="0.2">
      <c r="A457" s="8" t="s">
        <v>960</v>
      </c>
      <c r="B457" s="1">
        <v>71.426518000000002</v>
      </c>
      <c r="C457" s="1" t="s">
        <v>1523</v>
      </c>
      <c r="D457" s="1" t="s">
        <v>1524</v>
      </c>
      <c r="E457" s="1" t="s">
        <v>2343</v>
      </c>
      <c r="F457" s="1" t="s">
        <v>1528</v>
      </c>
      <c r="G457" s="1" t="s">
        <v>2302</v>
      </c>
      <c r="H457" s="1" t="s">
        <v>2255</v>
      </c>
      <c r="I457" s="1" t="s">
        <v>2285</v>
      </c>
      <c r="J457" s="1" t="s">
        <v>2621</v>
      </c>
      <c r="M457" s="38"/>
      <c r="N457" s="38"/>
      <c r="O457" s="38"/>
      <c r="P457" s="38"/>
      <c r="Q457" s="38"/>
      <c r="R457" s="38"/>
      <c r="S457" s="38"/>
      <c r="T457" s="38"/>
      <c r="U457" s="38"/>
      <c r="V457" s="38"/>
      <c r="W457" s="38"/>
      <c r="X457" s="38"/>
      <c r="Y457" s="38"/>
      <c r="Z457" s="38"/>
    </row>
    <row r="458" spans="1:26" ht="15.75" customHeight="1" x14ac:dyDescent="0.2">
      <c r="A458" s="8" t="s">
        <v>967</v>
      </c>
      <c r="B458" s="1">
        <v>29.216206</v>
      </c>
      <c r="C458" s="1" t="s">
        <v>1587</v>
      </c>
      <c r="D458" s="1" t="s">
        <v>1524</v>
      </c>
      <c r="E458" s="1" t="s">
        <v>2280</v>
      </c>
      <c r="F458" s="1" t="s">
        <v>1583</v>
      </c>
      <c r="G458" s="1" t="s">
        <v>2341</v>
      </c>
      <c r="H458" s="1" t="s">
        <v>2260</v>
      </c>
      <c r="I458" s="1" t="s">
        <v>2256</v>
      </c>
      <c r="J458" s="1" t="s">
        <v>2711</v>
      </c>
      <c r="M458" s="38"/>
      <c r="N458" s="38"/>
      <c r="O458" s="38"/>
      <c r="P458" s="38"/>
      <c r="Q458" s="38"/>
      <c r="R458" s="38"/>
      <c r="S458" s="38"/>
      <c r="T458" s="38"/>
      <c r="U458" s="38"/>
      <c r="V458" s="38"/>
      <c r="W458" s="38"/>
      <c r="X458" s="38"/>
      <c r="Y458" s="38"/>
      <c r="Z458" s="38"/>
    </row>
    <row r="459" spans="1:26" ht="15.75" customHeight="1" x14ac:dyDescent="0.2">
      <c r="A459" s="8" t="s">
        <v>967</v>
      </c>
      <c r="B459" s="1">
        <v>29.216206</v>
      </c>
      <c r="C459" s="1" t="s">
        <v>1587</v>
      </c>
      <c r="D459" s="1" t="s">
        <v>1524</v>
      </c>
      <c r="E459" s="1" t="s">
        <v>2280</v>
      </c>
      <c r="F459" s="1" t="s">
        <v>1583</v>
      </c>
      <c r="G459" s="1" t="s">
        <v>2397</v>
      </c>
      <c r="H459" s="1" t="s">
        <v>2263</v>
      </c>
      <c r="I459" s="1" t="s">
        <v>2256</v>
      </c>
      <c r="J459" s="1" t="s">
        <v>2712</v>
      </c>
      <c r="M459" s="38"/>
      <c r="N459" s="38"/>
      <c r="O459" s="38"/>
      <c r="P459" s="38"/>
      <c r="Q459" s="38"/>
      <c r="R459" s="38"/>
      <c r="S459" s="38"/>
      <c r="T459" s="38"/>
      <c r="U459" s="38"/>
      <c r="V459" s="38"/>
      <c r="W459" s="38"/>
      <c r="X459" s="38"/>
      <c r="Y459" s="38"/>
      <c r="Z459" s="38"/>
    </row>
    <row r="460" spans="1:26" ht="15.75" customHeight="1" x14ac:dyDescent="0.2">
      <c r="A460" s="8" t="s">
        <v>971</v>
      </c>
      <c r="B460" s="1">
        <v>53.005879999999998</v>
      </c>
      <c r="C460" s="1" t="s">
        <v>1587</v>
      </c>
      <c r="D460" s="1" t="s">
        <v>1524</v>
      </c>
      <c r="E460" s="1" t="s">
        <v>2343</v>
      </c>
      <c r="F460" s="1" t="s">
        <v>1528</v>
      </c>
      <c r="G460" s="1" t="s">
        <v>2295</v>
      </c>
      <c r="H460" s="1" t="s">
        <v>2260</v>
      </c>
      <c r="I460" s="1" t="s">
        <v>2285</v>
      </c>
      <c r="J460" s="1" t="s">
        <v>2713</v>
      </c>
      <c r="M460" s="38"/>
      <c r="N460" s="38"/>
      <c r="O460" s="38"/>
      <c r="P460" s="38"/>
      <c r="Q460" s="38"/>
      <c r="R460" s="38"/>
      <c r="S460" s="38"/>
      <c r="T460" s="38"/>
      <c r="U460" s="38"/>
      <c r="V460" s="38"/>
      <c r="W460" s="38"/>
      <c r="X460" s="38"/>
      <c r="Y460" s="38"/>
      <c r="Z460" s="38"/>
    </row>
    <row r="461" spans="1:26" ht="15.75" customHeight="1" x14ac:dyDescent="0.2">
      <c r="A461" s="8" t="s">
        <v>971</v>
      </c>
      <c r="B461" s="1">
        <v>53.005879999999998</v>
      </c>
      <c r="C461" s="1" t="s">
        <v>1587</v>
      </c>
      <c r="D461" s="1" t="s">
        <v>1524</v>
      </c>
      <c r="E461" s="1" t="s">
        <v>2343</v>
      </c>
      <c r="F461" s="1" t="s">
        <v>1528</v>
      </c>
      <c r="G461" s="1" t="s">
        <v>2299</v>
      </c>
      <c r="H461" s="1" t="s">
        <v>2260</v>
      </c>
      <c r="I461" s="1" t="s">
        <v>2285</v>
      </c>
      <c r="J461" s="1" t="s">
        <v>2714</v>
      </c>
      <c r="M461" s="38"/>
      <c r="N461" s="38"/>
      <c r="O461" s="38"/>
      <c r="P461" s="38"/>
      <c r="Q461" s="38"/>
      <c r="R461" s="38"/>
      <c r="S461" s="38"/>
      <c r="T461" s="38"/>
      <c r="U461" s="38"/>
      <c r="V461" s="38"/>
      <c r="W461" s="38"/>
      <c r="X461" s="38"/>
      <c r="Y461" s="38"/>
      <c r="Z461" s="38"/>
    </row>
    <row r="462" spans="1:26" ht="15.75" customHeight="1" x14ac:dyDescent="0.2">
      <c r="A462" s="8" t="s">
        <v>971</v>
      </c>
      <c r="B462" s="1">
        <v>53.005879999999998</v>
      </c>
      <c r="C462" s="1" t="s">
        <v>1587</v>
      </c>
      <c r="D462" s="1" t="s">
        <v>1524</v>
      </c>
      <c r="E462" s="1" t="s">
        <v>2343</v>
      </c>
      <c r="F462" s="1" t="s">
        <v>1528</v>
      </c>
      <c r="G462" s="1" t="s">
        <v>2262</v>
      </c>
      <c r="H462" s="1" t="s">
        <v>2260</v>
      </c>
      <c r="I462" s="1" t="s">
        <v>2256</v>
      </c>
      <c r="J462" s="1" t="s">
        <v>2715</v>
      </c>
      <c r="M462" s="38"/>
      <c r="N462" s="38"/>
      <c r="O462" s="38"/>
      <c r="P462" s="38"/>
      <c r="Q462" s="38"/>
      <c r="R462" s="38"/>
      <c r="S462" s="38"/>
      <c r="T462" s="38"/>
      <c r="U462" s="38"/>
      <c r="V462" s="38"/>
      <c r="W462" s="38"/>
      <c r="X462" s="38"/>
      <c r="Y462" s="38"/>
      <c r="Z462" s="38"/>
    </row>
    <row r="463" spans="1:26" ht="15.75" customHeight="1" x14ac:dyDescent="0.2">
      <c r="A463" s="8" t="s">
        <v>976</v>
      </c>
      <c r="B463" s="1">
        <v>52.964697000000001</v>
      </c>
      <c r="C463" s="1" t="s">
        <v>1523</v>
      </c>
      <c r="D463" s="1" t="s">
        <v>1524</v>
      </c>
      <c r="E463" s="1" t="s">
        <v>2280</v>
      </c>
      <c r="F463" s="1" t="s">
        <v>1528</v>
      </c>
      <c r="G463" s="1" t="s">
        <v>2273</v>
      </c>
      <c r="H463" s="1" t="s">
        <v>2255</v>
      </c>
      <c r="I463" s="1" t="s">
        <v>2274</v>
      </c>
      <c r="J463" s="1" t="s">
        <v>2594</v>
      </c>
      <c r="M463" s="38"/>
      <c r="N463" s="38"/>
      <c r="O463" s="38"/>
      <c r="P463" s="38"/>
      <c r="Q463" s="38"/>
      <c r="R463" s="38"/>
      <c r="S463" s="38"/>
      <c r="T463" s="38"/>
      <c r="U463" s="38"/>
      <c r="V463" s="38"/>
      <c r="W463" s="38"/>
      <c r="X463" s="38"/>
      <c r="Y463" s="38"/>
      <c r="Z463" s="38"/>
    </row>
    <row r="464" spans="1:26" ht="15.75" customHeight="1" x14ac:dyDescent="0.2">
      <c r="A464" s="8" t="s">
        <v>976</v>
      </c>
      <c r="B464" s="1">
        <v>52.964697000000001</v>
      </c>
      <c r="C464" s="1" t="s">
        <v>1523</v>
      </c>
      <c r="D464" s="1" t="s">
        <v>1524</v>
      </c>
      <c r="E464" s="1" t="s">
        <v>2280</v>
      </c>
      <c r="F464" s="1" t="s">
        <v>1528</v>
      </c>
      <c r="G464" s="1" t="s">
        <v>2302</v>
      </c>
      <c r="H464" s="1" t="s">
        <v>2255</v>
      </c>
      <c r="I464" s="1" t="s">
        <v>2285</v>
      </c>
      <c r="J464" s="1" t="s">
        <v>2716</v>
      </c>
      <c r="M464" s="38"/>
      <c r="N464" s="38"/>
      <c r="O464" s="38"/>
      <c r="P464" s="38"/>
      <c r="Q464" s="38"/>
      <c r="R464" s="38"/>
      <c r="S464" s="38"/>
      <c r="T464" s="38"/>
      <c r="U464" s="38"/>
      <c r="V464" s="38"/>
      <c r="W464" s="38"/>
      <c r="X464" s="38"/>
      <c r="Y464" s="38"/>
      <c r="Z464" s="38"/>
    </row>
    <row r="465" spans="1:26" ht="15.75" customHeight="1" x14ac:dyDescent="0.2">
      <c r="A465" s="8" t="s">
        <v>976</v>
      </c>
      <c r="B465" s="1">
        <v>52.964697000000001</v>
      </c>
      <c r="C465" s="1" t="s">
        <v>1523</v>
      </c>
      <c r="D465" s="1" t="s">
        <v>1524</v>
      </c>
      <c r="E465" s="1" t="s">
        <v>2280</v>
      </c>
      <c r="F465" s="1" t="s">
        <v>1528</v>
      </c>
      <c r="G465" s="1" t="s">
        <v>2557</v>
      </c>
      <c r="H465" s="1" t="s">
        <v>2255</v>
      </c>
      <c r="I465" s="1" t="s">
        <v>2285</v>
      </c>
      <c r="J465" s="1" t="s">
        <v>2717</v>
      </c>
      <c r="M465" s="38"/>
      <c r="N465" s="38"/>
      <c r="O465" s="38"/>
      <c r="P465" s="38"/>
      <c r="Q465" s="38"/>
      <c r="R465" s="38"/>
      <c r="S465" s="38"/>
      <c r="T465" s="38"/>
      <c r="U465" s="38"/>
      <c r="V465" s="38"/>
      <c r="W465" s="38"/>
      <c r="X465" s="38"/>
      <c r="Y465" s="38"/>
      <c r="Z465" s="38"/>
    </row>
    <row r="466" spans="1:26" ht="15.75" customHeight="1" x14ac:dyDescent="0.2">
      <c r="A466" s="8" t="s">
        <v>976</v>
      </c>
      <c r="B466" s="1">
        <v>52.964697000000001</v>
      </c>
      <c r="C466" s="1" t="s">
        <v>1523</v>
      </c>
      <c r="D466" s="1" t="s">
        <v>1524</v>
      </c>
      <c r="E466" s="1" t="s">
        <v>2280</v>
      </c>
      <c r="F466" s="1" t="s">
        <v>1528</v>
      </c>
      <c r="G466" s="1" t="s">
        <v>2273</v>
      </c>
      <c r="H466" s="1" t="s">
        <v>2255</v>
      </c>
      <c r="I466" s="1" t="s">
        <v>2285</v>
      </c>
      <c r="J466" s="1" t="s">
        <v>2718</v>
      </c>
      <c r="M466" s="38"/>
      <c r="N466" s="38"/>
      <c r="O466" s="38"/>
      <c r="P466" s="38"/>
      <c r="Q466" s="38"/>
      <c r="R466" s="38"/>
      <c r="S466" s="38"/>
      <c r="T466" s="38"/>
      <c r="U466" s="38"/>
      <c r="V466" s="38"/>
      <c r="W466" s="38"/>
      <c r="X466" s="38"/>
      <c r="Y466" s="38"/>
      <c r="Z466" s="38"/>
    </row>
    <row r="467" spans="1:26" ht="15.75" customHeight="1" x14ac:dyDescent="0.2">
      <c r="A467" s="8" t="s">
        <v>976</v>
      </c>
      <c r="B467" s="1">
        <v>52.964697000000001</v>
      </c>
      <c r="C467" s="1" t="s">
        <v>1523</v>
      </c>
      <c r="D467" s="1" t="s">
        <v>1524</v>
      </c>
      <c r="E467" s="1" t="s">
        <v>2280</v>
      </c>
      <c r="F467" s="1" t="s">
        <v>1528</v>
      </c>
      <c r="G467" s="1" t="s">
        <v>2266</v>
      </c>
      <c r="H467" s="1" t="s">
        <v>2255</v>
      </c>
      <c r="I467" s="1" t="s">
        <v>2256</v>
      </c>
      <c r="J467" s="1" t="s">
        <v>2617</v>
      </c>
      <c r="M467" s="38"/>
      <c r="N467" s="38"/>
      <c r="O467" s="38"/>
      <c r="P467" s="38"/>
      <c r="Q467" s="38"/>
      <c r="R467" s="38"/>
      <c r="S467" s="38"/>
      <c r="T467" s="38"/>
      <c r="U467" s="38"/>
      <c r="V467" s="38"/>
      <c r="W467" s="38"/>
      <c r="X467" s="38"/>
      <c r="Y467" s="38"/>
      <c r="Z467" s="38"/>
    </row>
    <row r="468" spans="1:26" ht="15.75" customHeight="1" x14ac:dyDescent="0.2">
      <c r="A468" s="8" t="s">
        <v>976</v>
      </c>
      <c r="B468" s="1">
        <v>52.964697000000001</v>
      </c>
      <c r="C468" s="1" t="s">
        <v>1523</v>
      </c>
      <c r="D468" s="1" t="s">
        <v>1524</v>
      </c>
      <c r="E468" s="1" t="s">
        <v>2280</v>
      </c>
      <c r="F468" s="1" t="s">
        <v>1528</v>
      </c>
      <c r="G468" s="1" t="s">
        <v>2273</v>
      </c>
      <c r="H468" s="1" t="s">
        <v>2260</v>
      </c>
      <c r="I468" s="1" t="s">
        <v>2256</v>
      </c>
      <c r="J468" s="1" t="s">
        <v>2719</v>
      </c>
      <c r="M468" s="38"/>
      <c r="N468" s="38"/>
      <c r="O468" s="38"/>
      <c r="P468" s="38"/>
      <c r="Q468" s="38"/>
      <c r="R468" s="38"/>
      <c r="S468" s="38"/>
      <c r="T468" s="38"/>
      <c r="U468" s="38"/>
      <c r="V468" s="38"/>
      <c r="W468" s="38"/>
      <c r="X468" s="38"/>
      <c r="Y468" s="38"/>
      <c r="Z468" s="38"/>
    </row>
    <row r="469" spans="1:26" ht="15.75" customHeight="1" x14ac:dyDescent="0.2">
      <c r="A469" s="8" t="s">
        <v>976</v>
      </c>
      <c r="B469" s="1">
        <v>52.964697000000001</v>
      </c>
      <c r="C469" s="1" t="s">
        <v>1523</v>
      </c>
      <c r="D469" s="1" t="s">
        <v>1524</v>
      </c>
      <c r="E469" s="1" t="s">
        <v>2280</v>
      </c>
      <c r="F469" s="1" t="s">
        <v>1528</v>
      </c>
      <c r="G469" s="1" t="s">
        <v>2273</v>
      </c>
      <c r="H469" s="1" t="s">
        <v>2260</v>
      </c>
      <c r="I469" s="1" t="s">
        <v>2256</v>
      </c>
      <c r="J469" s="1" t="s">
        <v>2720</v>
      </c>
      <c r="M469" s="38"/>
      <c r="N469" s="38"/>
      <c r="O469" s="38"/>
      <c r="P469" s="38"/>
      <c r="Q469" s="38"/>
      <c r="R469" s="38"/>
      <c r="S469" s="38"/>
      <c r="T469" s="38"/>
      <c r="U469" s="38"/>
      <c r="V469" s="38"/>
      <c r="W469" s="38"/>
      <c r="X469" s="38"/>
      <c r="Y469" s="38"/>
      <c r="Z469" s="38"/>
    </row>
    <row r="470" spans="1:26" ht="15.75" customHeight="1" x14ac:dyDescent="0.2">
      <c r="A470" s="8" t="s">
        <v>976</v>
      </c>
      <c r="B470" s="1">
        <v>52.964697000000001</v>
      </c>
      <c r="C470" s="1" t="s">
        <v>1523</v>
      </c>
      <c r="D470" s="1" t="s">
        <v>1524</v>
      </c>
      <c r="E470" s="1" t="s">
        <v>2280</v>
      </c>
      <c r="F470" s="1" t="s">
        <v>1528</v>
      </c>
      <c r="G470" s="1" t="s">
        <v>2287</v>
      </c>
      <c r="H470" s="1" t="s">
        <v>2260</v>
      </c>
      <c r="I470" s="1" t="s">
        <v>2256</v>
      </c>
      <c r="J470" s="1" t="s">
        <v>2721</v>
      </c>
      <c r="M470" s="38"/>
      <c r="N470" s="38"/>
      <c r="O470" s="38"/>
      <c r="P470" s="38"/>
      <c r="Q470" s="38"/>
      <c r="R470" s="38"/>
      <c r="S470" s="38"/>
      <c r="T470" s="38"/>
      <c r="U470" s="38"/>
      <c r="V470" s="38"/>
      <c r="W470" s="38"/>
      <c r="X470" s="38"/>
      <c r="Y470" s="38"/>
      <c r="Z470" s="38"/>
    </row>
    <row r="471" spans="1:26" ht="15.75" customHeight="1" x14ac:dyDescent="0.2">
      <c r="A471" s="8" t="s">
        <v>984</v>
      </c>
      <c r="B471" s="1">
        <v>34.160865999999999</v>
      </c>
      <c r="C471" s="1" t="s">
        <v>1523</v>
      </c>
      <c r="D471" s="1" t="s">
        <v>1524</v>
      </c>
      <c r="E471" s="1" t="s">
        <v>2253</v>
      </c>
      <c r="F471" s="1" t="s">
        <v>1560</v>
      </c>
      <c r="G471" s="1" t="s">
        <v>2302</v>
      </c>
      <c r="H471" s="1" t="s">
        <v>2255</v>
      </c>
      <c r="I471" s="1" t="s">
        <v>2285</v>
      </c>
      <c r="J471" s="1" t="s">
        <v>2621</v>
      </c>
      <c r="M471" s="38"/>
      <c r="N471" s="38"/>
      <c r="O471" s="38"/>
      <c r="P471" s="38"/>
      <c r="Q471" s="38"/>
      <c r="R471" s="38"/>
      <c r="S471" s="38"/>
      <c r="T471" s="38"/>
      <c r="U471" s="38"/>
      <c r="V471" s="38"/>
      <c r="W471" s="38"/>
      <c r="X471" s="38"/>
      <c r="Y471" s="38"/>
      <c r="Z471" s="38"/>
    </row>
    <row r="472" spans="1:26" ht="15.75" customHeight="1" x14ac:dyDescent="0.2">
      <c r="A472" s="8" t="s">
        <v>984</v>
      </c>
      <c r="B472" s="1">
        <v>34.160865999999999</v>
      </c>
      <c r="C472" s="1" t="s">
        <v>1523</v>
      </c>
      <c r="D472" s="1" t="s">
        <v>1524</v>
      </c>
      <c r="E472" s="1" t="s">
        <v>2253</v>
      </c>
      <c r="F472" s="1" t="s">
        <v>1560</v>
      </c>
      <c r="G472" s="1" t="s">
        <v>2557</v>
      </c>
      <c r="H472" s="1" t="s">
        <v>2255</v>
      </c>
      <c r="I472" s="1" t="s">
        <v>2285</v>
      </c>
      <c r="J472" s="1" t="s">
        <v>2558</v>
      </c>
      <c r="M472" s="38"/>
      <c r="N472" s="38"/>
      <c r="O472" s="38"/>
      <c r="P472" s="38"/>
      <c r="Q472" s="38"/>
      <c r="R472" s="38"/>
      <c r="S472" s="38"/>
      <c r="T472" s="38"/>
      <c r="U472" s="38"/>
      <c r="V472" s="38"/>
      <c r="W472" s="38"/>
      <c r="X472" s="38"/>
      <c r="Y472" s="38"/>
      <c r="Z472" s="38"/>
    </row>
    <row r="473" spans="1:26" ht="15.75" customHeight="1" x14ac:dyDescent="0.2">
      <c r="A473" s="8" t="s">
        <v>984</v>
      </c>
      <c r="B473" s="1">
        <v>34.160865999999999</v>
      </c>
      <c r="C473" s="1" t="s">
        <v>1523</v>
      </c>
      <c r="D473" s="1" t="s">
        <v>1524</v>
      </c>
      <c r="E473" s="1" t="s">
        <v>2253</v>
      </c>
      <c r="F473" s="1" t="s">
        <v>1560</v>
      </c>
      <c r="G473" s="1" t="s">
        <v>2254</v>
      </c>
      <c r="H473" s="1" t="s">
        <v>2255</v>
      </c>
      <c r="I473" s="1" t="s">
        <v>2256</v>
      </c>
      <c r="J473" s="1" t="s">
        <v>946</v>
      </c>
      <c r="M473" s="38"/>
      <c r="N473" s="38"/>
      <c r="O473" s="38"/>
      <c r="P473" s="38"/>
      <c r="Q473" s="38"/>
      <c r="R473" s="38"/>
      <c r="S473" s="38"/>
      <c r="T473" s="38"/>
      <c r="U473" s="38"/>
      <c r="V473" s="38"/>
      <c r="W473" s="38"/>
      <c r="X473" s="38"/>
      <c r="Y473" s="38"/>
      <c r="Z473" s="38"/>
    </row>
    <row r="474" spans="1:26" ht="15.75" customHeight="1" x14ac:dyDescent="0.2">
      <c r="A474" s="8" t="s">
        <v>984</v>
      </c>
      <c r="B474" s="1">
        <v>34.160865999999999</v>
      </c>
      <c r="C474" s="1" t="s">
        <v>1523</v>
      </c>
      <c r="D474" s="1" t="s">
        <v>1524</v>
      </c>
      <c r="E474" s="1" t="s">
        <v>2253</v>
      </c>
      <c r="F474" s="1" t="s">
        <v>1560</v>
      </c>
      <c r="G474" s="1" t="s">
        <v>2299</v>
      </c>
      <c r="H474" s="1" t="s">
        <v>2260</v>
      </c>
      <c r="I474" s="1" t="s">
        <v>2285</v>
      </c>
      <c r="J474" s="1" t="s">
        <v>2722</v>
      </c>
      <c r="M474" s="38"/>
      <c r="N474" s="38"/>
      <c r="O474" s="38"/>
      <c r="P474" s="38"/>
      <c r="Q474" s="38"/>
      <c r="R474" s="38"/>
      <c r="S474" s="38"/>
      <c r="T474" s="38"/>
      <c r="U474" s="38"/>
      <c r="V474" s="38"/>
      <c r="W474" s="38"/>
      <c r="X474" s="38"/>
      <c r="Y474" s="38"/>
      <c r="Z474" s="38"/>
    </row>
    <row r="475" spans="1:26" ht="15.75" customHeight="1" x14ac:dyDescent="0.2">
      <c r="A475" s="8" t="s">
        <v>984</v>
      </c>
      <c r="B475" s="1">
        <v>34.160865999999999</v>
      </c>
      <c r="C475" s="1" t="s">
        <v>1523</v>
      </c>
      <c r="D475" s="1" t="s">
        <v>1524</v>
      </c>
      <c r="E475" s="1" t="s">
        <v>2253</v>
      </c>
      <c r="F475" s="1" t="s">
        <v>1560</v>
      </c>
      <c r="G475" s="1" t="s">
        <v>2262</v>
      </c>
      <c r="H475" s="1" t="s">
        <v>2260</v>
      </c>
      <c r="I475" s="1" t="s">
        <v>2256</v>
      </c>
      <c r="J475" s="1" t="s">
        <v>2723</v>
      </c>
      <c r="M475" s="38"/>
      <c r="N475" s="38"/>
      <c r="O475" s="38"/>
      <c r="P475" s="38"/>
      <c r="Q475" s="38"/>
      <c r="R475" s="38"/>
      <c r="S475" s="38"/>
      <c r="T475" s="38"/>
      <c r="U475" s="38"/>
      <c r="V475" s="38"/>
      <c r="W475" s="38"/>
      <c r="X475" s="38"/>
      <c r="Y475" s="38"/>
      <c r="Z475" s="38"/>
    </row>
    <row r="476" spans="1:26" ht="15.75" customHeight="1" x14ac:dyDescent="0.2">
      <c r="A476" s="8" t="s">
        <v>984</v>
      </c>
      <c r="B476" s="1">
        <v>34.160865999999999</v>
      </c>
      <c r="C476" s="1" t="s">
        <v>1523</v>
      </c>
      <c r="D476" s="1" t="s">
        <v>1524</v>
      </c>
      <c r="E476" s="1" t="s">
        <v>2253</v>
      </c>
      <c r="F476" s="1" t="s">
        <v>1560</v>
      </c>
      <c r="G476" s="1" t="s">
        <v>2262</v>
      </c>
      <c r="H476" s="1" t="s">
        <v>2260</v>
      </c>
      <c r="I476" s="1" t="s">
        <v>2256</v>
      </c>
      <c r="J476" s="1" t="s">
        <v>2724</v>
      </c>
      <c r="M476" s="38"/>
      <c r="N476" s="38"/>
      <c r="O476" s="38"/>
      <c r="P476" s="38"/>
      <c r="Q476" s="38"/>
      <c r="R476" s="38"/>
      <c r="S476" s="38"/>
      <c r="T476" s="38"/>
      <c r="U476" s="38"/>
      <c r="V476" s="38"/>
      <c r="W476" s="38"/>
      <c r="X476" s="38"/>
      <c r="Y476" s="38"/>
      <c r="Z476" s="38"/>
    </row>
    <row r="477" spans="1:26" ht="15.75" customHeight="1" x14ac:dyDescent="0.2">
      <c r="A477" s="8" t="s">
        <v>989</v>
      </c>
      <c r="B477" s="1">
        <v>62.328453000000003</v>
      </c>
      <c r="C477" s="1" t="s">
        <v>1523</v>
      </c>
      <c r="D477" s="1" t="s">
        <v>1524</v>
      </c>
      <c r="E477" s="1" t="s">
        <v>2280</v>
      </c>
      <c r="F477" s="1" t="s">
        <v>1528</v>
      </c>
      <c r="G477" s="1" t="s">
        <v>2266</v>
      </c>
      <c r="H477" s="1" t="s">
        <v>2255</v>
      </c>
      <c r="I477" s="1" t="s">
        <v>2256</v>
      </c>
      <c r="J477" s="1" t="s">
        <v>2617</v>
      </c>
      <c r="M477" s="38"/>
      <c r="N477" s="38"/>
      <c r="O477" s="38"/>
      <c r="P477" s="38"/>
      <c r="Q477" s="38"/>
      <c r="R477" s="38"/>
      <c r="S477" s="38"/>
      <c r="T477" s="38"/>
      <c r="U477" s="38"/>
      <c r="V477" s="38"/>
      <c r="W477" s="38"/>
      <c r="X477" s="38"/>
      <c r="Y477" s="38"/>
      <c r="Z477" s="38"/>
    </row>
    <row r="478" spans="1:26" ht="15.75" customHeight="1" x14ac:dyDescent="0.2">
      <c r="A478" s="8" t="s">
        <v>989</v>
      </c>
      <c r="B478" s="1">
        <v>62.328453000000003</v>
      </c>
      <c r="C478" s="1" t="s">
        <v>1523</v>
      </c>
      <c r="D478" s="1" t="s">
        <v>1524</v>
      </c>
      <c r="E478" s="1" t="s">
        <v>2280</v>
      </c>
      <c r="F478" s="1" t="s">
        <v>1528</v>
      </c>
      <c r="G478" s="1" t="s">
        <v>2299</v>
      </c>
      <c r="H478" s="1" t="s">
        <v>2260</v>
      </c>
      <c r="I478" s="1" t="s">
        <v>2285</v>
      </c>
      <c r="J478" s="1" t="s">
        <v>2725</v>
      </c>
      <c r="M478" s="38"/>
      <c r="N478" s="38"/>
      <c r="O478" s="38"/>
      <c r="P478" s="38"/>
      <c r="Q478" s="38"/>
      <c r="R478" s="38"/>
      <c r="S478" s="38"/>
      <c r="T478" s="38"/>
      <c r="U478" s="38"/>
      <c r="V478" s="38"/>
      <c r="W478" s="38"/>
      <c r="X478" s="38"/>
      <c r="Y478" s="38"/>
      <c r="Z478" s="38"/>
    </row>
    <row r="479" spans="1:26" ht="15.75" customHeight="1" x14ac:dyDescent="0.2">
      <c r="A479" s="8" t="s">
        <v>989</v>
      </c>
      <c r="B479" s="1">
        <v>62.328453000000003</v>
      </c>
      <c r="C479" s="1" t="s">
        <v>1523</v>
      </c>
      <c r="D479" s="1" t="s">
        <v>1524</v>
      </c>
      <c r="E479" s="1" t="s">
        <v>2280</v>
      </c>
      <c r="F479" s="1" t="s">
        <v>1528</v>
      </c>
      <c r="G479" s="1" t="s">
        <v>2287</v>
      </c>
      <c r="H479" s="1" t="s">
        <v>2260</v>
      </c>
      <c r="I479" s="1" t="s">
        <v>2256</v>
      </c>
      <c r="J479" s="1" t="s">
        <v>2726</v>
      </c>
      <c r="M479" s="38"/>
      <c r="N479" s="38"/>
      <c r="O479" s="38"/>
      <c r="P479" s="38"/>
      <c r="Q479" s="38"/>
      <c r="R479" s="38"/>
      <c r="S479" s="38"/>
      <c r="T479" s="38"/>
      <c r="U479" s="38"/>
      <c r="V479" s="38"/>
      <c r="W479" s="38"/>
      <c r="X479" s="38"/>
      <c r="Y479" s="38"/>
      <c r="Z479" s="38"/>
    </row>
    <row r="480" spans="1:26" ht="15.75" customHeight="1" x14ac:dyDescent="0.2">
      <c r="A480" s="8" t="s">
        <v>621</v>
      </c>
      <c r="B480" s="1">
        <v>39.664059000000002</v>
      </c>
      <c r="C480" s="1" t="s">
        <v>1523</v>
      </c>
      <c r="D480" s="1" t="s">
        <v>1524</v>
      </c>
      <c r="E480" s="1" t="s">
        <v>2343</v>
      </c>
      <c r="F480" s="1" t="s">
        <v>1601</v>
      </c>
      <c r="G480" s="1" t="s">
        <v>2254</v>
      </c>
      <c r="H480" s="1" t="s">
        <v>2255</v>
      </c>
      <c r="I480" s="1" t="s">
        <v>2256</v>
      </c>
      <c r="J480" s="1" t="s">
        <v>2550</v>
      </c>
      <c r="M480" s="38"/>
      <c r="N480" s="38"/>
      <c r="O480" s="38"/>
      <c r="P480" s="38"/>
      <c r="Q480" s="38"/>
      <c r="R480" s="38"/>
      <c r="S480" s="38"/>
      <c r="T480" s="38"/>
      <c r="U480" s="38"/>
      <c r="V480" s="38"/>
      <c r="W480" s="38"/>
      <c r="X480" s="38"/>
      <c r="Y480" s="38"/>
      <c r="Z480" s="38"/>
    </row>
    <row r="481" spans="1:26" ht="15.75" customHeight="1" x14ac:dyDescent="0.2">
      <c r="A481" s="8" t="s">
        <v>995</v>
      </c>
      <c r="B481" s="1">
        <v>34.349781</v>
      </c>
      <c r="C481" s="1" t="s">
        <v>1523</v>
      </c>
      <c r="D481" s="1" t="s">
        <v>1524</v>
      </c>
      <c r="E481" s="1" t="s">
        <v>2343</v>
      </c>
      <c r="F481" s="1" t="s">
        <v>1583</v>
      </c>
      <c r="G481" s="1" t="s">
        <v>2282</v>
      </c>
      <c r="H481" s="1" t="s">
        <v>2260</v>
      </c>
      <c r="I481" s="1" t="s">
        <v>2256</v>
      </c>
      <c r="J481" s="1" t="s">
        <v>2727</v>
      </c>
      <c r="M481" s="38"/>
      <c r="N481" s="38"/>
      <c r="O481" s="38"/>
      <c r="P481" s="38"/>
      <c r="Q481" s="38"/>
      <c r="R481" s="38"/>
      <c r="S481" s="38"/>
      <c r="T481" s="38"/>
      <c r="U481" s="38"/>
      <c r="V481" s="38"/>
      <c r="W481" s="38"/>
      <c r="X481" s="38"/>
      <c r="Y481" s="38"/>
      <c r="Z481" s="38"/>
    </row>
    <row r="482" spans="1:26" ht="15.75" customHeight="1" x14ac:dyDescent="0.2">
      <c r="A482" s="8" t="s">
        <v>995</v>
      </c>
      <c r="B482" s="1">
        <v>34.349781</v>
      </c>
      <c r="C482" s="1" t="s">
        <v>1523</v>
      </c>
      <c r="D482" s="1" t="s">
        <v>1524</v>
      </c>
      <c r="E482" s="1" t="s">
        <v>2343</v>
      </c>
      <c r="F482" s="1" t="s">
        <v>1583</v>
      </c>
      <c r="G482" s="1" t="s">
        <v>2282</v>
      </c>
      <c r="H482" s="1" t="s">
        <v>2260</v>
      </c>
      <c r="I482" s="1" t="s">
        <v>2256</v>
      </c>
      <c r="J482" s="1" t="s">
        <v>2728</v>
      </c>
      <c r="M482" s="38"/>
      <c r="N482" s="38"/>
      <c r="O482" s="38"/>
      <c r="P482" s="38"/>
      <c r="Q482" s="38"/>
      <c r="R482" s="38"/>
      <c r="S482" s="38"/>
      <c r="T482" s="38"/>
      <c r="U482" s="38"/>
      <c r="V482" s="38"/>
      <c r="W482" s="38"/>
      <c r="X482" s="38"/>
      <c r="Y482" s="38"/>
      <c r="Z482" s="38"/>
    </row>
    <row r="483" spans="1:26" ht="15.75" customHeight="1" x14ac:dyDescent="0.2">
      <c r="A483" s="8" t="s">
        <v>999</v>
      </c>
      <c r="B483" s="1">
        <v>35.683141999999997</v>
      </c>
      <c r="C483" s="1" t="s">
        <v>1587</v>
      </c>
      <c r="D483" s="1" t="s">
        <v>1524</v>
      </c>
      <c r="E483" s="1" t="s">
        <v>2280</v>
      </c>
      <c r="F483" s="1" t="s">
        <v>1583</v>
      </c>
      <c r="G483" s="1" t="s">
        <v>2446</v>
      </c>
      <c r="H483" s="1" t="s">
        <v>2255</v>
      </c>
      <c r="I483" s="1" t="s">
        <v>2274</v>
      </c>
      <c r="J483" s="1" t="s">
        <v>2729</v>
      </c>
      <c r="M483" s="38"/>
      <c r="N483" s="38"/>
      <c r="O483" s="38"/>
      <c r="P483" s="38"/>
      <c r="Q483" s="38"/>
      <c r="R483" s="38"/>
      <c r="S483" s="38"/>
      <c r="T483" s="38"/>
      <c r="U483" s="38"/>
      <c r="V483" s="38"/>
      <c r="W483" s="38"/>
      <c r="X483" s="38"/>
      <c r="Y483" s="38"/>
      <c r="Z483" s="38"/>
    </row>
    <row r="484" spans="1:26" ht="15.75" customHeight="1" x14ac:dyDescent="0.2">
      <c r="A484" s="8" t="s">
        <v>1003</v>
      </c>
      <c r="B484" s="1">
        <v>58.125765999999999</v>
      </c>
      <c r="C484" s="1" t="s">
        <v>1523</v>
      </c>
      <c r="D484" s="1" t="s">
        <v>1524</v>
      </c>
      <c r="E484" s="1" t="s">
        <v>2253</v>
      </c>
      <c r="F484" s="1" t="s">
        <v>1528</v>
      </c>
      <c r="G484" s="1" t="s">
        <v>2273</v>
      </c>
      <c r="H484" s="1" t="s">
        <v>2255</v>
      </c>
      <c r="I484" s="1" t="s">
        <v>2274</v>
      </c>
      <c r="J484" s="1" t="s">
        <v>2594</v>
      </c>
      <c r="M484" s="38"/>
      <c r="N484" s="38"/>
      <c r="O484" s="38"/>
      <c r="P484" s="38"/>
      <c r="Q484" s="38"/>
      <c r="R484" s="38"/>
      <c r="S484" s="38"/>
      <c r="T484" s="38"/>
      <c r="U484" s="38"/>
      <c r="V484" s="38"/>
      <c r="W484" s="38"/>
      <c r="X484" s="38"/>
      <c r="Y484" s="38"/>
      <c r="Z484" s="38"/>
    </row>
    <row r="485" spans="1:26" ht="15.75" customHeight="1" x14ac:dyDescent="0.2">
      <c r="A485" s="8" t="s">
        <v>1003</v>
      </c>
      <c r="B485" s="1">
        <v>58.125765999999999</v>
      </c>
      <c r="C485" s="1" t="s">
        <v>1523</v>
      </c>
      <c r="D485" s="1" t="s">
        <v>1524</v>
      </c>
      <c r="E485" s="1" t="s">
        <v>2253</v>
      </c>
      <c r="F485" s="1" t="s">
        <v>1528</v>
      </c>
      <c r="G485" s="1" t="s">
        <v>2271</v>
      </c>
      <c r="H485" s="1" t="s">
        <v>2263</v>
      </c>
      <c r="I485" s="1" t="s">
        <v>2256</v>
      </c>
      <c r="J485" s="1" t="s">
        <v>2730</v>
      </c>
      <c r="M485" s="38"/>
      <c r="N485" s="38"/>
      <c r="O485" s="38"/>
      <c r="P485" s="38"/>
      <c r="Q485" s="38"/>
      <c r="R485" s="38"/>
      <c r="S485" s="38"/>
      <c r="T485" s="38"/>
      <c r="U485" s="38"/>
      <c r="V485" s="38"/>
      <c r="W485" s="38"/>
      <c r="X485" s="38"/>
      <c r="Y485" s="38"/>
      <c r="Z485" s="38"/>
    </row>
    <row r="486" spans="1:26" ht="15.75" customHeight="1" x14ac:dyDescent="0.2">
      <c r="A486" s="8" t="s">
        <v>1007</v>
      </c>
      <c r="B486" s="1">
        <v>43.527245999999998</v>
      </c>
      <c r="C486" s="1" t="s">
        <v>1523</v>
      </c>
      <c r="D486" s="1" t="s">
        <v>1524</v>
      </c>
      <c r="E486" s="1" t="s">
        <v>2343</v>
      </c>
      <c r="F486" s="1" t="s">
        <v>1560</v>
      </c>
      <c r="G486" s="1" t="s">
        <v>2254</v>
      </c>
      <c r="H486" s="1" t="s">
        <v>2255</v>
      </c>
      <c r="I486" s="1" t="s">
        <v>2256</v>
      </c>
      <c r="J486" s="1" t="s">
        <v>946</v>
      </c>
      <c r="M486" s="38"/>
      <c r="N486" s="38"/>
      <c r="O486" s="38"/>
      <c r="P486" s="38"/>
      <c r="Q486" s="38"/>
      <c r="R486" s="38"/>
      <c r="S486" s="38"/>
      <c r="T486" s="38"/>
      <c r="U486" s="38"/>
      <c r="V486" s="38"/>
      <c r="W486" s="38"/>
      <c r="X486" s="38"/>
      <c r="Y486" s="38"/>
      <c r="Z486" s="38"/>
    </row>
    <row r="487" spans="1:26" ht="15.75" customHeight="1" x14ac:dyDescent="0.2">
      <c r="A487" s="8" t="s">
        <v>1007</v>
      </c>
      <c r="B487" s="1">
        <v>43.527245999999998</v>
      </c>
      <c r="C487" s="1" t="s">
        <v>1523</v>
      </c>
      <c r="D487" s="1" t="s">
        <v>1524</v>
      </c>
      <c r="E487" s="1" t="s">
        <v>2343</v>
      </c>
      <c r="F487" s="1" t="s">
        <v>1560</v>
      </c>
      <c r="G487" s="1" t="s">
        <v>2262</v>
      </c>
      <c r="H487" s="1" t="s">
        <v>2260</v>
      </c>
      <c r="I487" s="1" t="s">
        <v>2256</v>
      </c>
      <c r="J487" s="1" t="s">
        <v>1009</v>
      </c>
      <c r="M487" s="38"/>
      <c r="N487" s="38"/>
      <c r="O487" s="38"/>
      <c r="P487" s="38"/>
      <c r="Q487" s="38"/>
      <c r="R487" s="38"/>
      <c r="S487" s="38"/>
      <c r="T487" s="38"/>
      <c r="U487" s="38"/>
      <c r="V487" s="38"/>
      <c r="W487" s="38"/>
      <c r="X487" s="38"/>
      <c r="Y487" s="38"/>
      <c r="Z487" s="38"/>
    </row>
    <row r="488" spans="1:26" ht="15.75" customHeight="1" x14ac:dyDescent="0.2">
      <c r="A488" s="8" t="s">
        <v>1007</v>
      </c>
      <c r="B488" s="1">
        <v>43.527245999999998</v>
      </c>
      <c r="C488" s="1" t="s">
        <v>1523</v>
      </c>
      <c r="D488" s="1" t="s">
        <v>1524</v>
      </c>
      <c r="E488" s="1" t="s">
        <v>2343</v>
      </c>
      <c r="F488" s="1" t="s">
        <v>1560</v>
      </c>
      <c r="G488" s="1" t="s">
        <v>2259</v>
      </c>
      <c r="H488" s="1" t="s">
        <v>2263</v>
      </c>
      <c r="I488" s="1" t="s">
        <v>2256</v>
      </c>
      <c r="J488" s="1" t="s">
        <v>2731</v>
      </c>
      <c r="M488" s="38"/>
      <c r="N488" s="38"/>
      <c r="O488" s="38"/>
      <c r="P488" s="38"/>
      <c r="Q488" s="38"/>
      <c r="R488" s="38"/>
      <c r="S488" s="38"/>
      <c r="T488" s="38"/>
      <c r="U488" s="38"/>
      <c r="V488" s="38"/>
      <c r="W488" s="38"/>
      <c r="X488" s="38"/>
      <c r="Y488" s="38"/>
      <c r="Z488" s="38"/>
    </row>
    <row r="489" spans="1:26" ht="15.75" customHeight="1" x14ac:dyDescent="0.2">
      <c r="A489" s="8" t="s">
        <v>1007</v>
      </c>
      <c r="B489" s="1">
        <v>43.527245999999998</v>
      </c>
      <c r="C489" s="1" t="s">
        <v>1523</v>
      </c>
      <c r="D489" s="1" t="s">
        <v>1524</v>
      </c>
      <c r="E489" s="1" t="s">
        <v>2343</v>
      </c>
      <c r="F489" s="1" t="s">
        <v>1560</v>
      </c>
      <c r="G489" s="1" t="s">
        <v>2504</v>
      </c>
      <c r="H489" s="1" t="s">
        <v>2263</v>
      </c>
      <c r="I489" s="1" t="s">
        <v>2256</v>
      </c>
      <c r="J489" s="1" t="s">
        <v>2732</v>
      </c>
      <c r="M489" s="38"/>
      <c r="N489" s="38"/>
      <c r="O489" s="38"/>
      <c r="P489" s="38"/>
      <c r="Q489" s="38"/>
      <c r="R489" s="38"/>
      <c r="S489" s="38"/>
      <c r="T489" s="38"/>
      <c r="U489" s="38"/>
      <c r="V489" s="38"/>
      <c r="W489" s="38"/>
      <c r="X489" s="38"/>
      <c r="Y489" s="38"/>
      <c r="Z489" s="38"/>
    </row>
    <row r="490" spans="1:26" ht="15.75" customHeight="1" x14ac:dyDescent="0.2">
      <c r="A490" s="8" t="s">
        <v>1012</v>
      </c>
      <c r="B490" s="1">
        <v>77.014585999999994</v>
      </c>
      <c r="C490" s="1" t="s">
        <v>1523</v>
      </c>
      <c r="D490" s="1" t="s">
        <v>1524</v>
      </c>
      <c r="E490" s="1" t="s">
        <v>2280</v>
      </c>
      <c r="F490" s="1" t="s">
        <v>1560</v>
      </c>
      <c r="G490" s="1" t="s">
        <v>2259</v>
      </c>
      <c r="H490" s="1" t="s">
        <v>2255</v>
      </c>
      <c r="I490" s="1" t="s">
        <v>2256</v>
      </c>
      <c r="J490" s="1" t="s">
        <v>2733</v>
      </c>
      <c r="M490" s="38"/>
      <c r="N490" s="38"/>
      <c r="O490" s="38"/>
      <c r="P490" s="38"/>
      <c r="Q490" s="38"/>
      <c r="R490" s="38"/>
      <c r="S490" s="38"/>
      <c r="T490" s="38"/>
      <c r="U490" s="38"/>
      <c r="V490" s="38"/>
      <c r="W490" s="38"/>
      <c r="X490" s="38"/>
      <c r="Y490" s="38"/>
      <c r="Z490" s="38"/>
    </row>
    <row r="491" spans="1:26" ht="15.75" customHeight="1" x14ac:dyDescent="0.2">
      <c r="A491" s="8" t="s">
        <v>1012</v>
      </c>
      <c r="B491" s="1">
        <v>77.014585999999994</v>
      </c>
      <c r="C491" s="1" t="s">
        <v>1523</v>
      </c>
      <c r="D491" s="1" t="s">
        <v>1524</v>
      </c>
      <c r="E491" s="1" t="s">
        <v>2280</v>
      </c>
      <c r="F491" s="1" t="s">
        <v>1560</v>
      </c>
      <c r="G491" s="1" t="s">
        <v>2290</v>
      </c>
      <c r="H491" s="1" t="s">
        <v>2255</v>
      </c>
      <c r="I491" s="1" t="s">
        <v>2256</v>
      </c>
      <c r="J491" s="1" t="s">
        <v>2702</v>
      </c>
      <c r="M491" s="38"/>
      <c r="N491" s="38"/>
      <c r="O491" s="38"/>
      <c r="P491" s="38"/>
      <c r="Q491" s="38"/>
      <c r="R491" s="38"/>
      <c r="S491" s="38"/>
      <c r="T491" s="38"/>
      <c r="U491" s="38"/>
      <c r="V491" s="38"/>
      <c r="W491" s="38"/>
      <c r="X491" s="38"/>
      <c r="Y491" s="38"/>
      <c r="Z491" s="38"/>
    </row>
    <row r="492" spans="1:26" ht="15.75" customHeight="1" x14ac:dyDescent="0.2">
      <c r="A492" s="8" t="s">
        <v>1016</v>
      </c>
      <c r="B492" s="1">
        <v>49.575282000000001</v>
      </c>
      <c r="C492" s="1" t="s">
        <v>1587</v>
      </c>
      <c r="D492" s="1" t="s">
        <v>1524</v>
      </c>
      <c r="E492" s="1" t="s">
        <v>2280</v>
      </c>
      <c r="F492" s="1" t="s">
        <v>1528</v>
      </c>
      <c r="G492" s="1" t="s">
        <v>2259</v>
      </c>
      <c r="H492" s="1" t="s">
        <v>2255</v>
      </c>
      <c r="I492" s="1" t="s">
        <v>2256</v>
      </c>
      <c r="J492" s="1" t="s">
        <v>2734</v>
      </c>
      <c r="M492" s="38"/>
      <c r="N492" s="38"/>
      <c r="O492" s="38"/>
      <c r="P492" s="38"/>
      <c r="Q492" s="38"/>
      <c r="R492" s="38"/>
      <c r="S492" s="38"/>
      <c r="T492" s="38"/>
      <c r="U492" s="38"/>
      <c r="V492" s="38"/>
      <c r="W492" s="38"/>
      <c r="X492" s="38"/>
      <c r="Y492" s="38"/>
      <c r="Z492" s="38"/>
    </row>
    <row r="493" spans="1:26" ht="15.75" customHeight="1" x14ac:dyDescent="0.2">
      <c r="A493" s="8" t="s">
        <v>1016</v>
      </c>
      <c r="B493" s="1">
        <v>49.575282000000001</v>
      </c>
      <c r="C493" s="1" t="s">
        <v>1587</v>
      </c>
      <c r="D493" s="1" t="s">
        <v>1524</v>
      </c>
      <c r="E493" s="1" t="s">
        <v>2280</v>
      </c>
      <c r="F493" s="1" t="s">
        <v>1528</v>
      </c>
      <c r="G493" s="1" t="s">
        <v>1363</v>
      </c>
      <c r="H493" s="1" t="s">
        <v>2260</v>
      </c>
      <c r="I493" s="1" t="s">
        <v>2256</v>
      </c>
      <c r="J493" s="1" t="s">
        <v>2735</v>
      </c>
      <c r="M493" s="38"/>
      <c r="N493" s="38"/>
      <c r="O493" s="38"/>
      <c r="P493" s="38"/>
      <c r="Q493" s="38"/>
      <c r="R493" s="38"/>
      <c r="S493" s="38"/>
      <c r="T493" s="38"/>
      <c r="U493" s="38"/>
      <c r="V493" s="38"/>
      <c r="W493" s="38"/>
      <c r="X493" s="38"/>
      <c r="Y493" s="38"/>
      <c r="Z493" s="38"/>
    </row>
    <row r="494" spans="1:26" ht="15.75" customHeight="1" x14ac:dyDescent="0.2">
      <c r="A494" s="8" t="s">
        <v>1016</v>
      </c>
      <c r="B494" s="1">
        <v>49.575282000000001</v>
      </c>
      <c r="C494" s="1" t="s">
        <v>1587</v>
      </c>
      <c r="D494" s="1" t="s">
        <v>1524</v>
      </c>
      <c r="E494" s="1" t="s">
        <v>2280</v>
      </c>
      <c r="F494" s="1" t="s">
        <v>1528</v>
      </c>
      <c r="G494" s="1" t="s">
        <v>2262</v>
      </c>
      <c r="H494" s="1" t="s">
        <v>2260</v>
      </c>
      <c r="I494" s="1" t="s">
        <v>2256</v>
      </c>
      <c r="J494" s="1" t="s">
        <v>2736</v>
      </c>
      <c r="M494" s="38"/>
      <c r="N494" s="38"/>
      <c r="O494" s="38"/>
      <c r="P494" s="38"/>
      <c r="Q494" s="38"/>
      <c r="R494" s="38"/>
      <c r="S494" s="38"/>
      <c r="T494" s="38"/>
      <c r="U494" s="38"/>
      <c r="V494" s="38"/>
      <c r="W494" s="38"/>
      <c r="X494" s="38"/>
      <c r="Y494" s="38"/>
      <c r="Z494" s="38"/>
    </row>
    <row r="495" spans="1:26" ht="15.75" customHeight="1" x14ac:dyDescent="0.2">
      <c r="A495" s="8" t="s">
        <v>1016</v>
      </c>
      <c r="B495" s="1">
        <v>49.575282000000001</v>
      </c>
      <c r="C495" s="1" t="s">
        <v>1587</v>
      </c>
      <c r="D495" s="1" t="s">
        <v>1524</v>
      </c>
      <c r="E495" s="1" t="s">
        <v>2280</v>
      </c>
      <c r="F495" s="1" t="s">
        <v>1528</v>
      </c>
      <c r="G495" s="1" t="s">
        <v>2737</v>
      </c>
      <c r="H495" s="1" t="s">
        <v>2263</v>
      </c>
      <c r="I495" s="1" t="s">
        <v>2703</v>
      </c>
      <c r="J495" s="1" t="s">
        <v>2738</v>
      </c>
      <c r="M495" s="38"/>
      <c r="N495" s="38"/>
      <c r="O495" s="38"/>
      <c r="P495" s="38"/>
      <c r="Q495" s="38"/>
      <c r="R495" s="38"/>
      <c r="S495" s="38"/>
      <c r="T495" s="38"/>
      <c r="U495" s="38"/>
      <c r="V495" s="38"/>
      <c r="W495" s="38"/>
      <c r="X495" s="38"/>
      <c r="Y495" s="38"/>
      <c r="Z495" s="38"/>
    </row>
    <row r="496" spans="1:26" ht="15.75" customHeight="1" x14ac:dyDescent="0.2">
      <c r="A496" s="8" t="s">
        <v>635</v>
      </c>
      <c r="B496" s="1">
        <v>52.926479999999998</v>
      </c>
      <c r="C496" s="1" t="s">
        <v>1587</v>
      </c>
      <c r="D496" s="1" t="s">
        <v>1578</v>
      </c>
      <c r="E496" s="1" t="s">
        <v>2280</v>
      </c>
      <c r="F496" s="1" t="s">
        <v>1528</v>
      </c>
      <c r="G496" s="1" t="s">
        <v>2344</v>
      </c>
      <c r="H496" s="1" t="s">
        <v>2255</v>
      </c>
      <c r="I496" s="1" t="s">
        <v>2274</v>
      </c>
      <c r="J496" s="1" t="s">
        <v>2739</v>
      </c>
      <c r="M496" s="38"/>
      <c r="N496" s="38"/>
      <c r="O496" s="38"/>
      <c r="P496" s="38"/>
      <c r="Q496" s="38"/>
      <c r="R496" s="38"/>
      <c r="S496" s="38"/>
      <c r="T496" s="38"/>
      <c r="U496" s="38"/>
      <c r="V496" s="38"/>
      <c r="W496" s="38"/>
      <c r="X496" s="38"/>
      <c r="Y496" s="38"/>
      <c r="Z496" s="38"/>
    </row>
    <row r="497" spans="1:26" ht="15.75" customHeight="1" x14ac:dyDescent="0.2">
      <c r="A497" s="8" t="s">
        <v>635</v>
      </c>
      <c r="B497" s="1">
        <v>52.926479999999998</v>
      </c>
      <c r="C497" s="1" t="s">
        <v>1587</v>
      </c>
      <c r="D497" s="1" t="s">
        <v>1578</v>
      </c>
      <c r="E497" s="1" t="s">
        <v>2280</v>
      </c>
      <c r="F497" s="1" t="s">
        <v>1528</v>
      </c>
      <c r="G497" s="1" t="s">
        <v>2266</v>
      </c>
      <c r="H497" s="1" t="s">
        <v>2255</v>
      </c>
      <c r="I497" s="1" t="s">
        <v>2256</v>
      </c>
      <c r="J497" s="1" t="s">
        <v>2740</v>
      </c>
      <c r="M497" s="38"/>
      <c r="N497" s="38"/>
      <c r="O497" s="38"/>
      <c r="P497" s="38"/>
      <c r="Q497" s="38"/>
      <c r="R497" s="38"/>
      <c r="S497" s="38"/>
      <c r="T497" s="38"/>
      <c r="U497" s="38"/>
      <c r="V497" s="38"/>
      <c r="W497" s="38"/>
      <c r="X497" s="38"/>
      <c r="Y497" s="38"/>
      <c r="Z497" s="38"/>
    </row>
    <row r="498" spans="1:26" ht="15.75" customHeight="1" x14ac:dyDescent="0.2">
      <c r="A498" s="8" t="s">
        <v>635</v>
      </c>
      <c r="B498" s="1">
        <v>52.926479999999998</v>
      </c>
      <c r="C498" s="1" t="s">
        <v>1587</v>
      </c>
      <c r="D498" s="1" t="s">
        <v>1578</v>
      </c>
      <c r="E498" s="1" t="s">
        <v>2280</v>
      </c>
      <c r="F498" s="1" t="s">
        <v>1528</v>
      </c>
      <c r="G498" s="1" t="s">
        <v>2341</v>
      </c>
      <c r="H498" s="1" t="s">
        <v>2260</v>
      </c>
      <c r="I498" s="1" t="s">
        <v>2285</v>
      </c>
      <c r="J498" s="1" t="s">
        <v>2741</v>
      </c>
      <c r="M498" s="38"/>
      <c r="N498" s="38"/>
      <c r="O498" s="38"/>
      <c r="P498" s="38"/>
      <c r="Q498" s="38"/>
      <c r="R498" s="38"/>
      <c r="S498" s="38"/>
      <c r="T498" s="38"/>
      <c r="U498" s="38"/>
      <c r="V498" s="38"/>
      <c r="W498" s="38"/>
      <c r="X498" s="38"/>
      <c r="Y498" s="38"/>
      <c r="Z498" s="38"/>
    </row>
    <row r="499" spans="1:26" ht="15.75" customHeight="1" x14ac:dyDescent="0.2">
      <c r="A499" s="8" t="s">
        <v>635</v>
      </c>
      <c r="B499" s="1">
        <v>52.926479999999998</v>
      </c>
      <c r="C499" s="1" t="s">
        <v>1587</v>
      </c>
      <c r="D499" s="1" t="s">
        <v>1578</v>
      </c>
      <c r="E499" s="1" t="s">
        <v>2280</v>
      </c>
      <c r="F499" s="1" t="s">
        <v>1528</v>
      </c>
      <c r="G499" s="1" t="s">
        <v>2660</v>
      </c>
      <c r="H499" s="1" t="s">
        <v>2263</v>
      </c>
      <c r="I499" s="1" t="s">
        <v>2256</v>
      </c>
      <c r="J499" s="1" t="s">
        <v>2742</v>
      </c>
      <c r="M499" s="38"/>
      <c r="N499" s="38"/>
      <c r="O499" s="38"/>
      <c r="P499" s="38"/>
      <c r="Q499" s="38"/>
      <c r="R499" s="38"/>
      <c r="S499" s="38"/>
      <c r="T499" s="38"/>
      <c r="U499" s="38"/>
      <c r="V499" s="38"/>
      <c r="W499" s="38"/>
      <c r="X499" s="38"/>
      <c r="Y499" s="38"/>
      <c r="Z499" s="38"/>
    </row>
    <row r="500" spans="1:26" ht="15.75" customHeight="1" x14ac:dyDescent="0.2">
      <c r="A500" s="8" t="s">
        <v>1022</v>
      </c>
      <c r="B500" s="1">
        <v>24.071677999999999</v>
      </c>
      <c r="C500" s="1" t="s">
        <v>1523</v>
      </c>
      <c r="D500" s="1" t="s">
        <v>1524</v>
      </c>
      <c r="E500" s="1" t="s">
        <v>2280</v>
      </c>
      <c r="F500" s="1" t="s">
        <v>1546</v>
      </c>
      <c r="G500" s="1" t="s">
        <v>2290</v>
      </c>
      <c r="H500" s="1" t="s">
        <v>2255</v>
      </c>
      <c r="I500" s="1" t="s">
        <v>2256</v>
      </c>
      <c r="J500" s="1" t="s">
        <v>2743</v>
      </c>
      <c r="M500" s="38"/>
      <c r="N500" s="38"/>
      <c r="O500" s="38"/>
      <c r="P500" s="38"/>
      <c r="Q500" s="38"/>
      <c r="R500" s="38"/>
      <c r="S500" s="38"/>
      <c r="T500" s="38"/>
      <c r="U500" s="38"/>
      <c r="V500" s="38"/>
      <c r="W500" s="38"/>
      <c r="X500" s="38"/>
      <c r="Y500" s="38"/>
      <c r="Z500" s="38"/>
    </row>
    <row r="501" spans="1:26" ht="15.75" customHeight="1" x14ac:dyDescent="0.2">
      <c r="A501" s="8" t="s">
        <v>1026</v>
      </c>
      <c r="B501" s="1">
        <v>78.482104000000007</v>
      </c>
      <c r="C501" s="1" t="s">
        <v>1523</v>
      </c>
      <c r="D501" s="1" t="s">
        <v>1524</v>
      </c>
      <c r="E501" s="1" t="s">
        <v>2253</v>
      </c>
      <c r="F501" s="1" t="s">
        <v>1583</v>
      </c>
      <c r="G501" s="1" t="s">
        <v>2266</v>
      </c>
      <c r="H501" s="1" t="s">
        <v>2255</v>
      </c>
      <c r="I501" s="1" t="s">
        <v>2256</v>
      </c>
      <c r="J501" s="1" t="s">
        <v>2617</v>
      </c>
      <c r="M501" s="38"/>
      <c r="N501" s="38"/>
      <c r="O501" s="38"/>
      <c r="P501" s="38"/>
      <c r="Q501" s="38"/>
      <c r="R501" s="38"/>
      <c r="S501" s="38"/>
      <c r="T501" s="38"/>
      <c r="U501" s="38"/>
      <c r="V501" s="38"/>
      <c r="W501" s="38"/>
      <c r="X501" s="38"/>
      <c r="Y501" s="38"/>
      <c r="Z501" s="38"/>
    </row>
    <row r="502" spans="1:26" ht="15.75" customHeight="1" x14ac:dyDescent="0.2">
      <c r="A502" s="8" t="s">
        <v>1028</v>
      </c>
      <c r="B502" s="1">
        <v>79.465012999999999</v>
      </c>
      <c r="C502" s="1" t="s">
        <v>1587</v>
      </c>
      <c r="D502" s="1" t="s">
        <v>1524</v>
      </c>
      <c r="E502" s="1" t="s">
        <v>2253</v>
      </c>
      <c r="F502" s="1" t="s">
        <v>1528</v>
      </c>
      <c r="G502" s="1" t="s">
        <v>2273</v>
      </c>
      <c r="H502" s="1" t="s">
        <v>2255</v>
      </c>
      <c r="I502" s="1" t="s">
        <v>2285</v>
      </c>
      <c r="J502" s="1" t="s">
        <v>2744</v>
      </c>
      <c r="M502" s="38"/>
      <c r="N502" s="38"/>
      <c r="O502" s="38"/>
      <c r="P502" s="38"/>
      <c r="Q502" s="38"/>
      <c r="R502" s="38"/>
      <c r="S502" s="38"/>
      <c r="T502" s="38"/>
      <c r="U502" s="38"/>
      <c r="V502" s="38"/>
      <c r="W502" s="38"/>
      <c r="X502" s="38"/>
      <c r="Y502" s="38"/>
      <c r="Z502" s="38"/>
    </row>
    <row r="503" spans="1:26" ht="15.75" customHeight="1" x14ac:dyDescent="0.2">
      <c r="A503" s="8" t="s">
        <v>1028</v>
      </c>
      <c r="B503" s="1">
        <v>79.465012999999999</v>
      </c>
      <c r="C503" s="1" t="s">
        <v>1587</v>
      </c>
      <c r="D503" s="1" t="s">
        <v>1524</v>
      </c>
      <c r="E503" s="1" t="s">
        <v>2253</v>
      </c>
      <c r="F503" s="1" t="s">
        <v>1528</v>
      </c>
      <c r="G503" s="1" t="s">
        <v>2266</v>
      </c>
      <c r="H503" s="1" t="s">
        <v>2255</v>
      </c>
      <c r="I503" s="1" t="s">
        <v>2256</v>
      </c>
      <c r="J503" s="1" t="s">
        <v>2617</v>
      </c>
      <c r="M503" s="38"/>
      <c r="N503" s="38"/>
      <c r="O503" s="38"/>
      <c r="P503" s="38"/>
      <c r="Q503" s="38"/>
      <c r="R503" s="38"/>
      <c r="S503" s="38"/>
      <c r="T503" s="38"/>
      <c r="U503" s="38"/>
      <c r="V503" s="38"/>
      <c r="W503" s="38"/>
      <c r="X503" s="38"/>
      <c r="Y503" s="38"/>
      <c r="Z503" s="38"/>
    </row>
    <row r="504" spans="1:26" ht="15.75" customHeight="1" x14ac:dyDescent="0.2">
      <c r="A504" s="8" t="s">
        <v>1028</v>
      </c>
      <c r="B504" s="1">
        <v>79.465012999999999</v>
      </c>
      <c r="C504" s="1" t="s">
        <v>1587</v>
      </c>
      <c r="D504" s="1" t="s">
        <v>1524</v>
      </c>
      <c r="E504" s="1" t="s">
        <v>2253</v>
      </c>
      <c r="F504" s="1" t="s">
        <v>1528</v>
      </c>
      <c r="G504" s="1" t="s">
        <v>2463</v>
      </c>
      <c r="H504" s="1" t="s">
        <v>2260</v>
      </c>
      <c r="I504" s="1" t="s">
        <v>2285</v>
      </c>
      <c r="J504" s="1" t="s">
        <v>2745</v>
      </c>
      <c r="M504" s="38"/>
      <c r="N504" s="38"/>
      <c r="O504" s="38"/>
      <c r="P504" s="38"/>
      <c r="Q504" s="38"/>
      <c r="R504" s="38"/>
      <c r="S504" s="38"/>
      <c r="T504" s="38"/>
      <c r="U504" s="38"/>
      <c r="V504" s="38"/>
      <c r="W504" s="38"/>
      <c r="X504" s="38"/>
      <c r="Y504" s="38"/>
      <c r="Z504" s="38"/>
    </row>
    <row r="505" spans="1:26" ht="15.75" customHeight="1" x14ac:dyDescent="0.2">
      <c r="A505" s="8" t="s">
        <v>1028</v>
      </c>
      <c r="B505" s="1">
        <v>79.465012999999999</v>
      </c>
      <c r="C505" s="1" t="s">
        <v>1587</v>
      </c>
      <c r="D505" s="1" t="s">
        <v>1524</v>
      </c>
      <c r="E505" s="1" t="s">
        <v>2253</v>
      </c>
      <c r="F505" s="1" t="s">
        <v>1528</v>
      </c>
      <c r="G505" s="1" t="s">
        <v>2262</v>
      </c>
      <c r="H505" s="1" t="s">
        <v>2260</v>
      </c>
      <c r="I505" s="1" t="s">
        <v>2256</v>
      </c>
      <c r="J505" s="1" t="s">
        <v>2746</v>
      </c>
      <c r="M505" s="38"/>
      <c r="N505" s="38"/>
      <c r="O505" s="38"/>
      <c r="P505" s="38"/>
      <c r="Q505" s="38"/>
      <c r="R505" s="38"/>
      <c r="S505" s="38"/>
      <c r="T505" s="38"/>
      <c r="U505" s="38"/>
      <c r="V505" s="38"/>
      <c r="W505" s="38"/>
      <c r="X505" s="38"/>
      <c r="Y505" s="38"/>
      <c r="Z505" s="38"/>
    </row>
    <row r="506" spans="1:26" ht="15.75" customHeight="1" x14ac:dyDescent="0.2">
      <c r="A506" s="8" t="s">
        <v>1028</v>
      </c>
      <c r="B506" s="1">
        <v>79.465012999999999</v>
      </c>
      <c r="C506" s="1" t="s">
        <v>1587</v>
      </c>
      <c r="D506" s="1" t="s">
        <v>1524</v>
      </c>
      <c r="E506" s="1" t="s">
        <v>2253</v>
      </c>
      <c r="F506" s="1" t="s">
        <v>1528</v>
      </c>
      <c r="G506" s="1" t="s">
        <v>2262</v>
      </c>
      <c r="H506" s="1" t="s">
        <v>2260</v>
      </c>
      <c r="I506" s="1" t="s">
        <v>2256</v>
      </c>
      <c r="J506" s="1" t="s">
        <v>2747</v>
      </c>
      <c r="M506" s="38"/>
      <c r="N506" s="38"/>
      <c r="O506" s="38"/>
      <c r="P506" s="38"/>
      <c r="Q506" s="38"/>
      <c r="R506" s="38"/>
      <c r="S506" s="38"/>
      <c r="T506" s="38"/>
      <c r="U506" s="38"/>
      <c r="V506" s="38"/>
      <c r="W506" s="38"/>
      <c r="X506" s="38"/>
      <c r="Y506" s="38"/>
      <c r="Z506" s="38"/>
    </row>
    <row r="507" spans="1:26" ht="15.75" customHeight="1" x14ac:dyDescent="0.2">
      <c r="A507" s="8" t="s">
        <v>1034</v>
      </c>
      <c r="B507" s="1">
        <v>28.581011</v>
      </c>
      <c r="C507" s="1" t="s">
        <v>1587</v>
      </c>
      <c r="D507" s="1" t="s">
        <v>1524</v>
      </c>
      <c r="E507" s="1" t="s">
        <v>2253</v>
      </c>
      <c r="F507" s="1" t="s">
        <v>1601</v>
      </c>
      <c r="G507" s="1" t="s">
        <v>2266</v>
      </c>
      <c r="H507" s="1" t="s">
        <v>2255</v>
      </c>
      <c r="I507" s="1" t="s">
        <v>2256</v>
      </c>
      <c r="J507" s="1" t="s">
        <v>2617</v>
      </c>
      <c r="M507" s="38"/>
      <c r="N507" s="38"/>
      <c r="O507" s="38"/>
      <c r="P507" s="38"/>
      <c r="Q507" s="38"/>
      <c r="R507" s="38"/>
      <c r="S507" s="38"/>
      <c r="T507" s="38"/>
      <c r="U507" s="38"/>
      <c r="V507" s="38"/>
      <c r="W507" s="38"/>
      <c r="X507" s="38"/>
      <c r="Y507" s="38"/>
      <c r="Z507" s="38"/>
    </row>
    <row r="508" spans="1:26" ht="15.75" customHeight="1" x14ac:dyDescent="0.2">
      <c r="A508" s="8" t="s">
        <v>1034</v>
      </c>
      <c r="B508" s="1">
        <v>28.581011</v>
      </c>
      <c r="C508" s="1" t="s">
        <v>1587</v>
      </c>
      <c r="D508" s="1" t="s">
        <v>1524</v>
      </c>
      <c r="E508" s="1" t="s">
        <v>2253</v>
      </c>
      <c r="F508" s="1" t="s">
        <v>1601</v>
      </c>
      <c r="G508" s="1" t="s">
        <v>2254</v>
      </c>
      <c r="H508" s="1" t="s">
        <v>2255</v>
      </c>
      <c r="I508" s="1" t="s">
        <v>2256</v>
      </c>
      <c r="J508" s="1" t="s">
        <v>946</v>
      </c>
      <c r="M508" s="38"/>
      <c r="N508" s="38"/>
      <c r="O508" s="38"/>
      <c r="P508" s="38"/>
      <c r="Q508" s="38"/>
      <c r="R508" s="38"/>
      <c r="S508" s="38"/>
      <c r="T508" s="38"/>
      <c r="U508" s="38"/>
      <c r="V508" s="38"/>
      <c r="W508" s="38"/>
      <c r="X508" s="38"/>
      <c r="Y508" s="38"/>
      <c r="Z508" s="38"/>
    </row>
    <row r="509" spans="1:26" ht="15.75" customHeight="1" x14ac:dyDescent="0.2">
      <c r="A509" s="8" t="s">
        <v>1034</v>
      </c>
      <c r="B509" s="1">
        <v>28.581011</v>
      </c>
      <c r="C509" s="1" t="s">
        <v>1587</v>
      </c>
      <c r="D509" s="1" t="s">
        <v>1524</v>
      </c>
      <c r="E509" s="1" t="s">
        <v>2253</v>
      </c>
      <c r="F509" s="1" t="s">
        <v>1601</v>
      </c>
      <c r="G509" s="1" t="s">
        <v>2504</v>
      </c>
      <c r="H509" s="1" t="s">
        <v>2260</v>
      </c>
      <c r="I509" s="1" t="s">
        <v>2256</v>
      </c>
      <c r="J509" s="1" t="s">
        <v>2748</v>
      </c>
      <c r="M509" s="38"/>
      <c r="N509" s="38"/>
      <c r="O509" s="38"/>
      <c r="P509" s="38"/>
      <c r="Q509" s="38"/>
      <c r="R509" s="38"/>
      <c r="S509" s="38"/>
      <c r="T509" s="38"/>
      <c r="U509" s="38"/>
      <c r="V509" s="38"/>
      <c r="W509" s="38"/>
      <c r="X509" s="38"/>
      <c r="Y509" s="38"/>
      <c r="Z509" s="38"/>
    </row>
    <row r="510" spans="1:26" ht="15.75" customHeight="1" x14ac:dyDescent="0.2">
      <c r="A510" s="8" t="s">
        <v>1038</v>
      </c>
      <c r="B510" s="1">
        <v>54.856704999999998</v>
      </c>
      <c r="C510" s="1" t="s">
        <v>1523</v>
      </c>
      <c r="D510" s="1" t="s">
        <v>1524</v>
      </c>
      <c r="E510" s="1" t="s">
        <v>2280</v>
      </c>
      <c r="F510" s="1" t="s">
        <v>1528</v>
      </c>
      <c r="G510" s="1" t="s">
        <v>2266</v>
      </c>
      <c r="H510" s="1" t="s">
        <v>2255</v>
      </c>
      <c r="I510" s="1" t="s">
        <v>2256</v>
      </c>
      <c r="J510" s="1" t="s">
        <v>2617</v>
      </c>
      <c r="M510" s="38"/>
      <c r="N510" s="38"/>
      <c r="O510" s="38"/>
      <c r="P510" s="38"/>
      <c r="Q510" s="38"/>
      <c r="R510" s="38"/>
      <c r="S510" s="38"/>
      <c r="T510" s="38"/>
      <c r="U510" s="38"/>
      <c r="V510" s="38"/>
      <c r="W510" s="38"/>
      <c r="X510" s="38"/>
      <c r="Y510" s="38"/>
      <c r="Z510" s="38"/>
    </row>
    <row r="511" spans="1:26" ht="15.75" customHeight="1" x14ac:dyDescent="0.2">
      <c r="A511" s="8" t="s">
        <v>1038</v>
      </c>
      <c r="B511" s="1">
        <v>54.856704999999998</v>
      </c>
      <c r="C511" s="1" t="s">
        <v>1523</v>
      </c>
      <c r="D511" s="1" t="s">
        <v>1524</v>
      </c>
      <c r="E511" s="1" t="s">
        <v>2280</v>
      </c>
      <c r="F511" s="1" t="s">
        <v>1528</v>
      </c>
      <c r="G511" s="1" t="s">
        <v>2418</v>
      </c>
      <c r="H511" s="1" t="s">
        <v>2255</v>
      </c>
      <c r="I511" s="1" t="s">
        <v>2256</v>
      </c>
      <c r="J511" s="1" t="s">
        <v>2749</v>
      </c>
      <c r="M511" s="38"/>
      <c r="N511" s="38"/>
      <c r="O511" s="38"/>
      <c r="P511" s="38"/>
      <c r="Q511" s="38"/>
      <c r="R511" s="38"/>
      <c r="S511" s="38"/>
      <c r="T511" s="38"/>
      <c r="U511" s="38"/>
      <c r="V511" s="38"/>
      <c r="W511" s="38"/>
      <c r="X511" s="38"/>
      <c r="Y511" s="38"/>
      <c r="Z511" s="38"/>
    </row>
    <row r="512" spans="1:26" ht="15.75" customHeight="1" x14ac:dyDescent="0.2">
      <c r="A512" s="8" t="s">
        <v>1041</v>
      </c>
      <c r="B512" s="1">
        <v>34.152652000000003</v>
      </c>
      <c r="C512" s="1" t="s">
        <v>1523</v>
      </c>
      <c r="D512" s="1" t="s">
        <v>1524</v>
      </c>
      <c r="E512" s="1" t="s">
        <v>2253</v>
      </c>
      <c r="F512" s="1" t="s">
        <v>1560</v>
      </c>
      <c r="G512" s="1" t="s">
        <v>2271</v>
      </c>
      <c r="H512" s="1" t="s">
        <v>2260</v>
      </c>
      <c r="I512" s="1" t="s">
        <v>2256</v>
      </c>
      <c r="J512" s="1" t="s">
        <v>2750</v>
      </c>
      <c r="M512" s="38"/>
      <c r="N512" s="38"/>
      <c r="O512" s="38"/>
      <c r="P512" s="38"/>
      <c r="Q512" s="38"/>
      <c r="R512" s="38"/>
      <c r="S512" s="38"/>
      <c r="T512" s="38"/>
      <c r="U512" s="38"/>
      <c r="V512" s="38"/>
      <c r="W512" s="38"/>
      <c r="X512" s="38"/>
      <c r="Y512" s="38"/>
      <c r="Z512" s="38"/>
    </row>
    <row r="513" spans="1:26" ht="15.75" customHeight="1" x14ac:dyDescent="0.2">
      <c r="A513" s="8" t="s">
        <v>1041</v>
      </c>
      <c r="B513" s="1">
        <v>34.152652000000003</v>
      </c>
      <c r="C513" s="1" t="s">
        <v>1523</v>
      </c>
      <c r="D513" s="1" t="s">
        <v>1524</v>
      </c>
      <c r="E513" s="1" t="s">
        <v>2253</v>
      </c>
      <c r="F513" s="1" t="s">
        <v>1560</v>
      </c>
      <c r="G513" s="1" t="s">
        <v>2282</v>
      </c>
      <c r="H513" s="1" t="s">
        <v>2260</v>
      </c>
      <c r="I513" s="1" t="s">
        <v>2256</v>
      </c>
      <c r="J513" s="1" t="s">
        <v>2728</v>
      </c>
      <c r="M513" s="38"/>
      <c r="N513" s="38"/>
      <c r="O513" s="38"/>
      <c r="P513" s="38"/>
      <c r="Q513" s="38"/>
      <c r="R513" s="38"/>
      <c r="S513" s="38"/>
      <c r="T513" s="38"/>
      <c r="U513" s="38"/>
      <c r="V513" s="38"/>
      <c r="W513" s="38"/>
      <c r="X513" s="38"/>
      <c r="Y513" s="38"/>
      <c r="Z513" s="38"/>
    </row>
    <row r="514" spans="1:26" ht="15.75" customHeight="1" x14ac:dyDescent="0.2">
      <c r="A514" s="8" t="s">
        <v>1044</v>
      </c>
      <c r="B514" s="1">
        <v>24.523433000000001</v>
      </c>
      <c r="C514" s="1" t="s">
        <v>1587</v>
      </c>
      <c r="D514" s="1" t="s">
        <v>1524</v>
      </c>
      <c r="E514" s="1" t="s">
        <v>2280</v>
      </c>
      <c r="F514" s="1" t="s">
        <v>1546</v>
      </c>
      <c r="G514" s="1" t="s">
        <v>2266</v>
      </c>
      <c r="H514" s="1" t="s">
        <v>2255</v>
      </c>
      <c r="I514" s="1" t="s">
        <v>2256</v>
      </c>
      <c r="J514" s="1" t="s">
        <v>2617</v>
      </c>
      <c r="M514" s="38"/>
      <c r="N514" s="38"/>
      <c r="O514" s="38"/>
      <c r="P514" s="38"/>
      <c r="Q514" s="38"/>
      <c r="R514" s="38"/>
      <c r="S514" s="38"/>
      <c r="T514" s="38"/>
      <c r="U514" s="38"/>
      <c r="V514" s="38"/>
      <c r="W514" s="38"/>
      <c r="X514" s="38"/>
      <c r="Y514" s="38"/>
      <c r="Z514" s="38"/>
    </row>
    <row r="515" spans="1:26" ht="15.75" customHeight="1" x14ac:dyDescent="0.2">
      <c r="A515" s="8" t="s">
        <v>1046</v>
      </c>
      <c r="B515" s="1">
        <v>26.108681000000001</v>
      </c>
      <c r="C515" s="1" t="s">
        <v>1523</v>
      </c>
      <c r="D515" s="1" t="s">
        <v>1524</v>
      </c>
      <c r="E515" s="1" t="s">
        <v>2253</v>
      </c>
      <c r="F515" s="1" t="s">
        <v>1546</v>
      </c>
      <c r="G515" s="1" t="s">
        <v>2654</v>
      </c>
      <c r="H515" s="1" t="s">
        <v>2255</v>
      </c>
      <c r="I515" s="1" t="s">
        <v>2256</v>
      </c>
      <c r="J515" s="1" t="s">
        <v>2655</v>
      </c>
      <c r="M515" s="38"/>
      <c r="N515" s="38"/>
      <c r="O515" s="38"/>
      <c r="P515" s="38"/>
      <c r="Q515" s="38"/>
      <c r="R515" s="38"/>
      <c r="S515" s="38"/>
      <c r="T515" s="38"/>
      <c r="U515" s="38"/>
      <c r="V515" s="38"/>
      <c r="W515" s="38"/>
      <c r="X515" s="38"/>
      <c r="Y515" s="38"/>
      <c r="Z515" s="38"/>
    </row>
    <row r="516" spans="1:26" ht="15.75" customHeight="1" x14ac:dyDescent="0.2">
      <c r="A516" s="8" t="s">
        <v>1046</v>
      </c>
      <c r="B516" s="1">
        <v>26.108681000000001</v>
      </c>
      <c r="C516" s="1" t="s">
        <v>1523</v>
      </c>
      <c r="D516" s="1" t="s">
        <v>1524</v>
      </c>
      <c r="E516" s="1" t="s">
        <v>2253</v>
      </c>
      <c r="F516" s="1" t="s">
        <v>1546</v>
      </c>
      <c r="G516" s="1" t="s">
        <v>2262</v>
      </c>
      <c r="H516" s="1" t="s">
        <v>2260</v>
      </c>
      <c r="I516" s="1" t="s">
        <v>2256</v>
      </c>
      <c r="J516" s="1" t="s">
        <v>2751</v>
      </c>
      <c r="M516" s="38"/>
      <c r="N516" s="38"/>
      <c r="O516" s="38"/>
      <c r="P516" s="38"/>
      <c r="Q516" s="38"/>
      <c r="R516" s="38"/>
      <c r="S516" s="38"/>
      <c r="T516" s="38"/>
      <c r="U516" s="38"/>
      <c r="V516" s="38"/>
      <c r="W516" s="38"/>
      <c r="X516" s="38"/>
      <c r="Y516" s="38"/>
      <c r="Z516" s="38"/>
    </row>
    <row r="517" spans="1:26" ht="15.75" customHeight="1" x14ac:dyDescent="0.2">
      <c r="A517" s="8" t="s">
        <v>1046</v>
      </c>
      <c r="B517" s="1">
        <v>26.108681000000001</v>
      </c>
      <c r="C517" s="1" t="s">
        <v>1523</v>
      </c>
      <c r="D517" s="1" t="s">
        <v>1524</v>
      </c>
      <c r="E517" s="1" t="s">
        <v>2253</v>
      </c>
      <c r="F517" s="1" t="s">
        <v>1546</v>
      </c>
      <c r="G517" s="1" t="s">
        <v>2262</v>
      </c>
      <c r="H517" s="1" t="s">
        <v>2260</v>
      </c>
      <c r="I517" s="1" t="s">
        <v>2256</v>
      </c>
      <c r="J517" s="1" t="s">
        <v>2752</v>
      </c>
      <c r="M517" s="38"/>
      <c r="N517" s="38"/>
      <c r="O517" s="38"/>
      <c r="P517" s="38"/>
      <c r="Q517" s="38"/>
      <c r="R517" s="38"/>
      <c r="S517" s="38"/>
      <c r="T517" s="38"/>
      <c r="U517" s="38"/>
      <c r="V517" s="38"/>
      <c r="W517" s="38"/>
      <c r="X517" s="38"/>
      <c r="Y517" s="38"/>
      <c r="Z517" s="38"/>
    </row>
    <row r="518" spans="1:26" ht="15.75" customHeight="1" x14ac:dyDescent="0.2">
      <c r="A518" s="8" t="s">
        <v>1050</v>
      </c>
      <c r="B518" s="1">
        <v>34.722136999999996</v>
      </c>
      <c r="C518" s="1" t="s">
        <v>1587</v>
      </c>
      <c r="D518" s="1" t="s">
        <v>1524</v>
      </c>
      <c r="E518" s="1" t="s">
        <v>2280</v>
      </c>
      <c r="F518" s="1" t="s">
        <v>1546</v>
      </c>
      <c r="G518" s="1" t="s">
        <v>2356</v>
      </c>
      <c r="H518" s="1" t="s">
        <v>2255</v>
      </c>
      <c r="I518" s="1" t="s">
        <v>2274</v>
      </c>
      <c r="J518" s="1" t="s">
        <v>2753</v>
      </c>
      <c r="M518" s="38"/>
      <c r="N518" s="38"/>
      <c r="O518" s="38"/>
      <c r="P518" s="38"/>
      <c r="Q518" s="38"/>
      <c r="R518" s="38"/>
      <c r="S518" s="38"/>
      <c r="T518" s="38"/>
      <c r="U518" s="38"/>
      <c r="V518" s="38"/>
      <c r="W518" s="38"/>
      <c r="X518" s="38"/>
      <c r="Y518" s="38"/>
      <c r="Z518" s="38"/>
    </row>
    <row r="519" spans="1:26" ht="15.75" customHeight="1" x14ac:dyDescent="0.2">
      <c r="A519" s="8" t="s">
        <v>648</v>
      </c>
      <c r="B519" s="1">
        <v>29.232633</v>
      </c>
      <c r="C519" s="1" t="s">
        <v>1523</v>
      </c>
      <c r="D519" s="1" t="s">
        <v>1524</v>
      </c>
      <c r="E519" s="1" t="s">
        <v>2253</v>
      </c>
      <c r="F519" s="1" t="s">
        <v>1560</v>
      </c>
      <c r="G519" s="1" t="s">
        <v>2259</v>
      </c>
      <c r="H519" s="1" t="s">
        <v>2255</v>
      </c>
      <c r="I519" s="1" t="s">
        <v>2256</v>
      </c>
      <c r="J519" s="1" t="s">
        <v>2754</v>
      </c>
      <c r="M519" s="38"/>
      <c r="N519" s="38"/>
      <c r="O519" s="38"/>
      <c r="P519" s="38"/>
      <c r="Q519" s="38"/>
      <c r="R519" s="38"/>
      <c r="S519" s="38"/>
      <c r="T519" s="38"/>
      <c r="U519" s="38"/>
      <c r="V519" s="38"/>
      <c r="W519" s="38"/>
      <c r="X519" s="38"/>
      <c r="Y519" s="38"/>
      <c r="Z519" s="38"/>
    </row>
    <row r="520" spans="1:26" ht="15.75" customHeight="1" x14ac:dyDescent="0.2">
      <c r="A520" s="8" t="s">
        <v>648</v>
      </c>
      <c r="B520" s="1">
        <v>29.232633</v>
      </c>
      <c r="C520" s="1" t="s">
        <v>1523</v>
      </c>
      <c r="D520" s="1" t="s">
        <v>1524</v>
      </c>
      <c r="E520" s="1" t="s">
        <v>2253</v>
      </c>
      <c r="F520" s="1" t="s">
        <v>1560</v>
      </c>
      <c r="G520" s="1" t="s">
        <v>2254</v>
      </c>
      <c r="H520" s="1" t="s">
        <v>2255</v>
      </c>
      <c r="I520" s="1" t="s">
        <v>2256</v>
      </c>
      <c r="J520" s="1" t="s">
        <v>2352</v>
      </c>
      <c r="M520" s="38"/>
      <c r="N520" s="38"/>
      <c r="O520" s="38"/>
      <c r="P520" s="38"/>
      <c r="Q520" s="38"/>
      <c r="R520" s="38"/>
      <c r="S520" s="38"/>
      <c r="T520" s="38"/>
      <c r="U520" s="38"/>
      <c r="V520" s="38"/>
      <c r="W520" s="38"/>
      <c r="X520" s="38"/>
      <c r="Y520" s="38"/>
      <c r="Z520" s="38"/>
    </row>
    <row r="521" spans="1:26" ht="15.75" customHeight="1" x14ac:dyDescent="0.2">
      <c r="A521" s="8" t="s">
        <v>648</v>
      </c>
      <c r="B521" s="1">
        <v>29.232633</v>
      </c>
      <c r="C521" s="1" t="s">
        <v>1523</v>
      </c>
      <c r="D521" s="1" t="s">
        <v>1524</v>
      </c>
      <c r="E521" s="1" t="s">
        <v>2253</v>
      </c>
      <c r="F521" s="1" t="s">
        <v>1560</v>
      </c>
      <c r="G521" s="1" t="s">
        <v>2262</v>
      </c>
      <c r="H521" s="1" t="s">
        <v>2260</v>
      </c>
      <c r="I521" s="1" t="s">
        <v>2256</v>
      </c>
      <c r="J521" s="1" t="s">
        <v>2755</v>
      </c>
      <c r="M521" s="38"/>
      <c r="N521" s="38"/>
      <c r="O521" s="38"/>
      <c r="P521" s="38"/>
      <c r="Q521" s="38"/>
      <c r="R521" s="38"/>
      <c r="S521" s="38"/>
      <c r="T521" s="38"/>
      <c r="U521" s="38"/>
      <c r="V521" s="38"/>
      <c r="W521" s="38"/>
      <c r="X521" s="38"/>
      <c r="Y521" s="38"/>
      <c r="Z521" s="38"/>
    </row>
    <row r="522" spans="1:26" ht="15.75" customHeight="1" x14ac:dyDescent="0.2">
      <c r="A522" s="8" t="s">
        <v>1053</v>
      </c>
      <c r="B522" s="1">
        <v>49.473979999999997</v>
      </c>
      <c r="C522" s="1" t="s">
        <v>1587</v>
      </c>
      <c r="D522" s="1" t="s">
        <v>1524</v>
      </c>
      <c r="E522" s="1" t="s">
        <v>2280</v>
      </c>
      <c r="F522" s="1" t="s">
        <v>1528</v>
      </c>
      <c r="G522" s="1" t="s">
        <v>2266</v>
      </c>
      <c r="H522" s="1" t="s">
        <v>2255</v>
      </c>
      <c r="I522" s="1" t="s">
        <v>2256</v>
      </c>
      <c r="J522" s="1" t="s">
        <v>2617</v>
      </c>
      <c r="M522" s="38"/>
      <c r="N522" s="38"/>
      <c r="O522" s="38"/>
      <c r="P522" s="38"/>
      <c r="Q522" s="38"/>
      <c r="R522" s="38"/>
      <c r="S522" s="38"/>
      <c r="T522" s="38"/>
      <c r="U522" s="38"/>
      <c r="V522" s="38"/>
      <c r="W522" s="38"/>
      <c r="X522" s="38"/>
      <c r="Y522" s="38"/>
      <c r="Z522" s="38"/>
    </row>
    <row r="523" spans="1:26" ht="15.75" customHeight="1" x14ac:dyDescent="0.2">
      <c r="A523" s="8" t="s">
        <v>1053</v>
      </c>
      <c r="B523" s="1">
        <v>49.473979999999997</v>
      </c>
      <c r="C523" s="1" t="s">
        <v>1587</v>
      </c>
      <c r="D523" s="1" t="s">
        <v>1524</v>
      </c>
      <c r="E523" s="1" t="s">
        <v>2280</v>
      </c>
      <c r="F523" s="1" t="s">
        <v>1528</v>
      </c>
      <c r="G523" s="1" t="s">
        <v>2273</v>
      </c>
      <c r="H523" s="1" t="s">
        <v>2255</v>
      </c>
      <c r="I523" s="1" t="s">
        <v>2274</v>
      </c>
      <c r="J523" s="1" t="s">
        <v>2594</v>
      </c>
      <c r="M523" s="38"/>
      <c r="N523" s="38"/>
      <c r="O523" s="38"/>
      <c r="P523" s="38"/>
      <c r="Q523" s="38"/>
      <c r="R523" s="38"/>
      <c r="S523" s="38"/>
      <c r="T523" s="38"/>
      <c r="U523" s="38"/>
      <c r="V523" s="38"/>
      <c r="W523" s="38"/>
      <c r="X523" s="38"/>
      <c r="Y523" s="38"/>
      <c r="Z523" s="38"/>
    </row>
    <row r="524" spans="1:26" ht="15.75" customHeight="1" x14ac:dyDescent="0.2">
      <c r="A524" s="8" t="s">
        <v>1053</v>
      </c>
      <c r="B524" s="1">
        <v>49.473979999999997</v>
      </c>
      <c r="C524" s="1" t="s">
        <v>1587</v>
      </c>
      <c r="D524" s="1" t="s">
        <v>1524</v>
      </c>
      <c r="E524" s="1" t="s">
        <v>2280</v>
      </c>
      <c r="F524" s="1" t="s">
        <v>1528</v>
      </c>
      <c r="G524" s="1" t="s">
        <v>2273</v>
      </c>
      <c r="H524" s="1" t="s">
        <v>2255</v>
      </c>
      <c r="I524" s="1" t="s">
        <v>2285</v>
      </c>
      <c r="J524" s="1" t="s">
        <v>2756</v>
      </c>
      <c r="M524" s="38"/>
      <c r="N524" s="38"/>
      <c r="O524" s="38"/>
      <c r="P524" s="38"/>
      <c r="Q524" s="38"/>
      <c r="R524" s="38"/>
      <c r="S524" s="38"/>
      <c r="T524" s="38"/>
      <c r="U524" s="38"/>
      <c r="V524" s="38"/>
      <c r="W524" s="38"/>
      <c r="X524" s="38"/>
      <c r="Y524" s="38"/>
      <c r="Z524" s="38"/>
    </row>
    <row r="525" spans="1:26" ht="15.75" customHeight="1" x14ac:dyDescent="0.2">
      <c r="A525" s="8" t="s">
        <v>1053</v>
      </c>
      <c r="B525" s="1">
        <v>49.473979999999997</v>
      </c>
      <c r="C525" s="1" t="s">
        <v>1587</v>
      </c>
      <c r="D525" s="1" t="s">
        <v>1524</v>
      </c>
      <c r="E525" s="1" t="s">
        <v>2280</v>
      </c>
      <c r="F525" s="1" t="s">
        <v>1528</v>
      </c>
      <c r="G525" s="1" t="s">
        <v>2295</v>
      </c>
      <c r="H525" s="1" t="s">
        <v>2260</v>
      </c>
      <c r="I525" s="1" t="s">
        <v>2285</v>
      </c>
      <c r="J525" s="1" t="s">
        <v>2757</v>
      </c>
      <c r="M525" s="38"/>
      <c r="N525" s="38"/>
      <c r="O525" s="38"/>
      <c r="P525" s="38"/>
      <c r="Q525" s="38"/>
      <c r="R525" s="38"/>
      <c r="S525" s="38"/>
      <c r="T525" s="38"/>
      <c r="U525" s="38"/>
      <c r="V525" s="38"/>
      <c r="W525" s="38"/>
      <c r="X525" s="38"/>
      <c r="Y525" s="38"/>
      <c r="Z525" s="38"/>
    </row>
    <row r="526" spans="1:26" ht="15.75" customHeight="1" x14ac:dyDescent="0.2">
      <c r="A526" s="8" t="s">
        <v>1053</v>
      </c>
      <c r="B526" s="1">
        <v>49.473979999999997</v>
      </c>
      <c r="C526" s="1" t="s">
        <v>1587</v>
      </c>
      <c r="D526" s="1" t="s">
        <v>1524</v>
      </c>
      <c r="E526" s="1" t="s">
        <v>2280</v>
      </c>
      <c r="F526" s="1" t="s">
        <v>1528</v>
      </c>
      <c r="G526" s="1" t="s">
        <v>2566</v>
      </c>
      <c r="H526" s="1" t="s">
        <v>2260</v>
      </c>
      <c r="I526" s="1" t="s">
        <v>2285</v>
      </c>
      <c r="J526" s="1" t="s">
        <v>2758</v>
      </c>
      <c r="M526" s="38"/>
      <c r="N526" s="38"/>
      <c r="O526" s="38"/>
      <c r="P526" s="38"/>
      <c r="Q526" s="38"/>
      <c r="R526" s="38"/>
      <c r="S526" s="38"/>
      <c r="T526" s="38"/>
      <c r="U526" s="38"/>
      <c r="V526" s="38"/>
      <c r="W526" s="38"/>
      <c r="X526" s="38"/>
      <c r="Y526" s="38"/>
      <c r="Z526" s="38"/>
    </row>
    <row r="527" spans="1:26" ht="15.75" customHeight="1" x14ac:dyDescent="0.2">
      <c r="A527" s="8" t="s">
        <v>1053</v>
      </c>
      <c r="B527" s="1">
        <v>49.473979999999997</v>
      </c>
      <c r="C527" s="1" t="s">
        <v>1587</v>
      </c>
      <c r="D527" s="1" t="s">
        <v>1524</v>
      </c>
      <c r="E527" s="1" t="s">
        <v>2280</v>
      </c>
      <c r="F527" s="1" t="s">
        <v>1528</v>
      </c>
      <c r="G527" s="1" t="s">
        <v>2273</v>
      </c>
      <c r="H527" s="1" t="s">
        <v>2260</v>
      </c>
      <c r="I527" s="1" t="s">
        <v>2256</v>
      </c>
      <c r="J527" s="1" t="s">
        <v>2720</v>
      </c>
      <c r="M527" s="38"/>
      <c r="N527" s="38"/>
      <c r="O527" s="38"/>
      <c r="P527" s="38"/>
      <c r="Q527" s="38"/>
      <c r="R527" s="38"/>
      <c r="S527" s="38"/>
      <c r="T527" s="38"/>
      <c r="U527" s="38"/>
      <c r="V527" s="38"/>
      <c r="W527" s="38"/>
      <c r="X527" s="38"/>
      <c r="Y527" s="38"/>
      <c r="Z527" s="38"/>
    </row>
    <row r="528" spans="1:26" ht="15.75" customHeight="1" x14ac:dyDescent="0.2">
      <c r="A528" s="8" t="s">
        <v>1058</v>
      </c>
      <c r="B528" s="1">
        <v>37.465519</v>
      </c>
      <c r="C528" s="1" t="s">
        <v>1587</v>
      </c>
      <c r="D528" s="1" t="s">
        <v>1524</v>
      </c>
      <c r="E528" s="1" t="s">
        <v>2280</v>
      </c>
      <c r="F528" s="1" t="s">
        <v>1546</v>
      </c>
      <c r="G528" s="1" t="s">
        <v>2654</v>
      </c>
      <c r="H528" s="1" t="s">
        <v>2255</v>
      </c>
      <c r="I528" s="1" t="s">
        <v>2256</v>
      </c>
      <c r="J528" s="1" t="s">
        <v>2655</v>
      </c>
      <c r="M528" s="38"/>
      <c r="N528" s="38"/>
      <c r="O528" s="38"/>
      <c r="P528" s="38"/>
      <c r="Q528" s="38"/>
      <c r="R528" s="38"/>
      <c r="S528" s="38"/>
      <c r="T528" s="38"/>
      <c r="U528" s="38"/>
      <c r="V528" s="38"/>
      <c r="W528" s="38"/>
      <c r="X528" s="38"/>
      <c r="Y528" s="38"/>
      <c r="Z528" s="38"/>
    </row>
    <row r="529" spans="1:26" ht="15.75" customHeight="1" x14ac:dyDescent="0.2">
      <c r="A529" s="8" t="s">
        <v>1058</v>
      </c>
      <c r="B529" s="1">
        <v>37.465519</v>
      </c>
      <c r="C529" s="1" t="s">
        <v>1587</v>
      </c>
      <c r="D529" s="1" t="s">
        <v>1524</v>
      </c>
      <c r="E529" s="1" t="s">
        <v>2280</v>
      </c>
      <c r="F529" s="1" t="s">
        <v>1546</v>
      </c>
      <c r="G529" s="1" t="s">
        <v>1363</v>
      </c>
      <c r="H529" s="1" t="s">
        <v>2260</v>
      </c>
      <c r="I529" s="1" t="s">
        <v>2256</v>
      </c>
      <c r="J529" s="1" t="s">
        <v>2759</v>
      </c>
      <c r="M529" s="38"/>
      <c r="N529" s="38"/>
      <c r="O529" s="38"/>
      <c r="P529" s="38"/>
      <c r="Q529" s="38"/>
      <c r="R529" s="38"/>
      <c r="S529" s="38"/>
      <c r="T529" s="38"/>
      <c r="U529" s="38"/>
      <c r="V529" s="38"/>
      <c r="W529" s="38"/>
      <c r="X529" s="38"/>
      <c r="Y529" s="38"/>
      <c r="Z529" s="38"/>
    </row>
    <row r="530" spans="1:26" ht="15.75" customHeight="1" x14ac:dyDescent="0.2">
      <c r="A530" s="8" t="s">
        <v>1058</v>
      </c>
      <c r="B530" s="1">
        <v>37.465519</v>
      </c>
      <c r="C530" s="1" t="s">
        <v>1587</v>
      </c>
      <c r="D530" s="1" t="s">
        <v>1524</v>
      </c>
      <c r="E530" s="1" t="s">
        <v>2280</v>
      </c>
      <c r="F530" s="1" t="s">
        <v>1546</v>
      </c>
      <c r="G530" s="1" t="s">
        <v>1363</v>
      </c>
      <c r="H530" s="1" t="s">
        <v>2263</v>
      </c>
      <c r="I530" s="1" t="s">
        <v>2256</v>
      </c>
      <c r="J530" s="1" t="s">
        <v>2760</v>
      </c>
      <c r="M530" s="38"/>
      <c r="N530" s="38"/>
      <c r="O530" s="38"/>
      <c r="P530" s="38"/>
      <c r="Q530" s="38"/>
      <c r="R530" s="38"/>
      <c r="S530" s="38"/>
      <c r="T530" s="38"/>
      <c r="U530" s="38"/>
      <c r="V530" s="38"/>
      <c r="W530" s="38"/>
      <c r="X530" s="38"/>
      <c r="Y530" s="38"/>
      <c r="Z530" s="38"/>
    </row>
    <row r="531" spans="1:26" ht="15.75" customHeight="1" x14ac:dyDescent="0.2">
      <c r="A531" s="8" t="s">
        <v>1062</v>
      </c>
      <c r="B531" s="1">
        <v>63.930129000000001</v>
      </c>
      <c r="C531" s="1" t="s">
        <v>1523</v>
      </c>
      <c r="D531" s="1" t="s">
        <v>1524</v>
      </c>
      <c r="E531" s="1" t="s">
        <v>2280</v>
      </c>
      <c r="F531" s="1" t="s">
        <v>1528</v>
      </c>
      <c r="G531" s="1" t="s">
        <v>2273</v>
      </c>
      <c r="H531" s="1" t="s">
        <v>2255</v>
      </c>
      <c r="I531" s="1" t="s">
        <v>2274</v>
      </c>
      <c r="J531" s="1" t="s">
        <v>2761</v>
      </c>
      <c r="M531" s="38"/>
      <c r="N531" s="38"/>
      <c r="O531" s="38"/>
      <c r="P531" s="38"/>
      <c r="Q531" s="38"/>
      <c r="R531" s="38"/>
      <c r="S531" s="38"/>
      <c r="T531" s="38"/>
      <c r="U531" s="38"/>
      <c r="V531" s="38"/>
      <c r="W531" s="38"/>
      <c r="X531" s="38"/>
      <c r="Y531" s="38"/>
      <c r="Z531" s="38"/>
    </row>
    <row r="532" spans="1:26" ht="15.75" customHeight="1" x14ac:dyDescent="0.2">
      <c r="A532" s="8" t="s">
        <v>1062</v>
      </c>
      <c r="B532" s="1">
        <v>63.930129000000001</v>
      </c>
      <c r="C532" s="1" t="s">
        <v>1523</v>
      </c>
      <c r="D532" s="1" t="s">
        <v>1524</v>
      </c>
      <c r="E532" s="1" t="s">
        <v>2280</v>
      </c>
      <c r="F532" s="1" t="s">
        <v>1528</v>
      </c>
      <c r="G532" s="1" t="s">
        <v>2266</v>
      </c>
      <c r="H532" s="1" t="s">
        <v>2255</v>
      </c>
      <c r="I532" s="1" t="s">
        <v>2256</v>
      </c>
      <c r="J532" s="1" t="s">
        <v>2617</v>
      </c>
      <c r="M532" s="38"/>
      <c r="N532" s="38"/>
      <c r="O532" s="38"/>
      <c r="P532" s="38"/>
      <c r="Q532" s="38"/>
      <c r="R532" s="38"/>
      <c r="S532" s="38"/>
      <c r="T532" s="38"/>
      <c r="U532" s="38"/>
      <c r="V532" s="38"/>
      <c r="W532" s="38"/>
      <c r="X532" s="38"/>
      <c r="Y532" s="38"/>
      <c r="Z532" s="38"/>
    </row>
    <row r="533" spans="1:26" ht="15.75" customHeight="1" x14ac:dyDescent="0.2">
      <c r="A533" s="8" t="s">
        <v>1062</v>
      </c>
      <c r="B533" s="1">
        <v>63.930129000000001</v>
      </c>
      <c r="C533" s="1" t="s">
        <v>1523</v>
      </c>
      <c r="D533" s="1" t="s">
        <v>1524</v>
      </c>
      <c r="E533" s="1" t="s">
        <v>2280</v>
      </c>
      <c r="F533" s="1" t="s">
        <v>1528</v>
      </c>
      <c r="G533" s="1" t="s">
        <v>2266</v>
      </c>
      <c r="H533" s="1" t="s">
        <v>2255</v>
      </c>
      <c r="I533" s="1" t="s">
        <v>2256</v>
      </c>
      <c r="J533" s="1" t="s">
        <v>2762</v>
      </c>
      <c r="M533" s="38"/>
      <c r="N533" s="38"/>
      <c r="O533" s="38"/>
      <c r="P533" s="38"/>
      <c r="Q533" s="38"/>
      <c r="R533" s="38"/>
      <c r="S533" s="38"/>
      <c r="T533" s="38"/>
      <c r="U533" s="38"/>
      <c r="V533" s="38"/>
      <c r="W533" s="38"/>
      <c r="X533" s="38"/>
      <c r="Y533" s="38"/>
      <c r="Z533" s="38"/>
    </row>
    <row r="534" spans="1:26" ht="15.75" customHeight="1" x14ac:dyDescent="0.2">
      <c r="A534" s="8" t="s">
        <v>1062</v>
      </c>
      <c r="B534" s="1">
        <v>63.930129000000001</v>
      </c>
      <c r="C534" s="1" t="s">
        <v>1523</v>
      </c>
      <c r="D534" s="1" t="s">
        <v>1524</v>
      </c>
      <c r="E534" s="1" t="s">
        <v>2280</v>
      </c>
      <c r="F534" s="1" t="s">
        <v>1528</v>
      </c>
      <c r="G534" s="1" t="s">
        <v>2290</v>
      </c>
      <c r="H534" s="1" t="s">
        <v>2260</v>
      </c>
      <c r="I534" s="1" t="s">
        <v>2256</v>
      </c>
      <c r="J534" s="1" t="s">
        <v>2763</v>
      </c>
      <c r="M534" s="38"/>
      <c r="N534" s="38"/>
      <c r="O534" s="38"/>
      <c r="P534" s="38"/>
      <c r="Q534" s="38"/>
      <c r="R534" s="38"/>
      <c r="S534" s="38"/>
      <c r="T534" s="38"/>
      <c r="U534" s="38"/>
      <c r="V534" s="38"/>
      <c r="W534" s="38"/>
      <c r="X534" s="38"/>
      <c r="Y534" s="38"/>
      <c r="Z534" s="38"/>
    </row>
    <row r="535" spans="1:26" ht="15.75" customHeight="1" x14ac:dyDescent="0.2">
      <c r="A535" s="8" t="s">
        <v>1062</v>
      </c>
      <c r="B535" s="1">
        <v>63.930129000000001</v>
      </c>
      <c r="C535" s="1" t="s">
        <v>1523</v>
      </c>
      <c r="D535" s="1" t="s">
        <v>1524</v>
      </c>
      <c r="E535" s="1" t="s">
        <v>2280</v>
      </c>
      <c r="F535" s="1" t="s">
        <v>1528</v>
      </c>
      <c r="G535" s="1" t="s">
        <v>2273</v>
      </c>
      <c r="H535" s="1" t="s">
        <v>2260</v>
      </c>
      <c r="I535" s="1" t="s">
        <v>2256</v>
      </c>
      <c r="J535" s="1" t="s">
        <v>2720</v>
      </c>
      <c r="M535" s="38"/>
      <c r="N535" s="38"/>
      <c r="O535" s="38"/>
      <c r="P535" s="38"/>
      <c r="Q535" s="38"/>
      <c r="R535" s="38"/>
      <c r="S535" s="38"/>
      <c r="T535" s="38"/>
      <c r="U535" s="38"/>
      <c r="V535" s="38"/>
      <c r="W535" s="38"/>
      <c r="X535" s="38"/>
      <c r="Y535" s="38"/>
      <c r="Z535" s="38"/>
    </row>
    <row r="536" spans="1:26" ht="15.75" customHeight="1" x14ac:dyDescent="0.2">
      <c r="A536" s="8" t="s">
        <v>1062</v>
      </c>
      <c r="B536" s="1">
        <v>63.930129000000001</v>
      </c>
      <c r="C536" s="1" t="s">
        <v>1523</v>
      </c>
      <c r="D536" s="1" t="s">
        <v>1524</v>
      </c>
      <c r="E536" s="1" t="s">
        <v>2280</v>
      </c>
      <c r="F536" s="1" t="s">
        <v>1528</v>
      </c>
      <c r="G536" s="1" t="s">
        <v>2273</v>
      </c>
      <c r="H536" s="1" t="s">
        <v>2260</v>
      </c>
      <c r="I536" s="1" t="s">
        <v>2285</v>
      </c>
      <c r="J536" s="1" t="s">
        <v>2764</v>
      </c>
      <c r="M536" s="38"/>
      <c r="N536" s="38"/>
      <c r="O536" s="38"/>
      <c r="P536" s="38"/>
      <c r="Q536" s="38"/>
      <c r="R536" s="38"/>
      <c r="S536" s="38"/>
      <c r="T536" s="38"/>
      <c r="U536" s="38"/>
      <c r="V536" s="38"/>
      <c r="W536" s="38"/>
      <c r="X536" s="38"/>
      <c r="Y536" s="38"/>
      <c r="Z536" s="38"/>
    </row>
    <row r="537" spans="1:26" ht="15.75" customHeight="1" x14ac:dyDescent="0.2">
      <c r="A537" s="8" t="s">
        <v>1062</v>
      </c>
      <c r="B537" s="1">
        <v>63.930129000000001</v>
      </c>
      <c r="C537" s="1" t="s">
        <v>1523</v>
      </c>
      <c r="D537" s="1" t="s">
        <v>1524</v>
      </c>
      <c r="E537" s="1" t="s">
        <v>2280</v>
      </c>
      <c r="F537" s="1" t="s">
        <v>1528</v>
      </c>
      <c r="G537" s="1" t="s">
        <v>2504</v>
      </c>
      <c r="H537" s="1" t="s">
        <v>2260</v>
      </c>
      <c r="I537" s="1" t="s">
        <v>2256</v>
      </c>
      <c r="J537" s="1" t="s">
        <v>2765</v>
      </c>
      <c r="M537" s="38"/>
      <c r="N537" s="38"/>
      <c r="O537" s="38"/>
      <c r="P537" s="38"/>
      <c r="Q537" s="38"/>
      <c r="R537" s="38"/>
      <c r="S537" s="38"/>
      <c r="T537" s="38"/>
      <c r="U537" s="38"/>
      <c r="V537" s="38"/>
      <c r="W537" s="38"/>
      <c r="X537" s="38"/>
      <c r="Y537" s="38"/>
      <c r="Z537" s="38"/>
    </row>
    <row r="538" spans="1:26" ht="15.75" customHeight="1" x14ac:dyDescent="0.2">
      <c r="A538" s="8" t="s">
        <v>1062</v>
      </c>
      <c r="B538" s="1">
        <v>63.930129000000001</v>
      </c>
      <c r="C538" s="1" t="s">
        <v>1523</v>
      </c>
      <c r="D538" s="1" t="s">
        <v>1524</v>
      </c>
      <c r="E538" s="1" t="s">
        <v>2280</v>
      </c>
      <c r="F538" s="1" t="s">
        <v>1528</v>
      </c>
      <c r="G538" s="1" t="s">
        <v>2297</v>
      </c>
      <c r="H538" s="1" t="s">
        <v>2260</v>
      </c>
      <c r="I538" s="1" t="s">
        <v>2285</v>
      </c>
      <c r="J538" s="1" t="s">
        <v>2766</v>
      </c>
      <c r="M538" s="38"/>
      <c r="N538" s="38"/>
      <c r="O538" s="38"/>
      <c r="P538" s="38"/>
      <c r="Q538" s="38"/>
      <c r="R538" s="38"/>
      <c r="S538" s="38"/>
      <c r="T538" s="38"/>
      <c r="U538" s="38"/>
      <c r="V538" s="38"/>
      <c r="W538" s="38"/>
      <c r="X538" s="38"/>
      <c r="Y538" s="38"/>
      <c r="Z538" s="38"/>
    </row>
    <row r="539" spans="1:26" ht="15.75" customHeight="1" x14ac:dyDescent="0.2">
      <c r="A539" s="8" t="s">
        <v>1062</v>
      </c>
      <c r="B539" s="1">
        <v>63.930129000000001</v>
      </c>
      <c r="C539" s="1" t="s">
        <v>1523</v>
      </c>
      <c r="D539" s="1" t="s">
        <v>1524</v>
      </c>
      <c r="E539" s="1" t="s">
        <v>2280</v>
      </c>
      <c r="F539" s="1" t="s">
        <v>1528</v>
      </c>
      <c r="G539" s="1" t="s">
        <v>2392</v>
      </c>
      <c r="H539" s="1" t="s">
        <v>2260</v>
      </c>
      <c r="I539" s="1" t="s">
        <v>2256</v>
      </c>
      <c r="J539" s="1" t="s">
        <v>2767</v>
      </c>
      <c r="M539" s="38"/>
      <c r="N539" s="38"/>
      <c r="O539" s="38"/>
      <c r="P539" s="38"/>
      <c r="Q539" s="38"/>
      <c r="R539" s="38"/>
      <c r="S539" s="38"/>
      <c r="T539" s="38"/>
      <c r="U539" s="38"/>
      <c r="V539" s="38"/>
      <c r="W539" s="38"/>
      <c r="X539" s="38"/>
      <c r="Y539" s="38"/>
      <c r="Z539" s="38"/>
    </row>
    <row r="540" spans="1:26" ht="15.75" customHeight="1" x14ac:dyDescent="0.2">
      <c r="A540" s="8" t="s">
        <v>1062</v>
      </c>
      <c r="B540" s="1">
        <v>63.930129000000001</v>
      </c>
      <c r="C540" s="1" t="s">
        <v>1523</v>
      </c>
      <c r="D540" s="1" t="s">
        <v>1524</v>
      </c>
      <c r="E540" s="1" t="s">
        <v>2280</v>
      </c>
      <c r="F540" s="1" t="s">
        <v>1528</v>
      </c>
      <c r="G540" s="1" t="s">
        <v>2392</v>
      </c>
      <c r="H540" s="1" t="s">
        <v>2260</v>
      </c>
      <c r="I540" s="1" t="s">
        <v>2256</v>
      </c>
      <c r="J540" s="1" t="s">
        <v>2682</v>
      </c>
      <c r="M540" s="38"/>
      <c r="N540" s="38"/>
      <c r="O540" s="38"/>
      <c r="P540" s="38"/>
      <c r="Q540" s="38"/>
      <c r="R540" s="38"/>
      <c r="S540" s="38"/>
      <c r="T540" s="38"/>
      <c r="U540" s="38"/>
      <c r="V540" s="38"/>
      <c r="W540" s="38"/>
      <c r="X540" s="38"/>
      <c r="Y540" s="38"/>
      <c r="Z540" s="38"/>
    </row>
    <row r="541" spans="1:26" ht="15.75" customHeight="1" x14ac:dyDescent="0.2">
      <c r="A541" s="8" t="s">
        <v>1062</v>
      </c>
      <c r="B541" s="1">
        <v>63.930129000000001</v>
      </c>
      <c r="C541" s="1" t="s">
        <v>1523</v>
      </c>
      <c r="D541" s="1" t="s">
        <v>1524</v>
      </c>
      <c r="E541" s="1" t="s">
        <v>2280</v>
      </c>
      <c r="F541" s="1" t="s">
        <v>1528</v>
      </c>
      <c r="G541" s="1" t="s">
        <v>2392</v>
      </c>
      <c r="H541" s="1" t="s">
        <v>2263</v>
      </c>
      <c r="I541" s="1" t="s">
        <v>2256</v>
      </c>
      <c r="J541" s="1" t="s">
        <v>2768</v>
      </c>
      <c r="M541" s="38"/>
      <c r="N541" s="38"/>
      <c r="O541" s="38"/>
      <c r="P541" s="38"/>
      <c r="Q541" s="38"/>
      <c r="R541" s="38"/>
      <c r="S541" s="38"/>
      <c r="T541" s="38"/>
      <c r="U541" s="38"/>
      <c r="V541" s="38"/>
      <c r="W541" s="38"/>
      <c r="X541" s="38"/>
      <c r="Y541" s="38"/>
      <c r="Z541" s="38"/>
    </row>
    <row r="542" spans="1:26" ht="15.75" customHeight="1" x14ac:dyDescent="0.2">
      <c r="A542" s="8" t="s">
        <v>661</v>
      </c>
      <c r="B542" s="1">
        <v>46.059809999999999</v>
      </c>
      <c r="C542" s="1" t="s">
        <v>1587</v>
      </c>
      <c r="D542" s="1" t="s">
        <v>1524</v>
      </c>
      <c r="E542" s="1" t="s">
        <v>2280</v>
      </c>
      <c r="F542" s="1" t="s">
        <v>1560</v>
      </c>
      <c r="G542" s="1" t="s">
        <v>2254</v>
      </c>
      <c r="H542" s="1" t="s">
        <v>2255</v>
      </c>
      <c r="I542" s="1" t="s">
        <v>2256</v>
      </c>
      <c r="J542" s="1" t="s">
        <v>2769</v>
      </c>
      <c r="M542" s="38"/>
      <c r="N542" s="38"/>
      <c r="O542" s="38"/>
      <c r="P542" s="38"/>
      <c r="Q542" s="38"/>
      <c r="R542" s="38"/>
      <c r="S542" s="38"/>
      <c r="T542" s="38"/>
      <c r="U542" s="38"/>
      <c r="V542" s="38"/>
      <c r="W542" s="38"/>
      <c r="X542" s="38"/>
      <c r="Y542" s="38"/>
      <c r="Z542" s="38"/>
    </row>
    <row r="543" spans="1:26" ht="15.75" customHeight="1" x14ac:dyDescent="0.2">
      <c r="A543" s="8" t="s">
        <v>1072</v>
      </c>
      <c r="B543" s="1">
        <v>63.670026999999997</v>
      </c>
      <c r="C543" s="1" t="s">
        <v>1587</v>
      </c>
      <c r="D543" s="1" t="s">
        <v>1578</v>
      </c>
      <c r="E543" s="1" t="s">
        <v>2280</v>
      </c>
      <c r="F543" s="1" t="s">
        <v>1528</v>
      </c>
      <c r="G543" s="1" t="s">
        <v>2273</v>
      </c>
      <c r="H543" s="1" t="s">
        <v>2255</v>
      </c>
      <c r="I543" s="1" t="s">
        <v>2285</v>
      </c>
      <c r="J543" s="1" t="s">
        <v>2770</v>
      </c>
      <c r="M543" s="38"/>
      <c r="N543" s="38"/>
      <c r="O543" s="38"/>
      <c r="P543" s="38"/>
      <c r="Q543" s="38"/>
      <c r="R543" s="38"/>
      <c r="S543" s="38"/>
      <c r="T543" s="38"/>
      <c r="U543" s="38"/>
      <c r="V543" s="38"/>
      <c r="W543" s="38"/>
      <c r="X543" s="38"/>
      <c r="Y543" s="38"/>
      <c r="Z543" s="38"/>
    </row>
    <row r="544" spans="1:26" ht="15.75" customHeight="1" x14ac:dyDescent="0.2">
      <c r="A544" s="8" t="s">
        <v>1072</v>
      </c>
      <c r="B544" s="1">
        <v>63.670026999999997</v>
      </c>
      <c r="C544" s="1" t="s">
        <v>1587</v>
      </c>
      <c r="D544" s="1" t="s">
        <v>1578</v>
      </c>
      <c r="E544" s="1" t="s">
        <v>2280</v>
      </c>
      <c r="F544" s="1" t="s">
        <v>1528</v>
      </c>
      <c r="G544" s="1" t="s">
        <v>2302</v>
      </c>
      <c r="H544" s="1" t="s">
        <v>2255</v>
      </c>
      <c r="I544" s="1" t="s">
        <v>2285</v>
      </c>
      <c r="J544" s="1" t="s">
        <v>2621</v>
      </c>
      <c r="M544" s="38"/>
      <c r="N544" s="38"/>
      <c r="O544" s="38"/>
      <c r="P544" s="38"/>
      <c r="Q544" s="38"/>
      <c r="R544" s="38"/>
      <c r="S544" s="38"/>
      <c r="T544" s="38"/>
      <c r="U544" s="38"/>
      <c r="V544" s="38"/>
      <c r="W544" s="38"/>
      <c r="X544" s="38"/>
      <c r="Y544" s="38"/>
      <c r="Z544" s="38"/>
    </row>
    <row r="545" spans="1:26" ht="15.75" customHeight="1" x14ac:dyDescent="0.2">
      <c r="A545" s="8" t="s">
        <v>1072</v>
      </c>
      <c r="B545" s="1">
        <v>63.670026999999997</v>
      </c>
      <c r="C545" s="1" t="s">
        <v>1587</v>
      </c>
      <c r="D545" s="1" t="s">
        <v>1578</v>
      </c>
      <c r="E545" s="1" t="s">
        <v>2280</v>
      </c>
      <c r="F545" s="1" t="s">
        <v>1528</v>
      </c>
      <c r="G545" s="1" t="s">
        <v>2557</v>
      </c>
      <c r="H545" s="1" t="s">
        <v>2255</v>
      </c>
      <c r="I545" s="1" t="s">
        <v>2285</v>
      </c>
      <c r="J545" s="1" t="s">
        <v>2622</v>
      </c>
      <c r="M545" s="38"/>
      <c r="N545" s="38"/>
      <c r="O545" s="38"/>
      <c r="P545" s="38"/>
      <c r="Q545" s="38"/>
      <c r="R545" s="38"/>
      <c r="S545" s="38"/>
      <c r="T545" s="38"/>
      <c r="U545" s="38"/>
      <c r="V545" s="38"/>
      <c r="W545" s="38"/>
      <c r="X545" s="38"/>
      <c r="Y545" s="38"/>
      <c r="Z545" s="38"/>
    </row>
    <row r="546" spans="1:26" ht="15.75" customHeight="1" x14ac:dyDescent="0.2">
      <c r="A546" s="8" t="s">
        <v>1072</v>
      </c>
      <c r="B546" s="1">
        <v>63.670026999999997</v>
      </c>
      <c r="C546" s="1" t="s">
        <v>1587</v>
      </c>
      <c r="D546" s="1" t="s">
        <v>1578</v>
      </c>
      <c r="E546" s="1" t="s">
        <v>2280</v>
      </c>
      <c r="F546" s="1" t="s">
        <v>1528</v>
      </c>
      <c r="G546" s="1" t="s">
        <v>2273</v>
      </c>
      <c r="H546" s="1" t="s">
        <v>2260</v>
      </c>
      <c r="I546" s="1" t="s">
        <v>2256</v>
      </c>
      <c r="J546" s="1" t="s">
        <v>2771</v>
      </c>
      <c r="M546" s="38"/>
      <c r="N546" s="38"/>
      <c r="O546" s="38"/>
      <c r="P546" s="38"/>
      <c r="Q546" s="38"/>
      <c r="R546" s="38"/>
      <c r="S546" s="38"/>
      <c r="T546" s="38"/>
      <c r="U546" s="38"/>
      <c r="V546" s="38"/>
      <c r="W546" s="38"/>
      <c r="X546" s="38"/>
      <c r="Y546" s="38"/>
      <c r="Z546" s="38"/>
    </row>
    <row r="547" spans="1:26" ht="15.75" customHeight="1" x14ac:dyDescent="0.2">
      <c r="A547" s="8" t="s">
        <v>1072</v>
      </c>
      <c r="B547" s="1">
        <v>63.670026999999997</v>
      </c>
      <c r="C547" s="1" t="s">
        <v>1587</v>
      </c>
      <c r="D547" s="1" t="s">
        <v>1578</v>
      </c>
      <c r="E547" s="1" t="s">
        <v>2280</v>
      </c>
      <c r="F547" s="1" t="s">
        <v>1528</v>
      </c>
      <c r="G547" s="1" t="s">
        <v>2271</v>
      </c>
      <c r="H547" s="1" t="s">
        <v>2260</v>
      </c>
      <c r="I547" s="1" t="s">
        <v>2256</v>
      </c>
      <c r="J547" s="1" t="s">
        <v>2772</v>
      </c>
      <c r="M547" s="38"/>
      <c r="N547" s="38"/>
      <c r="O547" s="38"/>
      <c r="P547" s="38"/>
      <c r="Q547" s="38"/>
      <c r="R547" s="38"/>
      <c r="S547" s="38"/>
      <c r="T547" s="38"/>
      <c r="U547" s="38"/>
      <c r="V547" s="38"/>
      <c r="W547" s="38"/>
      <c r="X547" s="38"/>
      <c r="Y547" s="38"/>
      <c r="Z547" s="38"/>
    </row>
    <row r="548" spans="1:26" ht="15.75" customHeight="1" x14ac:dyDescent="0.2">
      <c r="A548" s="8" t="s">
        <v>1072</v>
      </c>
      <c r="B548" s="1">
        <v>63.670026999999997</v>
      </c>
      <c r="C548" s="1" t="s">
        <v>1587</v>
      </c>
      <c r="D548" s="1" t="s">
        <v>1578</v>
      </c>
      <c r="E548" s="1" t="s">
        <v>2280</v>
      </c>
      <c r="F548" s="1" t="s">
        <v>1528</v>
      </c>
      <c r="G548" s="1" t="s">
        <v>2262</v>
      </c>
      <c r="H548" s="1" t="s">
        <v>2260</v>
      </c>
      <c r="I548" s="1" t="s">
        <v>2256</v>
      </c>
      <c r="J548" s="1" t="s">
        <v>2773</v>
      </c>
      <c r="M548" s="38"/>
      <c r="N548" s="38"/>
      <c r="O548" s="38"/>
      <c r="P548" s="38"/>
      <c r="Q548" s="38"/>
      <c r="R548" s="38"/>
      <c r="S548" s="38"/>
      <c r="T548" s="38"/>
      <c r="U548" s="38"/>
      <c r="V548" s="38"/>
      <c r="W548" s="38"/>
      <c r="X548" s="38"/>
      <c r="Y548" s="38"/>
      <c r="Z548" s="38"/>
    </row>
    <row r="549" spans="1:26" ht="15.75" customHeight="1" x14ac:dyDescent="0.2">
      <c r="A549" s="8" t="s">
        <v>1072</v>
      </c>
      <c r="B549" s="1">
        <v>63.670026999999997</v>
      </c>
      <c r="C549" s="1" t="s">
        <v>1587</v>
      </c>
      <c r="D549" s="1" t="s">
        <v>1578</v>
      </c>
      <c r="E549" s="1" t="s">
        <v>2280</v>
      </c>
      <c r="F549" s="1" t="s">
        <v>1528</v>
      </c>
      <c r="G549" s="1" t="s">
        <v>2262</v>
      </c>
      <c r="H549" s="1" t="s">
        <v>2260</v>
      </c>
      <c r="I549" s="1" t="s">
        <v>2256</v>
      </c>
      <c r="J549" s="1" t="s">
        <v>1078</v>
      </c>
      <c r="M549" s="38"/>
      <c r="N549" s="38"/>
      <c r="O549" s="38"/>
      <c r="P549" s="38"/>
      <c r="Q549" s="38"/>
      <c r="R549" s="38"/>
      <c r="S549" s="38"/>
      <c r="T549" s="38"/>
      <c r="U549" s="38"/>
      <c r="V549" s="38"/>
      <c r="W549" s="38"/>
      <c r="X549" s="38"/>
      <c r="Y549" s="38"/>
      <c r="Z549" s="38"/>
    </row>
    <row r="550" spans="1:26" ht="15.75" customHeight="1" x14ac:dyDescent="0.2">
      <c r="A550" s="8" t="s">
        <v>1072</v>
      </c>
      <c r="B550" s="1">
        <v>63.670026999999997</v>
      </c>
      <c r="C550" s="1" t="s">
        <v>1587</v>
      </c>
      <c r="D550" s="1" t="s">
        <v>1578</v>
      </c>
      <c r="E550" s="1" t="s">
        <v>2280</v>
      </c>
      <c r="F550" s="1" t="s">
        <v>1528</v>
      </c>
      <c r="G550" s="1" t="s">
        <v>2259</v>
      </c>
      <c r="H550" s="1" t="s">
        <v>2263</v>
      </c>
      <c r="I550" s="1" t="s">
        <v>2256</v>
      </c>
      <c r="J550" s="1" t="s">
        <v>2774</v>
      </c>
      <c r="M550" s="38"/>
      <c r="N550" s="38"/>
      <c r="O550" s="38"/>
      <c r="P550" s="38"/>
      <c r="Q550" s="38"/>
      <c r="R550" s="38"/>
      <c r="S550" s="38"/>
      <c r="T550" s="38"/>
      <c r="U550" s="38"/>
      <c r="V550" s="38"/>
      <c r="W550" s="38"/>
      <c r="X550" s="38"/>
      <c r="Y550" s="38"/>
      <c r="Z550" s="38"/>
    </row>
    <row r="551" spans="1:26" ht="15.75" customHeight="1" x14ac:dyDescent="0.2">
      <c r="A551" s="8" t="s">
        <v>1080</v>
      </c>
      <c r="B551" s="1">
        <v>51.513719999999999</v>
      </c>
      <c r="C551" s="1" t="s">
        <v>1523</v>
      </c>
      <c r="D551" s="1" t="s">
        <v>1524</v>
      </c>
      <c r="E551" s="1" t="s">
        <v>2280</v>
      </c>
      <c r="F551" s="1" t="s">
        <v>1546</v>
      </c>
      <c r="G551" s="1" t="s">
        <v>2290</v>
      </c>
      <c r="H551" s="1" t="s">
        <v>2255</v>
      </c>
      <c r="I551" s="1" t="s">
        <v>2256</v>
      </c>
      <c r="J551" s="1" t="s">
        <v>2743</v>
      </c>
      <c r="M551" s="38"/>
      <c r="N551" s="38"/>
      <c r="O551" s="38"/>
      <c r="P551" s="38"/>
      <c r="Q551" s="38"/>
      <c r="R551" s="38"/>
      <c r="S551" s="38"/>
      <c r="T551" s="38"/>
      <c r="U551" s="38"/>
      <c r="V551" s="38"/>
      <c r="W551" s="38"/>
      <c r="X551" s="38"/>
      <c r="Y551" s="38"/>
      <c r="Z551" s="38"/>
    </row>
    <row r="552" spans="1:26" ht="15.75" customHeight="1" x14ac:dyDescent="0.2">
      <c r="A552" s="8" t="s">
        <v>1082</v>
      </c>
      <c r="B552" s="1">
        <v>34.456560000000003</v>
      </c>
      <c r="C552" s="1" t="s">
        <v>1587</v>
      </c>
      <c r="D552" s="1" t="s">
        <v>1524</v>
      </c>
      <c r="E552" s="1" t="s">
        <v>2280</v>
      </c>
      <c r="F552" s="1" t="s">
        <v>1560</v>
      </c>
      <c r="G552" s="1" t="s">
        <v>2259</v>
      </c>
      <c r="H552" s="1" t="s">
        <v>2255</v>
      </c>
      <c r="I552" s="1" t="s">
        <v>2256</v>
      </c>
      <c r="J552" s="1" t="s">
        <v>2775</v>
      </c>
      <c r="M552" s="38"/>
      <c r="N552" s="38"/>
      <c r="O552" s="38"/>
      <c r="P552" s="38"/>
      <c r="Q552" s="38"/>
      <c r="R552" s="38"/>
      <c r="S552" s="38"/>
      <c r="T552" s="38"/>
      <c r="U552" s="38"/>
      <c r="V552" s="38"/>
      <c r="W552" s="38"/>
      <c r="X552" s="38"/>
      <c r="Y552" s="38"/>
      <c r="Z552" s="38"/>
    </row>
    <row r="553" spans="1:26" ht="15.75" customHeight="1" x14ac:dyDescent="0.2">
      <c r="A553" s="8" t="s">
        <v>1082</v>
      </c>
      <c r="B553" s="1">
        <v>34.456560000000003</v>
      </c>
      <c r="C553" s="1" t="s">
        <v>1587</v>
      </c>
      <c r="D553" s="1" t="s">
        <v>1524</v>
      </c>
      <c r="E553" s="1" t="s">
        <v>2280</v>
      </c>
      <c r="F553" s="1" t="s">
        <v>1560</v>
      </c>
      <c r="G553" s="1" t="s">
        <v>2254</v>
      </c>
      <c r="H553" s="1" t="s">
        <v>2255</v>
      </c>
      <c r="I553" s="1" t="s">
        <v>2256</v>
      </c>
      <c r="J553" s="1" t="s">
        <v>2776</v>
      </c>
      <c r="M553" s="38"/>
      <c r="N553" s="38"/>
      <c r="O553" s="38"/>
      <c r="P553" s="38"/>
      <c r="Q553" s="38"/>
      <c r="R553" s="38"/>
      <c r="S553" s="38"/>
      <c r="T553" s="38"/>
      <c r="U553" s="38"/>
      <c r="V553" s="38"/>
      <c r="W553" s="38"/>
      <c r="X553" s="38"/>
      <c r="Y553" s="38"/>
      <c r="Z553" s="38"/>
    </row>
    <row r="554" spans="1:26" ht="15.75" customHeight="1" x14ac:dyDescent="0.2">
      <c r="A554" s="8" t="s">
        <v>1082</v>
      </c>
      <c r="B554" s="1">
        <v>34.456560000000003</v>
      </c>
      <c r="C554" s="1" t="s">
        <v>1587</v>
      </c>
      <c r="D554" s="1" t="s">
        <v>1524</v>
      </c>
      <c r="E554" s="1" t="s">
        <v>2280</v>
      </c>
      <c r="F554" s="1" t="s">
        <v>1560</v>
      </c>
      <c r="G554" s="1" t="s">
        <v>2262</v>
      </c>
      <c r="H554" s="1" t="s">
        <v>2260</v>
      </c>
      <c r="I554" s="1" t="s">
        <v>2256</v>
      </c>
      <c r="J554" s="1" t="s">
        <v>2777</v>
      </c>
      <c r="M554" s="38"/>
      <c r="N554" s="38"/>
      <c r="O554" s="38"/>
      <c r="P554" s="38"/>
      <c r="Q554" s="38"/>
      <c r="R554" s="38"/>
      <c r="S554" s="38"/>
      <c r="T554" s="38"/>
      <c r="U554" s="38"/>
      <c r="V554" s="38"/>
      <c r="W554" s="38"/>
      <c r="X554" s="38"/>
      <c r="Y554" s="38"/>
      <c r="Z554" s="38"/>
    </row>
    <row r="555" spans="1:26" ht="15.75" customHeight="1" x14ac:dyDescent="0.2">
      <c r="A555" s="8" t="s">
        <v>1092</v>
      </c>
      <c r="B555" s="1">
        <v>33.021895999999998</v>
      </c>
      <c r="C555" s="1" t="s">
        <v>1523</v>
      </c>
      <c r="D555" s="1" t="s">
        <v>1524</v>
      </c>
      <c r="E555" s="1" t="s">
        <v>2280</v>
      </c>
      <c r="F555" s="1" t="s">
        <v>1528</v>
      </c>
      <c r="G555" s="1" t="s">
        <v>2287</v>
      </c>
      <c r="H555" s="1" t="s">
        <v>2255</v>
      </c>
      <c r="I555" s="1" t="s">
        <v>2256</v>
      </c>
      <c r="J555" s="1" t="s">
        <v>2778</v>
      </c>
      <c r="M555" s="38"/>
      <c r="N555" s="38"/>
      <c r="O555" s="38"/>
      <c r="P555" s="38"/>
      <c r="Q555" s="38"/>
      <c r="R555" s="38"/>
      <c r="S555" s="38"/>
      <c r="T555" s="38"/>
      <c r="U555" s="38"/>
      <c r="V555" s="38"/>
      <c r="W555" s="38"/>
      <c r="X555" s="38"/>
      <c r="Y555" s="38"/>
      <c r="Z555" s="38"/>
    </row>
    <row r="556" spans="1:26" ht="15.75" customHeight="1" x14ac:dyDescent="0.2">
      <c r="A556" s="8" t="s">
        <v>1092</v>
      </c>
      <c r="B556" s="1">
        <v>33.021895999999998</v>
      </c>
      <c r="C556" s="1" t="s">
        <v>1523</v>
      </c>
      <c r="D556" s="1" t="s">
        <v>1524</v>
      </c>
      <c r="E556" s="1" t="s">
        <v>2280</v>
      </c>
      <c r="F556" s="1" t="s">
        <v>1528</v>
      </c>
      <c r="G556" s="1" t="s">
        <v>2499</v>
      </c>
      <c r="H556" s="1" t="s">
        <v>2260</v>
      </c>
      <c r="I556" s="1" t="s">
        <v>2256</v>
      </c>
      <c r="J556" s="1" t="s">
        <v>2779</v>
      </c>
      <c r="M556" s="38"/>
      <c r="N556" s="38"/>
      <c r="O556" s="38"/>
      <c r="P556" s="38"/>
      <c r="Q556" s="38"/>
      <c r="R556" s="38"/>
      <c r="S556" s="38"/>
      <c r="T556" s="38"/>
      <c r="U556" s="38"/>
      <c r="V556" s="38"/>
      <c r="W556" s="38"/>
      <c r="X556" s="38"/>
      <c r="Y556" s="38"/>
      <c r="Z556" s="38"/>
    </row>
    <row r="557" spans="1:26" ht="15.75" customHeight="1" x14ac:dyDescent="0.2">
      <c r="A557" s="8" t="s">
        <v>1092</v>
      </c>
      <c r="B557" s="1">
        <v>33.021895999999998</v>
      </c>
      <c r="C557" s="1" t="s">
        <v>1523</v>
      </c>
      <c r="D557" s="1" t="s">
        <v>1524</v>
      </c>
      <c r="E557" s="1" t="s">
        <v>2280</v>
      </c>
      <c r="F557" s="1" t="s">
        <v>1528</v>
      </c>
      <c r="G557" s="1" t="s">
        <v>1363</v>
      </c>
      <c r="H557" s="1" t="s">
        <v>2260</v>
      </c>
      <c r="I557" s="1" t="s">
        <v>2256</v>
      </c>
      <c r="J557" s="1" t="s">
        <v>2780</v>
      </c>
      <c r="M557" s="38"/>
      <c r="N557" s="38"/>
      <c r="O557" s="38"/>
      <c r="P557" s="38"/>
      <c r="Q557" s="38"/>
      <c r="R557" s="38"/>
      <c r="S557" s="38"/>
      <c r="T557" s="38"/>
      <c r="U557" s="38"/>
      <c r="V557" s="38"/>
      <c r="W557" s="38"/>
      <c r="X557" s="38"/>
      <c r="Y557" s="38"/>
      <c r="Z557" s="38"/>
    </row>
    <row r="558" spans="1:26" ht="15.75" customHeight="1" x14ac:dyDescent="0.2">
      <c r="A558" s="8" t="s">
        <v>1092</v>
      </c>
      <c r="B558" s="1">
        <v>33.021895999999998</v>
      </c>
      <c r="C558" s="1" t="s">
        <v>1523</v>
      </c>
      <c r="D558" s="1" t="s">
        <v>1524</v>
      </c>
      <c r="E558" s="1" t="s">
        <v>2280</v>
      </c>
      <c r="F558" s="1" t="s">
        <v>1528</v>
      </c>
      <c r="G558" s="1" t="s">
        <v>2262</v>
      </c>
      <c r="H558" s="1" t="s">
        <v>2260</v>
      </c>
      <c r="I558" s="1" t="s">
        <v>2256</v>
      </c>
      <c r="J558" s="1" t="s">
        <v>2781</v>
      </c>
      <c r="M558" s="38"/>
      <c r="N558" s="38"/>
      <c r="O558" s="38"/>
      <c r="P558" s="38"/>
      <c r="Q558" s="38"/>
      <c r="R558" s="38"/>
      <c r="S558" s="38"/>
      <c r="T558" s="38"/>
      <c r="U558" s="38"/>
      <c r="V558" s="38"/>
      <c r="W558" s="38"/>
      <c r="X558" s="38"/>
      <c r="Y558" s="38"/>
      <c r="Z558" s="38"/>
    </row>
    <row r="559" spans="1:26" ht="15.75" customHeight="1" x14ac:dyDescent="0.2">
      <c r="A559" s="8" t="s">
        <v>1092</v>
      </c>
      <c r="B559" s="1">
        <v>33.021895999999998</v>
      </c>
      <c r="C559" s="1" t="s">
        <v>1523</v>
      </c>
      <c r="D559" s="1" t="s">
        <v>1524</v>
      </c>
      <c r="E559" s="1" t="s">
        <v>2280</v>
      </c>
      <c r="F559" s="1" t="s">
        <v>1528</v>
      </c>
      <c r="G559" s="1" t="s">
        <v>2262</v>
      </c>
      <c r="H559" s="1" t="s">
        <v>2260</v>
      </c>
      <c r="I559" s="1" t="s">
        <v>2256</v>
      </c>
      <c r="J559" s="1" t="s">
        <v>2782</v>
      </c>
      <c r="M559" s="38"/>
      <c r="N559" s="38"/>
      <c r="O559" s="38"/>
      <c r="P559" s="38"/>
      <c r="Q559" s="38"/>
      <c r="R559" s="38"/>
      <c r="S559" s="38"/>
      <c r="T559" s="38"/>
      <c r="U559" s="38"/>
      <c r="V559" s="38"/>
      <c r="W559" s="38"/>
      <c r="X559" s="38"/>
      <c r="Y559" s="38"/>
      <c r="Z559" s="38"/>
    </row>
    <row r="560" spans="1:26" ht="15.75" customHeight="1" x14ac:dyDescent="0.2">
      <c r="A560" s="8" t="s">
        <v>1092</v>
      </c>
      <c r="B560" s="1">
        <v>33.021895999999998</v>
      </c>
      <c r="C560" s="1" t="s">
        <v>1523</v>
      </c>
      <c r="D560" s="1" t="s">
        <v>1524</v>
      </c>
      <c r="E560" s="1" t="s">
        <v>2280</v>
      </c>
      <c r="F560" s="1" t="s">
        <v>1528</v>
      </c>
      <c r="G560" s="1" t="s">
        <v>2259</v>
      </c>
      <c r="H560" s="1" t="s">
        <v>2263</v>
      </c>
      <c r="I560" s="1" t="s">
        <v>2256</v>
      </c>
      <c r="J560" s="1" t="s">
        <v>2783</v>
      </c>
      <c r="M560" s="38"/>
      <c r="N560" s="38"/>
      <c r="O560" s="38"/>
      <c r="P560" s="38"/>
      <c r="Q560" s="38"/>
      <c r="R560" s="38"/>
      <c r="S560" s="38"/>
      <c r="T560" s="38"/>
      <c r="U560" s="38"/>
      <c r="V560" s="38"/>
      <c r="W560" s="38"/>
      <c r="X560" s="38"/>
      <c r="Y560" s="38"/>
      <c r="Z560" s="38"/>
    </row>
    <row r="561" spans="1:26" ht="15.75" customHeight="1" x14ac:dyDescent="0.2">
      <c r="A561" s="8" t="s">
        <v>1092</v>
      </c>
      <c r="B561" s="1">
        <v>33.021895999999998</v>
      </c>
      <c r="C561" s="1" t="s">
        <v>1523</v>
      </c>
      <c r="D561" s="1" t="s">
        <v>1524</v>
      </c>
      <c r="E561" s="1" t="s">
        <v>2280</v>
      </c>
      <c r="F561" s="1" t="s">
        <v>1528</v>
      </c>
      <c r="G561" s="1" t="s">
        <v>2392</v>
      </c>
      <c r="H561" s="1" t="s">
        <v>2263</v>
      </c>
      <c r="I561" s="1" t="s">
        <v>2256</v>
      </c>
      <c r="J561" s="1" t="s">
        <v>2679</v>
      </c>
      <c r="M561" s="38"/>
      <c r="N561" s="38"/>
      <c r="O561" s="38"/>
      <c r="P561" s="38"/>
      <c r="Q561" s="38"/>
      <c r="R561" s="38"/>
      <c r="S561" s="38"/>
      <c r="T561" s="38"/>
      <c r="U561" s="38"/>
      <c r="V561" s="38"/>
      <c r="W561" s="38"/>
      <c r="X561" s="38"/>
      <c r="Y561" s="38"/>
      <c r="Z561" s="38"/>
    </row>
    <row r="562" spans="1:26" ht="15.75" customHeight="1" x14ac:dyDescent="0.2">
      <c r="A562" s="8" t="s">
        <v>1100</v>
      </c>
      <c r="B562" s="1">
        <v>54.465184000000001</v>
      </c>
      <c r="C562" s="1" t="s">
        <v>1587</v>
      </c>
      <c r="D562" s="1" t="s">
        <v>1524</v>
      </c>
      <c r="E562" s="1" t="s">
        <v>2280</v>
      </c>
      <c r="F562" s="1" t="s">
        <v>1528</v>
      </c>
      <c r="G562" s="1" t="s">
        <v>2302</v>
      </c>
      <c r="H562" s="1" t="s">
        <v>2255</v>
      </c>
      <c r="I562" s="1" t="s">
        <v>2285</v>
      </c>
      <c r="J562" s="1" t="s">
        <v>2784</v>
      </c>
      <c r="M562" s="38"/>
      <c r="N562" s="38"/>
      <c r="O562" s="38"/>
      <c r="P562" s="38"/>
      <c r="Q562" s="38"/>
      <c r="R562" s="38"/>
      <c r="S562" s="38"/>
      <c r="T562" s="38"/>
      <c r="U562" s="38"/>
      <c r="V562" s="38"/>
      <c r="W562" s="38"/>
      <c r="X562" s="38"/>
      <c r="Y562" s="38"/>
      <c r="Z562" s="38"/>
    </row>
    <row r="563" spans="1:26" ht="15.75" customHeight="1" x14ac:dyDescent="0.2">
      <c r="A563" s="8" t="s">
        <v>1100</v>
      </c>
      <c r="B563" s="1">
        <v>54.465184000000001</v>
      </c>
      <c r="C563" s="1" t="s">
        <v>1587</v>
      </c>
      <c r="D563" s="1" t="s">
        <v>1524</v>
      </c>
      <c r="E563" s="1" t="s">
        <v>2280</v>
      </c>
      <c r="F563" s="1" t="s">
        <v>1528</v>
      </c>
      <c r="G563" s="1" t="s">
        <v>2557</v>
      </c>
      <c r="H563" s="1" t="s">
        <v>2255</v>
      </c>
      <c r="I563" s="1" t="s">
        <v>2285</v>
      </c>
      <c r="J563" s="1" t="s">
        <v>2785</v>
      </c>
      <c r="M563" s="38"/>
      <c r="N563" s="38"/>
      <c r="O563" s="38"/>
      <c r="P563" s="38"/>
      <c r="Q563" s="38"/>
      <c r="R563" s="38"/>
      <c r="S563" s="38"/>
      <c r="T563" s="38"/>
      <c r="U563" s="38"/>
      <c r="V563" s="38"/>
      <c r="W563" s="38"/>
      <c r="X563" s="38"/>
      <c r="Y563" s="38"/>
      <c r="Z563" s="38"/>
    </row>
    <row r="564" spans="1:26" ht="15.75" customHeight="1" x14ac:dyDescent="0.2">
      <c r="A564" s="8" t="s">
        <v>1100</v>
      </c>
      <c r="B564" s="1">
        <v>54.465184000000001</v>
      </c>
      <c r="C564" s="1" t="s">
        <v>1587</v>
      </c>
      <c r="D564" s="1" t="s">
        <v>1524</v>
      </c>
      <c r="E564" s="1" t="s">
        <v>2280</v>
      </c>
      <c r="F564" s="1" t="s">
        <v>1528</v>
      </c>
      <c r="G564" s="1" t="s">
        <v>1363</v>
      </c>
      <c r="H564" s="1" t="s">
        <v>2260</v>
      </c>
      <c r="I564" s="1" t="s">
        <v>2256</v>
      </c>
      <c r="J564" s="1" t="s">
        <v>2786</v>
      </c>
      <c r="M564" s="38"/>
      <c r="N564" s="38"/>
      <c r="O564" s="38"/>
      <c r="P564" s="38"/>
      <c r="Q564" s="38"/>
      <c r="R564" s="38"/>
      <c r="S564" s="38"/>
      <c r="T564" s="38"/>
      <c r="U564" s="38"/>
      <c r="V564" s="38"/>
      <c r="W564" s="38"/>
      <c r="X564" s="38"/>
      <c r="Y564" s="38"/>
      <c r="Z564" s="38"/>
    </row>
    <row r="565" spans="1:26" ht="15.75" customHeight="1" x14ac:dyDescent="0.2">
      <c r="A565" s="8" t="s">
        <v>1100</v>
      </c>
      <c r="B565" s="1">
        <v>54.465184000000001</v>
      </c>
      <c r="C565" s="1" t="s">
        <v>1587</v>
      </c>
      <c r="D565" s="1" t="s">
        <v>1524</v>
      </c>
      <c r="E565" s="1" t="s">
        <v>2280</v>
      </c>
      <c r="F565" s="1" t="s">
        <v>1528</v>
      </c>
      <c r="G565" s="1" t="s">
        <v>2262</v>
      </c>
      <c r="H565" s="1" t="s">
        <v>2260</v>
      </c>
      <c r="I565" s="1" t="s">
        <v>2256</v>
      </c>
      <c r="J565" s="1" t="s">
        <v>2787</v>
      </c>
      <c r="M565" s="38"/>
      <c r="N565" s="38"/>
      <c r="O565" s="38"/>
      <c r="P565" s="38"/>
      <c r="Q565" s="38"/>
      <c r="R565" s="38"/>
      <c r="S565" s="38"/>
      <c r="T565" s="38"/>
      <c r="U565" s="38"/>
      <c r="V565" s="38"/>
      <c r="W565" s="38"/>
      <c r="X565" s="38"/>
      <c r="Y565" s="38"/>
      <c r="Z565" s="38"/>
    </row>
    <row r="566" spans="1:26" ht="15.75" customHeight="1" x14ac:dyDescent="0.2">
      <c r="A566" s="8" t="s">
        <v>1100</v>
      </c>
      <c r="B566" s="1">
        <v>54.465184000000001</v>
      </c>
      <c r="C566" s="1" t="s">
        <v>1587</v>
      </c>
      <c r="D566" s="1" t="s">
        <v>1524</v>
      </c>
      <c r="E566" s="1" t="s">
        <v>2280</v>
      </c>
      <c r="F566" s="1" t="s">
        <v>1528</v>
      </c>
      <c r="G566" s="1" t="s">
        <v>2259</v>
      </c>
      <c r="H566" s="1" t="s">
        <v>2263</v>
      </c>
      <c r="I566" s="1" t="s">
        <v>2256</v>
      </c>
      <c r="J566" s="1" t="s">
        <v>2788</v>
      </c>
      <c r="M566" s="38"/>
      <c r="N566" s="38"/>
      <c r="O566" s="38"/>
      <c r="P566" s="38"/>
      <c r="Q566" s="38"/>
      <c r="R566" s="38"/>
      <c r="S566" s="38"/>
      <c r="T566" s="38"/>
      <c r="U566" s="38"/>
      <c r="V566" s="38"/>
      <c r="W566" s="38"/>
      <c r="X566" s="38"/>
      <c r="Y566" s="38"/>
      <c r="Z566" s="38"/>
    </row>
    <row r="567" spans="1:26" ht="15.75" customHeight="1" x14ac:dyDescent="0.2">
      <c r="A567" s="8" t="s">
        <v>1102</v>
      </c>
      <c r="B567" s="1">
        <v>23.912880000000001</v>
      </c>
      <c r="C567" s="1" t="s">
        <v>1523</v>
      </c>
      <c r="D567" s="1" t="s">
        <v>1524</v>
      </c>
      <c r="E567" s="1" t="s">
        <v>2280</v>
      </c>
      <c r="F567" s="1" t="s">
        <v>1560</v>
      </c>
      <c r="G567" s="1" t="s">
        <v>2356</v>
      </c>
      <c r="H567" s="1" t="s">
        <v>2255</v>
      </c>
      <c r="I567" s="1" t="s">
        <v>2274</v>
      </c>
      <c r="J567" s="1" t="s">
        <v>2789</v>
      </c>
      <c r="M567" s="38"/>
      <c r="N567" s="38"/>
      <c r="O567" s="38"/>
      <c r="P567" s="38"/>
      <c r="Q567" s="38"/>
      <c r="R567" s="38"/>
      <c r="S567" s="38"/>
      <c r="T567" s="38"/>
      <c r="U567" s="38"/>
      <c r="V567" s="38"/>
      <c r="W567" s="38"/>
      <c r="X567" s="38"/>
      <c r="Y567" s="38"/>
      <c r="Z567" s="38"/>
    </row>
    <row r="568" spans="1:26" ht="15.75" customHeight="1" x14ac:dyDescent="0.2">
      <c r="A568" s="8" t="s">
        <v>1104</v>
      </c>
      <c r="B568" s="1">
        <v>59.248308000000002</v>
      </c>
      <c r="C568" s="1" t="s">
        <v>1523</v>
      </c>
      <c r="D568" s="1" t="s">
        <v>1524</v>
      </c>
      <c r="E568" s="1" t="s">
        <v>2280</v>
      </c>
      <c r="F568" s="1" t="s">
        <v>1528</v>
      </c>
      <c r="G568" s="1" t="s">
        <v>2273</v>
      </c>
      <c r="H568" s="1" t="s">
        <v>2255</v>
      </c>
      <c r="I568" s="1" t="s">
        <v>2285</v>
      </c>
      <c r="J568" s="1" t="s">
        <v>2790</v>
      </c>
      <c r="M568" s="38"/>
      <c r="N568" s="38"/>
      <c r="O568" s="38"/>
      <c r="P568" s="38"/>
      <c r="Q568" s="38"/>
      <c r="R568" s="38"/>
      <c r="S568" s="38"/>
      <c r="T568" s="38"/>
      <c r="U568" s="38"/>
      <c r="V568" s="38"/>
      <c r="W568" s="38"/>
      <c r="X568" s="38"/>
      <c r="Y568" s="38"/>
      <c r="Z568" s="38"/>
    </row>
    <row r="569" spans="1:26" ht="15.75" customHeight="1" x14ac:dyDescent="0.2">
      <c r="A569" s="8" t="s">
        <v>1104</v>
      </c>
      <c r="B569" s="1">
        <v>59.248308000000002</v>
      </c>
      <c r="C569" s="1" t="s">
        <v>1523</v>
      </c>
      <c r="D569" s="1" t="s">
        <v>1524</v>
      </c>
      <c r="E569" s="1" t="s">
        <v>2280</v>
      </c>
      <c r="F569" s="1" t="s">
        <v>1528</v>
      </c>
      <c r="G569" s="1" t="s">
        <v>2295</v>
      </c>
      <c r="H569" s="1" t="s">
        <v>2260</v>
      </c>
      <c r="I569" s="1" t="s">
        <v>2285</v>
      </c>
      <c r="J569" s="1" t="s">
        <v>2791</v>
      </c>
      <c r="M569" s="38"/>
      <c r="N569" s="38"/>
      <c r="O569" s="38"/>
      <c r="P569" s="38"/>
      <c r="Q569" s="38"/>
      <c r="R569" s="38"/>
      <c r="S569" s="38"/>
      <c r="T569" s="38"/>
      <c r="U569" s="38"/>
      <c r="V569" s="38"/>
      <c r="W569" s="38"/>
      <c r="X569" s="38"/>
      <c r="Y569" s="38"/>
      <c r="Z569" s="38"/>
    </row>
    <row r="570" spans="1:26" ht="15.75" customHeight="1" x14ac:dyDescent="0.2">
      <c r="A570" s="8" t="s">
        <v>1104</v>
      </c>
      <c r="B570" s="1">
        <v>59.248308000000002</v>
      </c>
      <c r="C570" s="1" t="s">
        <v>1523</v>
      </c>
      <c r="D570" s="1" t="s">
        <v>1524</v>
      </c>
      <c r="E570" s="1" t="s">
        <v>2280</v>
      </c>
      <c r="F570" s="1" t="s">
        <v>1528</v>
      </c>
      <c r="G570" s="1" t="s">
        <v>2297</v>
      </c>
      <c r="H570" s="1" t="s">
        <v>2260</v>
      </c>
      <c r="I570" s="1" t="s">
        <v>2285</v>
      </c>
      <c r="J570" s="1" t="s">
        <v>2792</v>
      </c>
      <c r="M570" s="38"/>
      <c r="N570" s="38"/>
      <c r="O570" s="38"/>
      <c r="P570" s="38"/>
      <c r="Q570" s="38"/>
      <c r="R570" s="38"/>
      <c r="S570" s="38"/>
      <c r="T570" s="38"/>
      <c r="U570" s="38"/>
      <c r="V570" s="38"/>
      <c r="W570" s="38"/>
      <c r="X570" s="38"/>
      <c r="Y570" s="38"/>
      <c r="Z570" s="38"/>
    </row>
    <row r="571" spans="1:26" ht="15.75" customHeight="1" x14ac:dyDescent="0.2">
      <c r="A571" s="8" t="s">
        <v>1104</v>
      </c>
      <c r="B571" s="1">
        <v>59.248308000000002</v>
      </c>
      <c r="C571" s="1" t="s">
        <v>1523</v>
      </c>
      <c r="D571" s="1" t="s">
        <v>1524</v>
      </c>
      <c r="E571" s="1" t="s">
        <v>2280</v>
      </c>
      <c r="F571" s="1" t="s">
        <v>1528</v>
      </c>
      <c r="G571" s="1" t="s">
        <v>2461</v>
      </c>
      <c r="H571" s="1" t="s">
        <v>2260</v>
      </c>
      <c r="I571" s="1" t="s">
        <v>2285</v>
      </c>
      <c r="J571" s="1" t="s">
        <v>2793</v>
      </c>
      <c r="M571" s="38"/>
      <c r="N571" s="38"/>
      <c r="O571" s="38"/>
      <c r="P571" s="38"/>
      <c r="Q571" s="38"/>
      <c r="R571" s="38"/>
      <c r="S571" s="38"/>
      <c r="T571" s="38"/>
      <c r="U571" s="38"/>
      <c r="V571" s="38"/>
      <c r="W571" s="38"/>
      <c r="X571" s="38"/>
      <c r="Y571" s="38"/>
      <c r="Z571" s="38"/>
    </row>
    <row r="572" spans="1:26" ht="15.75" customHeight="1" x14ac:dyDescent="0.2">
      <c r="A572" s="8" t="s">
        <v>1104</v>
      </c>
      <c r="B572" s="1">
        <v>59.248308000000002</v>
      </c>
      <c r="C572" s="1" t="s">
        <v>1523</v>
      </c>
      <c r="D572" s="1" t="s">
        <v>1524</v>
      </c>
      <c r="E572" s="1" t="s">
        <v>2280</v>
      </c>
      <c r="F572" s="1" t="s">
        <v>1528</v>
      </c>
      <c r="G572" s="1" t="s">
        <v>2266</v>
      </c>
      <c r="H572" s="1" t="s">
        <v>2260</v>
      </c>
      <c r="I572" s="1" t="s">
        <v>2256</v>
      </c>
      <c r="J572" s="1" t="s">
        <v>2794</v>
      </c>
      <c r="M572" s="38"/>
      <c r="N572" s="38"/>
      <c r="O572" s="38"/>
      <c r="P572" s="38"/>
      <c r="Q572" s="38"/>
      <c r="R572" s="38"/>
      <c r="S572" s="38"/>
      <c r="T572" s="38"/>
      <c r="U572" s="38"/>
      <c r="V572" s="38"/>
      <c r="W572" s="38"/>
      <c r="X572" s="38"/>
      <c r="Y572" s="38"/>
      <c r="Z572" s="38"/>
    </row>
    <row r="573" spans="1:26" ht="15.75" customHeight="1" x14ac:dyDescent="0.2">
      <c r="A573" s="8" t="s">
        <v>1106</v>
      </c>
      <c r="B573" s="1">
        <v>50.769010000000002</v>
      </c>
      <c r="C573" s="1" t="s">
        <v>1523</v>
      </c>
      <c r="D573" s="1" t="s">
        <v>1524</v>
      </c>
      <c r="E573" s="1" t="s">
        <v>2280</v>
      </c>
      <c r="F573" s="1" t="s">
        <v>1528</v>
      </c>
      <c r="G573" s="1" t="s">
        <v>2557</v>
      </c>
      <c r="H573" s="1" t="s">
        <v>2255</v>
      </c>
      <c r="I573" s="1" t="s">
        <v>2285</v>
      </c>
      <c r="J573" s="1" t="s">
        <v>2795</v>
      </c>
      <c r="M573" s="38"/>
      <c r="N573" s="38"/>
      <c r="O573" s="38"/>
      <c r="P573" s="38"/>
      <c r="Q573" s="38"/>
      <c r="R573" s="38"/>
      <c r="S573" s="38"/>
      <c r="T573" s="38"/>
      <c r="U573" s="38"/>
      <c r="V573" s="38"/>
      <c r="W573" s="38"/>
      <c r="X573" s="38"/>
      <c r="Y573" s="38"/>
      <c r="Z573" s="38"/>
    </row>
    <row r="574" spans="1:26" ht="15.75" customHeight="1" x14ac:dyDescent="0.2">
      <c r="A574" s="8" t="s">
        <v>1106</v>
      </c>
      <c r="B574" s="1">
        <v>50.769010000000002</v>
      </c>
      <c r="C574" s="1" t="s">
        <v>1523</v>
      </c>
      <c r="D574" s="1" t="s">
        <v>1524</v>
      </c>
      <c r="E574" s="1" t="s">
        <v>2280</v>
      </c>
      <c r="F574" s="1" t="s">
        <v>1528</v>
      </c>
      <c r="G574" s="1" t="s">
        <v>2287</v>
      </c>
      <c r="H574" s="1" t="s">
        <v>2263</v>
      </c>
      <c r="I574" s="1" t="s">
        <v>2256</v>
      </c>
      <c r="J574" s="1" t="s">
        <v>2796</v>
      </c>
      <c r="M574" s="38"/>
      <c r="N574" s="38"/>
      <c r="O574" s="38"/>
      <c r="P574" s="38"/>
      <c r="Q574" s="38"/>
      <c r="R574" s="38"/>
      <c r="S574" s="38"/>
      <c r="T574" s="38"/>
      <c r="U574" s="38"/>
      <c r="V574" s="38"/>
      <c r="W574" s="38"/>
      <c r="X574" s="38"/>
      <c r="Y574" s="38"/>
      <c r="Z574" s="38"/>
    </row>
    <row r="575" spans="1:26" ht="15.75" customHeight="1" x14ac:dyDescent="0.2">
      <c r="A575" s="8" t="s">
        <v>1108</v>
      </c>
      <c r="B575" s="1">
        <v>54.736237000000003</v>
      </c>
      <c r="C575" s="1" t="s">
        <v>1523</v>
      </c>
      <c r="D575" s="1" t="s">
        <v>1524</v>
      </c>
      <c r="E575" s="1" t="s">
        <v>2253</v>
      </c>
      <c r="F575" s="1" t="s">
        <v>1528</v>
      </c>
      <c r="G575" s="1" t="s">
        <v>2295</v>
      </c>
      <c r="H575" s="1" t="s">
        <v>2260</v>
      </c>
      <c r="I575" s="1" t="s">
        <v>2285</v>
      </c>
      <c r="J575" s="1" t="s">
        <v>2797</v>
      </c>
      <c r="M575" s="38"/>
      <c r="N575" s="38"/>
      <c r="O575" s="38"/>
      <c r="P575" s="38"/>
      <c r="Q575" s="38"/>
      <c r="R575" s="38"/>
      <c r="S575" s="38"/>
      <c r="T575" s="38"/>
      <c r="U575" s="38"/>
      <c r="V575" s="38"/>
      <c r="W575" s="38"/>
      <c r="X575" s="38"/>
      <c r="Y575" s="38"/>
      <c r="Z575" s="38"/>
    </row>
    <row r="576" spans="1:26" ht="15.75" customHeight="1" x14ac:dyDescent="0.2">
      <c r="A576" s="8" t="s">
        <v>1108</v>
      </c>
      <c r="B576" s="1">
        <v>54.736237000000003</v>
      </c>
      <c r="C576" s="1" t="s">
        <v>1523</v>
      </c>
      <c r="D576" s="1" t="s">
        <v>1524</v>
      </c>
      <c r="E576" s="1" t="s">
        <v>2253</v>
      </c>
      <c r="F576" s="1" t="s">
        <v>1528</v>
      </c>
      <c r="G576" s="1" t="s">
        <v>2299</v>
      </c>
      <c r="H576" s="1" t="s">
        <v>2260</v>
      </c>
      <c r="I576" s="1" t="s">
        <v>2285</v>
      </c>
      <c r="J576" s="1" t="s">
        <v>2798</v>
      </c>
      <c r="M576" s="38"/>
      <c r="N576" s="38"/>
      <c r="O576" s="38"/>
      <c r="P576" s="38"/>
      <c r="Q576" s="38"/>
      <c r="R576" s="38"/>
      <c r="S576" s="38"/>
      <c r="T576" s="38"/>
      <c r="U576" s="38"/>
      <c r="V576" s="38"/>
      <c r="W576" s="38"/>
      <c r="X576" s="38"/>
      <c r="Y576" s="38"/>
      <c r="Z576" s="38"/>
    </row>
    <row r="577" spans="1:26" ht="15.75" customHeight="1" x14ac:dyDescent="0.2">
      <c r="A577" s="8" t="s">
        <v>1108</v>
      </c>
      <c r="B577" s="1">
        <v>54.736237000000003</v>
      </c>
      <c r="C577" s="1" t="s">
        <v>1523</v>
      </c>
      <c r="D577" s="1" t="s">
        <v>1524</v>
      </c>
      <c r="E577" s="1" t="s">
        <v>2253</v>
      </c>
      <c r="F577" s="1" t="s">
        <v>1528</v>
      </c>
      <c r="G577" s="1" t="s">
        <v>2287</v>
      </c>
      <c r="H577" s="1" t="s">
        <v>2260</v>
      </c>
      <c r="I577" s="1" t="s">
        <v>2256</v>
      </c>
      <c r="J577" s="1" t="s">
        <v>2799</v>
      </c>
      <c r="M577" s="38"/>
      <c r="N577" s="38"/>
      <c r="O577" s="38"/>
      <c r="P577" s="38"/>
      <c r="Q577" s="38"/>
      <c r="R577" s="38"/>
      <c r="S577" s="38"/>
      <c r="T577" s="38"/>
      <c r="U577" s="38"/>
      <c r="V577" s="38"/>
      <c r="W577" s="38"/>
      <c r="X577" s="38"/>
      <c r="Y577" s="38"/>
      <c r="Z577" s="38"/>
    </row>
    <row r="578" spans="1:26" ht="15.75" customHeight="1" x14ac:dyDescent="0.2">
      <c r="A578" s="8" t="s">
        <v>1108</v>
      </c>
      <c r="B578" s="1">
        <v>54.736237000000003</v>
      </c>
      <c r="C578" s="1" t="s">
        <v>1523</v>
      </c>
      <c r="D578" s="1" t="s">
        <v>1524</v>
      </c>
      <c r="E578" s="1" t="s">
        <v>2253</v>
      </c>
      <c r="F578" s="1" t="s">
        <v>1528</v>
      </c>
      <c r="G578" s="1" t="s">
        <v>2262</v>
      </c>
      <c r="H578" s="1" t="s">
        <v>2260</v>
      </c>
      <c r="I578" s="1" t="s">
        <v>2256</v>
      </c>
      <c r="J578" s="1" t="s">
        <v>2800</v>
      </c>
      <c r="M578" s="38"/>
      <c r="N578" s="38"/>
      <c r="O578" s="38"/>
      <c r="P578" s="38"/>
      <c r="Q578" s="38"/>
      <c r="R578" s="38"/>
      <c r="S578" s="38"/>
      <c r="T578" s="38"/>
      <c r="U578" s="38"/>
      <c r="V578" s="38"/>
      <c r="W578" s="38"/>
      <c r="X578" s="38"/>
      <c r="Y578" s="38"/>
      <c r="Z578" s="38"/>
    </row>
    <row r="579" spans="1:26" ht="15.75" customHeight="1" x14ac:dyDescent="0.2">
      <c r="A579" s="8" t="s">
        <v>1108</v>
      </c>
      <c r="B579" s="1">
        <v>54.736237000000003</v>
      </c>
      <c r="C579" s="1" t="s">
        <v>1523</v>
      </c>
      <c r="D579" s="1" t="s">
        <v>1524</v>
      </c>
      <c r="E579" s="1" t="s">
        <v>2253</v>
      </c>
      <c r="F579" s="1" t="s">
        <v>1528</v>
      </c>
      <c r="G579" s="1" t="s">
        <v>2262</v>
      </c>
      <c r="H579" s="1" t="s">
        <v>2260</v>
      </c>
      <c r="I579" s="1" t="s">
        <v>2256</v>
      </c>
      <c r="J579" s="1" t="s">
        <v>2801</v>
      </c>
      <c r="M579" s="38"/>
      <c r="N579" s="38"/>
      <c r="O579" s="38"/>
      <c r="P579" s="38"/>
      <c r="Q579" s="38"/>
      <c r="R579" s="38"/>
      <c r="S579" s="38"/>
      <c r="T579" s="38"/>
      <c r="U579" s="38"/>
      <c r="V579" s="38"/>
      <c r="W579" s="38"/>
      <c r="X579" s="38"/>
      <c r="Y579" s="38"/>
      <c r="Z579" s="38"/>
    </row>
    <row r="580" spans="1:26" ht="15.75" customHeight="1" x14ac:dyDescent="0.2">
      <c r="A580" s="8" t="s">
        <v>1108</v>
      </c>
      <c r="B580" s="1">
        <v>54.736237000000003</v>
      </c>
      <c r="C580" s="1" t="s">
        <v>1523</v>
      </c>
      <c r="D580" s="1" t="s">
        <v>1524</v>
      </c>
      <c r="E580" s="1" t="s">
        <v>2253</v>
      </c>
      <c r="F580" s="1" t="s">
        <v>1528</v>
      </c>
      <c r="G580" s="1" t="s">
        <v>2271</v>
      </c>
      <c r="H580" s="1" t="s">
        <v>2263</v>
      </c>
      <c r="I580" s="1" t="s">
        <v>2285</v>
      </c>
      <c r="J580" s="1" t="s">
        <v>2802</v>
      </c>
      <c r="M580" s="38"/>
      <c r="N580" s="38"/>
      <c r="O580" s="38"/>
      <c r="P580" s="38"/>
      <c r="Q580" s="38"/>
      <c r="R580" s="38"/>
      <c r="S580" s="38"/>
      <c r="T580" s="38"/>
      <c r="U580" s="38"/>
      <c r="V580" s="38"/>
      <c r="W580" s="38"/>
      <c r="X580" s="38"/>
      <c r="Y580" s="38"/>
      <c r="Z580" s="38"/>
    </row>
    <row r="581" spans="1:26" ht="15.75" customHeight="1" x14ac:dyDescent="0.2">
      <c r="A581" s="8" t="s">
        <v>1112</v>
      </c>
      <c r="B581" s="1">
        <v>75.500523999999999</v>
      </c>
      <c r="C581" s="1" t="s">
        <v>1587</v>
      </c>
      <c r="D581" s="1" t="s">
        <v>1524</v>
      </c>
      <c r="E581" s="1" t="s">
        <v>2253</v>
      </c>
      <c r="F581" s="1" t="s">
        <v>1528</v>
      </c>
      <c r="G581" s="1" t="s">
        <v>2290</v>
      </c>
      <c r="H581" s="1" t="s">
        <v>2255</v>
      </c>
      <c r="I581" s="1" t="s">
        <v>2256</v>
      </c>
      <c r="J581" s="1" t="s">
        <v>2803</v>
      </c>
      <c r="M581" s="38"/>
      <c r="N581" s="38"/>
      <c r="O581" s="38"/>
      <c r="P581" s="38"/>
      <c r="Q581" s="38"/>
      <c r="R581" s="38"/>
      <c r="S581" s="38"/>
      <c r="T581" s="38"/>
      <c r="U581" s="38"/>
      <c r="V581" s="38"/>
      <c r="W581" s="38"/>
      <c r="X581" s="38"/>
      <c r="Y581" s="38"/>
      <c r="Z581" s="38"/>
    </row>
    <row r="582" spans="1:26" ht="15.75" customHeight="1" x14ac:dyDescent="0.2">
      <c r="A582" s="8" t="s">
        <v>1112</v>
      </c>
      <c r="B582" s="1">
        <v>75.500523999999999</v>
      </c>
      <c r="C582" s="1" t="s">
        <v>1587</v>
      </c>
      <c r="D582" s="1" t="s">
        <v>1524</v>
      </c>
      <c r="E582" s="1" t="s">
        <v>2253</v>
      </c>
      <c r="F582" s="1" t="s">
        <v>1528</v>
      </c>
      <c r="G582" s="1" t="s">
        <v>2266</v>
      </c>
      <c r="H582" s="1" t="s">
        <v>2255</v>
      </c>
      <c r="I582" s="1" t="s">
        <v>2256</v>
      </c>
      <c r="J582" s="1" t="s">
        <v>2804</v>
      </c>
      <c r="M582" s="38"/>
      <c r="N582" s="38"/>
      <c r="O582" s="38"/>
      <c r="P582" s="38"/>
      <c r="Q582" s="38"/>
      <c r="R582" s="38"/>
      <c r="S582" s="38"/>
      <c r="T582" s="38"/>
      <c r="U582" s="38"/>
      <c r="V582" s="38"/>
      <c r="W582" s="38"/>
      <c r="X582" s="38"/>
      <c r="Y582" s="38"/>
      <c r="Z582" s="38"/>
    </row>
    <row r="583" spans="1:26" ht="15.75" customHeight="1" x14ac:dyDescent="0.2">
      <c r="A583" s="8" t="s">
        <v>1112</v>
      </c>
      <c r="B583" s="1">
        <v>75.500523999999999</v>
      </c>
      <c r="C583" s="1" t="s">
        <v>1587</v>
      </c>
      <c r="D583" s="1" t="s">
        <v>1524</v>
      </c>
      <c r="E583" s="1" t="s">
        <v>2253</v>
      </c>
      <c r="F583" s="1" t="s">
        <v>1528</v>
      </c>
      <c r="G583" s="1" t="s">
        <v>2295</v>
      </c>
      <c r="H583" s="1" t="s">
        <v>2260</v>
      </c>
      <c r="I583" s="1" t="s">
        <v>2285</v>
      </c>
      <c r="J583" s="1" t="s">
        <v>2805</v>
      </c>
      <c r="M583" s="38"/>
      <c r="N583" s="38"/>
      <c r="O583" s="38"/>
      <c r="P583" s="38"/>
      <c r="Q583" s="38"/>
      <c r="R583" s="38"/>
      <c r="S583" s="38"/>
      <c r="T583" s="38"/>
      <c r="U583" s="38"/>
      <c r="V583" s="38"/>
      <c r="W583" s="38"/>
      <c r="X583" s="38"/>
      <c r="Y583" s="38"/>
      <c r="Z583" s="38"/>
    </row>
    <row r="584" spans="1:26" ht="15.75" customHeight="1" x14ac:dyDescent="0.2">
      <c r="A584" s="8" t="s">
        <v>1112</v>
      </c>
      <c r="B584" s="1">
        <v>75.500523999999999</v>
      </c>
      <c r="C584" s="1" t="s">
        <v>1587</v>
      </c>
      <c r="D584" s="1" t="s">
        <v>1524</v>
      </c>
      <c r="E584" s="1" t="s">
        <v>2253</v>
      </c>
      <c r="F584" s="1" t="s">
        <v>1528</v>
      </c>
      <c r="G584" s="1" t="s">
        <v>2566</v>
      </c>
      <c r="H584" s="1" t="s">
        <v>2260</v>
      </c>
      <c r="I584" s="1" t="s">
        <v>2285</v>
      </c>
      <c r="J584" s="1" t="s">
        <v>2806</v>
      </c>
      <c r="M584" s="38"/>
      <c r="N584" s="38"/>
      <c r="O584" s="38"/>
      <c r="P584" s="38"/>
      <c r="Q584" s="38"/>
      <c r="R584" s="38"/>
      <c r="S584" s="38"/>
      <c r="T584" s="38"/>
      <c r="U584" s="38"/>
      <c r="V584" s="38"/>
      <c r="W584" s="38"/>
      <c r="X584" s="38"/>
      <c r="Y584" s="38"/>
      <c r="Z584" s="38"/>
    </row>
    <row r="585" spans="1:26" ht="15.75" customHeight="1" x14ac:dyDescent="0.2">
      <c r="A585" s="8" t="s">
        <v>1114</v>
      </c>
      <c r="B585" s="1">
        <v>64.923989000000006</v>
      </c>
      <c r="C585" s="1" t="s">
        <v>1523</v>
      </c>
      <c r="D585" s="1" t="s">
        <v>1524</v>
      </c>
      <c r="E585" s="1" t="s">
        <v>2343</v>
      </c>
      <c r="F585" s="1" t="s">
        <v>1528</v>
      </c>
      <c r="G585" s="1" t="s">
        <v>2266</v>
      </c>
      <c r="H585" s="1" t="s">
        <v>2255</v>
      </c>
      <c r="I585" s="1" t="s">
        <v>2256</v>
      </c>
      <c r="J585" s="1" t="s">
        <v>2807</v>
      </c>
      <c r="M585" s="38"/>
      <c r="N585" s="38"/>
      <c r="O585" s="38"/>
      <c r="P585" s="38"/>
      <c r="Q585" s="38"/>
      <c r="R585" s="38"/>
      <c r="S585" s="38"/>
      <c r="T585" s="38"/>
      <c r="U585" s="38"/>
      <c r="V585" s="38"/>
      <c r="W585" s="38"/>
      <c r="X585" s="38"/>
      <c r="Y585" s="38"/>
      <c r="Z585" s="38"/>
    </row>
    <row r="586" spans="1:26" ht="15.75" customHeight="1" x14ac:dyDescent="0.2">
      <c r="A586" s="8" t="s">
        <v>1114</v>
      </c>
      <c r="B586" s="1">
        <v>64.923989000000006</v>
      </c>
      <c r="C586" s="1" t="s">
        <v>1523</v>
      </c>
      <c r="D586" s="1" t="s">
        <v>1524</v>
      </c>
      <c r="E586" s="1" t="s">
        <v>2343</v>
      </c>
      <c r="F586" s="1" t="s">
        <v>1528</v>
      </c>
      <c r="G586" s="1" t="s">
        <v>1363</v>
      </c>
      <c r="H586" s="1" t="s">
        <v>2260</v>
      </c>
      <c r="I586" s="1" t="s">
        <v>2256</v>
      </c>
      <c r="J586" s="1" t="s">
        <v>2808</v>
      </c>
      <c r="M586" s="38"/>
      <c r="N586" s="38"/>
      <c r="O586" s="38"/>
      <c r="P586" s="38"/>
      <c r="Q586" s="38"/>
      <c r="R586" s="38"/>
      <c r="S586" s="38"/>
      <c r="T586" s="38"/>
      <c r="U586" s="38"/>
      <c r="V586" s="38"/>
      <c r="W586" s="38"/>
      <c r="X586" s="38"/>
      <c r="Y586" s="38"/>
      <c r="Z586" s="38"/>
    </row>
    <row r="587" spans="1:26" ht="15.75" customHeight="1" x14ac:dyDescent="0.2">
      <c r="A587" s="8" t="s">
        <v>1116</v>
      </c>
      <c r="B587" s="1">
        <v>50.057153999999997</v>
      </c>
      <c r="C587" s="1" t="s">
        <v>1523</v>
      </c>
      <c r="D587" s="1" t="s">
        <v>1524</v>
      </c>
      <c r="E587" s="1" t="s">
        <v>2280</v>
      </c>
      <c r="F587" s="1" t="s">
        <v>1528</v>
      </c>
      <c r="G587" s="1" t="s">
        <v>2266</v>
      </c>
      <c r="H587" s="1" t="s">
        <v>2255</v>
      </c>
      <c r="I587" s="1" t="s">
        <v>2256</v>
      </c>
      <c r="J587" s="1" t="s">
        <v>2312</v>
      </c>
      <c r="M587" s="38"/>
      <c r="N587" s="38"/>
      <c r="O587" s="38"/>
      <c r="P587" s="38"/>
      <c r="Q587" s="38"/>
      <c r="R587" s="38"/>
      <c r="S587" s="38"/>
      <c r="T587" s="38"/>
      <c r="U587" s="38"/>
      <c r="V587" s="38"/>
      <c r="W587" s="38"/>
      <c r="X587" s="38"/>
      <c r="Y587" s="38"/>
      <c r="Z587" s="38"/>
    </row>
    <row r="588" spans="1:26" ht="15.75" customHeight="1" x14ac:dyDescent="0.2">
      <c r="A588" s="8" t="s">
        <v>1116</v>
      </c>
      <c r="B588" s="1">
        <v>50.057153999999997</v>
      </c>
      <c r="C588" s="1" t="s">
        <v>1523</v>
      </c>
      <c r="D588" s="1" t="s">
        <v>1524</v>
      </c>
      <c r="E588" s="1" t="s">
        <v>2280</v>
      </c>
      <c r="F588" s="1" t="s">
        <v>1528</v>
      </c>
      <c r="G588" s="1" t="s">
        <v>2295</v>
      </c>
      <c r="H588" s="1" t="s">
        <v>2260</v>
      </c>
      <c r="I588" s="1" t="s">
        <v>2285</v>
      </c>
      <c r="J588" s="1" t="s">
        <v>2809</v>
      </c>
      <c r="M588" s="38"/>
      <c r="N588" s="38"/>
      <c r="O588" s="38"/>
      <c r="P588" s="38"/>
      <c r="Q588" s="38"/>
      <c r="R588" s="38"/>
      <c r="S588" s="38"/>
      <c r="T588" s="38"/>
      <c r="U588" s="38"/>
      <c r="V588" s="38"/>
      <c r="W588" s="38"/>
      <c r="X588" s="38"/>
      <c r="Y588" s="38"/>
      <c r="Z588" s="38"/>
    </row>
    <row r="589" spans="1:26" ht="15.75" customHeight="1" x14ac:dyDescent="0.2">
      <c r="A589" s="8" t="s">
        <v>1116</v>
      </c>
      <c r="B589" s="1">
        <v>50.057153999999997</v>
      </c>
      <c r="C589" s="1" t="s">
        <v>1523</v>
      </c>
      <c r="D589" s="1" t="s">
        <v>1524</v>
      </c>
      <c r="E589" s="1" t="s">
        <v>2280</v>
      </c>
      <c r="F589" s="1" t="s">
        <v>1528</v>
      </c>
      <c r="G589" s="1" t="s">
        <v>2566</v>
      </c>
      <c r="H589" s="1" t="s">
        <v>2260</v>
      </c>
      <c r="I589" s="1" t="s">
        <v>2285</v>
      </c>
      <c r="J589" s="1" t="s">
        <v>2810</v>
      </c>
      <c r="M589" s="38"/>
      <c r="N589" s="38"/>
      <c r="O589" s="38"/>
      <c r="P589" s="38"/>
      <c r="Q589" s="38"/>
      <c r="R589" s="38"/>
      <c r="S589" s="38"/>
      <c r="T589" s="38"/>
      <c r="U589" s="38"/>
      <c r="V589" s="38"/>
      <c r="W589" s="38"/>
      <c r="X589" s="38"/>
      <c r="Y589" s="38"/>
      <c r="Z589" s="38"/>
    </row>
    <row r="590" spans="1:26" ht="15.75" customHeight="1" x14ac:dyDescent="0.2">
      <c r="A590" s="8" t="s">
        <v>1116</v>
      </c>
      <c r="B590" s="1">
        <v>50.057153999999997</v>
      </c>
      <c r="C590" s="1" t="s">
        <v>1523</v>
      </c>
      <c r="D590" s="1" t="s">
        <v>1524</v>
      </c>
      <c r="E590" s="1" t="s">
        <v>2280</v>
      </c>
      <c r="F590" s="1" t="s">
        <v>1528</v>
      </c>
      <c r="G590" s="1" t="s">
        <v>2299</v>
      </c>
      <c r="H590" s="1" t="s">
        <v>2260</v>
      </c>
      <c r="I590" s="1" t="s">
        <v>2285</v>
      </c>
      <c r="J590" s="1" t="s">
        <v>2811</v>
      </c>
      <c r="M590" s="38"/>
      <c r="N590" s="38"/>
      <c r="O590" s="38"/>
      <c r="P590" s="38"/>
      <c r="Q590" s="38"/>
      <c r="R590" s="38"/>
      <c r="S590" s="38"/>
      <c r="T590" s="38"/>
      <c r="U590" s="38"/>
      <c r="V590" s="38"/>
      <c r="W590" s="38"/>
      <c r="X590" s="38"/>
      <c r="Y590" s="38"/>
      <c r="Z590" s="38"/>
    </row>
    <row r="591" spans="1:26" ht="15.75" customHeight="1" x14ac:dyDescent="0.2">
      <c r="A591" s="8" t="s">
        <v>1116</v>
      </c>
      <c r="B591" s="1">
        <v>50.057153999999997</v>
      </c>
      <c r="C591" s="1" t="s">
        <v>1523</v>
      </c>
      <c r="D591" s="1" t="s">
        <v>1524</v>
      </c>
      <c r="E591" s="1" t="s">
        <v>2280</v>
      </c>
      <c r="F591" s="1" t="s">
        <v>1528</v>
      </c>
      <c r="G591" s="1" t="s">
        <v>2271</v>
      </c>
      <c r="H591" s="1" t="s">
        <v>2260</v>
      </c>
      <c r="I591" s="1" t="s">
        <v>2256</v>
      </c>
      <c r="J591" s="1" t="s">
        <v>2812</v>
      </c>
      <c r="M591" s="38"/>
      <c r="N591" s="38"/>
      <c r="O591" s="38"/>
      <c r="P591" s="38"/>
      <c r="Q591" s="38"/>
      <c r="R591" s="38"/>
      <c r="S591" s="38"/>
      <c r="T591" s="38"/>
      <c r="U591" s="38"/>
      <c r="V591" s="38"/>
      <c r="W591" s="38"/>
      <c r="X591" s="38"/>
      <c r="Y591" s="38"/>
      <c r="Z591" s="38"/>
    </row>
    <row r="592" spans="1:26" ht="15.75" customHeight="1" x14ac:dyDescent="0.2">
      <c r="A592" s="8" t="s">
        <v>1123</v>
      </c>
      <c r="B592" s="1">
        <v>46.341813999999999</v>
      </c>
      <c r="C592" s="1" t="s">
        <v>1587</v>
      </c>
      <c r="D592" s="1" t="s">
        <v>1524</v>
      </c>
      <c r="E592" s="1" t="s">
        <v>2253</v>
      </c>
      <c r="F592" s="1" t="s">
        <v>1560</v>
      </c>
      <c r="G592" s="1" t="s">
        <v>2259</v>
      </c>
      <c r="H592" s="1" t="s">
        <v>2255</v>
      </c>
      <c r="I592" s="1" t="s">
        <v>2256</v>
      </c>
      <c r="J592" s="1" t="s">
        <v>2813</v>
      </c>
      <c r="M592" s="38"/>
      <c r="N592" s="38"/>
      <c r="O592" s="38"/>
      <c r="P592" s="38"/>
      <c r="Q592" s="38"/>
      <c r="R592" s="38"/>
      <c r="S592" s="38"/>
      <c r="T592" s="38"/>
      <c r="U592" s="38"/>
      <c r="V592" s="38"/>
      <c r="W592" s="38"/>
      <c r="X592" s="38"/>
      <c r="Y592" s="38"/>
      <c r="Z592" s="38"/>
    </row>
    <row r="593" spans="1:26" ht="15.75" customHeight="1" x14ac:dyDescent="0.2">
      <c r="A593" s="8" t="s">
        <v>1123</v>
      </c>
      <c r="B593" s="1">
        <v>46.341813999999999</v>
      </c>
      <c r="C593" s="1" t="s">
        <v>1587</v>
      </c>
      <c r="D593" s="1" t="s">
        <v>1524</v>
      </c>
      <c r="E593" s="1" t="s">
        <v>2253</v>
      </c>
      <c r="F593" s="1" t="s">
        <v>1560</v>
      </c>
      <c r="G593" s="1" t="s">
        <v>2254</v>
      </c>
      <c r="H593" s="1" t="s">
        <v>2255</v>
      </c>
      <c r="I593" s="1" t="s">
        <v>2256</v>
      </c>
      <c r="J593" s="1" t="s">
        <v>2582</v>
      </c>
      <c r="M593" s="38"/>
      <c r="N593" s="38"/>
      <c r="O593" s="38"/>
      <c r="P593" s="38"/>
      <c r="Q593" s="38"/>
      <c r="R593" s="38"/>
      <c r="S593" s="38"/>
      <c r="T593" s="38"/>
      <c r="U593" s="38"/>
      <c r="V593" s="38"/>
      <c r="W593" s="38"/>
      <c r="X593" s="38"/>
      <c r="Y593" s="38"/>
      <c r="Z593" s="38"/>
    </row>
    <row r="594" spans="1:26" ht="15.75" customHeight="1" x14ac:dyDescent="0.2">
      <c r="A594" s="8" t="s">
        <v>1126</v>
      </c>
      <c r="B594" s="1">
        <v>20.997008999999998</v>
      </c>
      <c r="C594" s="1" t="s">
        <v>1587</v>
      </c>
      <c r="D594" s="1" t="s">
        <v>1524</v>
      </c>
      <c r="E594" s="1" t="s">
        <v>2280</v>
      </c>
      <c r="F594" s="1" t="s">
        <v>1560</v>
      </c>
      <c r="G594" s="1" t="s">
        <v>2254</v>
      </c>
      <c r="H594" s="1" t="s">
        <v>2255</v>
      </c>
      <c r="I594" s="1" t="s">
        <v>2256</v>
      </c>
      <c r="J594" s="1" t="s">
        <v>2814</v>
      </c>
      <c r="M594" s="38"/>
      <c r="N594" s="38"/>
      <c r="O594" s="38"/>
      <c r="P594" s="38"/>
      <c r="Q594" s="38"/>
      <c r="R594" s="38"/>
      <c r="S594" s="38"/>
      <c r="T594" s="38"/>
      <c r="U594" s="38"/>
      <c r="V594" s="38"/>
      <c r="W594" s="38"/>
      <c r="X594" s="38"/>
      <c r="Y594" s="38"/>
      <c r="Z594" s="38"/>
    </row>
    <row r="595" spans="1:26" ht="15.75" customHeight="1" x14ac:dyDescent="0.2">
      <c r="A595" s="8" t="s">
        <v>1126</v>
      </c>
      <c r="B595" s="1">
        <v>20.997008999999998</v>
      </c>
      <c r="C595" s="1" t="s">
        <v>1587</v>
      </c>
      <c r="D595" s="1" t="s">
        <v>1524</v>
      </c>
      <c r="E595" s="1" t="s">
        <v>2280</v>
      </c>
      <c r="F595" s="1" t="s">
        <v>1560</v>
      </c>
      <c r="G595" s="1" t="s">
        <v>2262</v>
      </c>
      <c r="H595" s="1" t="s">
        <v>2260</v>
      </c>
      <c r="I595" s="1" t="s">
        <v>2256</v>
      </c>
      <c r="J595" s="1" t="s">
        <v>2815</v>
      </c>
      <c r="M595" s="38"/>
      <c r="N595" s="38"/>
      <c r="O595" s="38"/>
      <c r="P595" s="38"/>
      <c r="Q595" s="38"/>
      <c r="R595" s="38"/>
      <c r="S595" s="38"/>
      <c r="T595" s="38"/>
      <c r="U595" s="38"/>
      <c r="V595" s="38"/>
      <c r="W595" s="38"/>
      <c r="X595" s="38"/>
      <c r="Y595" s="38"/>
      <c r="Z595" s="38"/>
    </row>
    <row r="596" spans="1:26" ht="15.75" customHeight="1" x14ac:dyDescent="0.2">
      <c r="A596" s="8" t="s">
        <v>1126</v>
      </c>
      <c r="B596" s="1">
        <v>20.997008999999998</v>
      </c>
      <c r="C596" s="1" t="s">
        <v>1587</v>
      </c>
      <c r="D596" s="1" t="s">
        <v>1524</v>
      </c>
      <c r="E596" s="1" t="s">
        <v>2280</v>
      </c>
      <c r="F596" s="1" t="s">
        <v>1560</v>
      </c>
      <c r="G596" s="1" t="s">
        <v>2262</v>
      </c>
      <c r="H596" s="1" t="s">
        <v>2260</v>
      </c>
      <c r="I596" s="1" t="s">
        <v>2256</v>
      </c>
      <c r="J596" s="1" t="s">
        <v>2816</v>
      </c>
      <c r="M596" s="38"/>
      <c r="N596" s="38"/>
      <c r="O596" s="38"/>
      <c r="P596" s="38"/>
      <c r="Q596" s="38"/>
      <c r="R596" s="38"/>
      <c r="S596" s="38"/>
      <c r="T596" s="38"/>
      <c r="U596" s="38"/>
      <c r="V596" s="38"/>
      <c r="W596" s="38"/>
      <c r="X596" s="38"/>
      <c r="Y596" s="38"/>
      <c r="Z596" s="38"/>
    </row>
    <row r="597" spans="1:26" ht="15.75" customHeight="1" x14ac:dyDescent="0.2">
      <c r="A597" s="8" t="s">
        <v>1134</v>
      </c>
      <c r="B597" s="1">
        <v>55.902585000000002</v>
      </c>
      <c r="C597" s="1" t="s">
        <v>1523</v>
      </c>
      <c r="D597" s="1" t="s">
        <v>1524</v>
      </c>
      <c r="E597" s="1" t="s">
        <v>2280</v>
      </c>
      <c r="F597" s="1" t="s">
        <v>1528</v>
      </c>
      <c r="G597" s="1" t="s">
        <v>2302</v>
      </c>
      <c r="H597" s="1" t="s">
        <v>2255</v>
      </c>
      <c r="I597" s="1" t="s">
        <v>2285</v>
      </c>
      <c r="J597" s="1" t="s">
        <v>2817</v>
      </c>
      <c r="M597" s="38"/>
      <c r="N597" s="38"/>
      <c r="O597" s="38"/>
      <c r="P597" s="38"/>
      <c r="Q597" s="38"/>
      <c r="R597" s="38"/>
      <c r="S597" s="38"/>
      <c r="T597" s="38"/>
      <c r="U597" s="38"/>
      <c r="V597" s="38"/>
      <c r="W597" s="38"/>
      <c r="X597" s="38"/>
      <c r="Y597" s="38"/>
      <c r="Z597" s="38"/>
    </row>
    <row r="598" spans="1:26" ht="15.75" customHeight="1" x14ac:dyDescent="0.2">
      <c r="A598" s="8" t="s">
        <v>1134</v>
      </c>
      <c r="B598" s="1">
        <v>55.902585000000002</v>
      </c>
      <c r="C598" s="1" t="s">
        <v>1523</v>
      </c>
      <c r="D598" s="1" t="s">
        <v>1524</v>
      </c>
      <c r="E598" s="1" t="s">
        <v>2280</v>
      </c>
      <c r="F598" s="1" t="s">
        <v>1528</v>
      </c>
      <c r="G598" s="1" t="s">
        <v>2557</v>
      </c>
      <c r="H598" s="1" t="s">
        <v>2255</v>
      </c>
      <c r="I598" s="1" t="s">
        <v>2285</v>
      </c>
      <c r="J598" s="1" t="s">
        <v>2607</v>
      </c>
      <c r="M598" s="38"/>
      <c r="N598" s="38"/>
      <c r="O598" s="38"/>
      <c r="P598" s="38"/>
      <c r="Q598" s="38"/>
      <c r="R598" s="38"/>
      <c r="S598" s="38"/>
      <c r="T598" s="38"/>
      <c r="U598" s="38"/>
      <c r="V598" s="38"/>
      <c r="W598" s="38"/>
      <c r="X598" s="38"/>
      <c r="Y598" s="38"/>
      <c r="Z598" s="38"/>
    </row>
    <row r="599" spans="1:26" ht="15.75" customHeight="1" x14ac:dyDescent="0.2">
      <c r="A599" s="8" t="s">
        <v>1134</v>
      </c>
      <c r="B599" s="1">
        <v>55.902585000000002</v>
      </c>
      <c r="C599" s="1" t="s">
        <v>1523</v>
      </c>
      <c r="D599" s="1" t="s">
        <v>1524</v>
      </c>
      <c r="E599" s="1" t="s">
        <v>2280</v>
      </c>
      <c r="F599" s="1" t="s">
        <v>1528</v>
      </c>
      <c r="G599" s="1" t="s">
        <v>2271</v>
      </c>
      <c r="H599" s="1" t="s">
        <v>2260</v>
      </c>
      <c r="I599" s="1" t="s">
        <v>2256</v>
      </c>
      <c r="J599" s="1" t="s">
        <v>2818</v>
      </c>
      <c r="M599" s="38"/>
      <c r="N599" s="38"/>
      <c r="O599" s="38"/>
      <c r="P599" s="38"/>
      <c r="Q599" s="38"/>
      <c r="R599" s="38"/>
      <c r="S599" s="38"/>
      <c r="T599" s="38"/>
      <c r="U599" s="38"/>
      <c r="V599" s="38"/>
      <c r="W599" s="38"/>
      <c r="X599" s="38"/>
      <c r="Y599" s="38"/>
      <c r="Z599" s="38"/>
    </row>
    <row r="600" spans="1:26" ht="15.75" customHeight="1" x14ac:dyDescent="0.2">
      <c r="A600" s="8" t="s">
        <v>1134</v>
      </c>
      <c r="B600" s="1">
        <v>55.902585000000002</v>
      </c>
      <c r="C600" s="1" t="s">
        <v>1523</v>
      </c>
      <c r="D600" s="1" t="s">
        <v>1524</v>
      </c>
      <c r="E600" s="1" t="s">
        <v>2280</v>
      </c>
      <c r="F600" s="1" t="s">
        <v>1528</v>
      </c>
      <c r="G600" s="1" t="s">
        <v>2287</v>
      </c>
      <c r="H600" s="1" t="s">
        <v>2260</v>
      </c>
      <c r="I600" s="1" t="s">
        <v>2256</v>
      </c>
      <c r="J600" s="1" t="s">
        <v>2819</v>
      </c>
      <c r="M600" s="38"/>
      <c r="N600" s="38"/>
      <c r="O600" s="38"/>
      <c r="P600" s="38"/>
      <c r="Q600" s="38"/>
      <c r="R600" s="38"/>
      <c r="S600" s="38"/>
      <c r="T600" s="38"/>
      <c r="U600" s="38"/>
      <c r="V600" s="38"/>
      <c r="W600" s="38"/>
      <c r="X600" s="38"/>
      <c r="Y600" s="38"/>
      <c r="Z600" s="38"/>
    </row>
    <row r="601" spans="1:26" ht="15.75" customHeight="1" x14ac:dyDescent="0.2">
      <c r="A601" s="8" t="s">
        <v>1134</v>
      </c>
      <c r="B601" s="1">
        <v>55.902585000000002</v>
      </c>
      <c r="C601" s="1" t="s">
        <v>1523</v>
      </c>
      <c r="D601" s="1" t="s">
        <v>1524</v>
      </c>
      <c r="E601" s="1" t="s">
        <v>2280</v>
      </c>
      <c r="F601" s="1" t="s">
        <v>1528</v>
      </c>
      <c r="G601" s="1" t="s">
        <v>2262</v>
      </c>
      <c r="H601" s="1" t="s">
        <v>2260</v>
      </c>
      <c r="I601" s="1" t="s">
        <v>2256</v>
      </c>
      <c r="J601" s="1" t="s">
        <v>2820</v>
      </c>
      <c r="M601" s="38"/>
      <c r="N601" s="38"/>
      <c r="O601" s="38"/>
      <c r="P601" s="38"/>
      <c r="Q601" s="38"/>
      <c r="R601" s="38"/>
      <c r="S601" s="38"/>
      <c r="T601" s="38"/>
      <c r="U601" s="38"/>
      <c r="V601" s="38"/>
      <c r="W601" s="38"/>
      <c r="X601" s="38"/>
      <c r="Y601" s="38"/>
      <c r="Z601" s="38"/>
    </row>
    <row r="602" spans="1:26" ht="15.75" customHeight="1" x14ac:dyDescent="0.2">
      <c r="A602" s="8" t="s">
        <v>1134</v>
      </c>
      <c r="B602" s="1">
        <v>55.902585000000002</v>
      </c>
      <c r="C602" s="1" t="s">
        <v>1523</v>
      </c>
      <c r="D602" s="1" t="s">
        <v>1524</v>
      </c>
      <c r="E602" s="1" t="s">
        <v>2280</v>
      </c>
      <c r="F602" s="1" t="s">
        <v>1528</v>
      </c>
      <c r="G602" s="1" t="s">
        <v>2262</v>
      </c>
      <c r="H602" s="1" t="s">
        <v>2263</v>
      </c>
      <c r="I602" s="1" t="s">
        <v>2256</v>
      </c>
      <c r="J602" s="1" t="s">
        <v>2821</v>
      </c>
      <c r="M602" s="38"/>
      <c r="N602" s="38"/>
      <c r="O602" s="38"/>
      <c r="P602" s="38"/>
      <c r="Q602" s="38"/>
      <c r="R602" s="38"/>
      <c r="S602" s="38"/>
      <c r="T602" s="38"/>
      <c r="U602" s="38"/>
      <c r="V602" s="38"/>
      <c r="W602" s="38"/>
      <c r="X602" s="38"/>
      <c r="Y602" s="38"/>
      <c r="Z602" s="38"/>
    </row>
    <row r="603" spans="1:26" ht="15.75" customHeight="1" x14ac:dyDescent="0.2">
      <c r="A603" s="8" t="s">
        <v>1141</v>
      </c>
      <c r="B603" s="1">
        <v>23.099720999999999</v>
      </c>
      <c r="C603" s="1" t="s">
        <v>1523</v>
      </c>
      <c r="D603" s="1" t="s">
        <v>1524</v>
      </c>
      <c r="E603" s="1" t="s">
        <v>2280</v>
      </c>
      <c r="F603" s="1" t="s">
        <v>1546</v>
      </c>
      <c r="G603" s="1" t="s">
        <v>1363</v>
      </c>
      <c r="H603" s="1" t="s">
        <v>2260</v>
      </c>
      <c r="I603" s="1" t="s">
        <v>2256</v>
      </c>
      <c r="J603" s="1" t="s">
        <v>2822</v>
      </c>
      <c r="M603" s="38"/>
      <c r="N603" s="38"/>
      <c r="O603" s="38"/>
      <c r="P603" s="38"/>
      <c r="Q603" s="38"/>
      <c r="R603" s="38"/>
      <c r="S603" s="38"/>
      <c r="T603" s="38"/>
      <c r="U603" s="38"/>
      <c r="V603" s="38"/>
      <c r="W603" s="38"/>
      <c r="X603" s="38"/>
      <c r="Y603" s="38"/>
      <c r="Z603" s="38"/>
    </row>
    <row r="604" spans="1:26" ht="15.75" customHeight="1" x14ac:dyDescent="0.2">
      <c r="A604" s="8" t="s">
        <v>1141</v>
      </c>
      <c r="B604" s="1">
        <v>23.099720999999999</v>
      </c>
      <c r="C604" s="1" t="s">
        <v>1523</v>
      </c>
      <c r="D604" s="1" t="s">
        <v>1524</v>
      </c>
      <c r="E604" s="1" t="s">
        <v>2280</v>
      </c>
      <c r="F604" s="1" t="s">
        <v>1546</v>
      </c>
      <c r="G604" s="1" t="s">
        <v>1363</v>
      </c>
      <c r="H604" s="1" t="s">
        <v>2263</v>
      </c>
      <c r="I604" s="1" t="s">
        <v>2256</v>
      </c>
      <c r="J604" s="1" t="s">
        <v>2823</v>
      </c>
      <c r="M604" s="38"/>
      <c r="N604" s="38"/>
      <c r="O604" s="38"/>
      <c r="P604" s="38"/>
      <c r="Q604" s="38"/>
      <c r="R604" s="38"/>
      <c r="S604" s="38"/>
      <c r="T604" s="38"/>
      <c r="U604" s="38"/>
      <c r="V604" s="38"/>
      <c r="W604" s="38"/>
      <c r="X604" s="38"/>
      <c r="Y604" s="38"/>
      <c r="Z604" s="38"/>
    </row>
    <row r="605" spans="1:26" ht="15.75" customHeight="1" x14ac:dyDescent="0.2">
      <c r="A605" s="8" t="s">
        <v>1146</v>
      </c>
      <c r="B605" s="1">
        <v>48.652608000000001</v>
      </c>
      <c r="C605" s="1" t="s">
        <v>1523</v>
      </c>
      <c r="D605" s="1" t="s">
        <v>1524</v>
      </c>
      <c r="E605" s="1" t="s">
        <v>2343</v>
      </c>
      <c r="F605" s="1" t="s">
        <v>1528</v>
      </c>
      <c r="G605" s="1" t="s">
        <v>2266</v>
      </c>
      <c r="H605" s="1" t="s">
        <v>2255</v>
      </c>
      <c r="I605" s="1" t="s">
        <v>2256</v>
      </c>
      <c r="J605" s="1" t="s">
        <v>2452</v>
      </c>
      <c r="M605" s="38"/>
      <c r="N605" s="38"/>
      <c r="O605" s="38"/>
      <c r="P605" s="38"/>
      <c r="Q605" s="38"/>
      <c r="R605" s="38"/>
      <c r="S605" s="38"/>
      <c r="T605" s="38"/>
      <c r="U605" s="38"/>
      <c r="V605" s="38"/>
      <c r="W605" s="38"/>
      <c r="X605" s="38"/>
      <c r="Y605" s="38"/>
      <c r="Z605" s="38"/>
    </row>
    <row r="606" spans="1:26" ht="15.75" customHeight="1" x14ac:dyDescent="0.2">
      <c r="A606" s="8" t="s">
        <v>1146</v>
      </c>
      <c r="B606" s="1">
        <v>48.652608000000001</v>
      </c>
      <c r="C606" s="1" t="s">
        <v>1523</v>
      </c>
      <c r="D606" s="1" t="s">
        <v>1524</v>
      </c>
      <c r="E606" s="1" t="s">
        <v>2343</v>
      </c>
      <c r="F606" s="1" t="s">
        <v>1528</v>
      </c>
      <c r="G606" s="1" t="s">
        <v>2660</v>
      </c>
      <c r="H606" s="1" t="s">
        <v>2260</v>
      </c>
      <c r="I606" s="1" t="s">
        <v>2256</v>
      </c>
      <c r="J606" s="1" t="s">
        <v>2824</v>
      </c>
      <c r="M606" s="38"/>
      <c r="N606" s="38"/>
      <c r="O606" s="38"/>
      <c r="P606" s="38"/>
      <c r="Q606" s="38"/>
      <c r="R606" s="38"/>
      <c r="S606" s="38"/>
      <c r="T606" s="38"/>
      <c r="U606" s="38"/>
      <c r="V606" s="38"/>
      <c r="W606" s="38"/>
      <c r="X606" s="38"/>
      <c r="Y606" s="38"/>
      <c r="Z606" s="38"/>
    </row>
    <row r="607" spans="1:26" ht="15.75" customHeight="1" x14ac:dyDescent="0.2">
      <c r="A607" s="8" t="s">
        <v>1149</v>
      </c>
      <c r="B607" s="1">
        <v>66.777552</v>
      </c>
      <c r="C607" s="1" t="s">
        <v>1587</v>
      </c>
      <c r="D607" s="1" t="s">
        <v>1524</v>
      </c>
      <c r="E607" s="1" t="s">
        <v>2280</v>
      </c>
      <c r="F607" s="1" t="s">
        <v>1560</v>
      </c>
      <c r="G607" s="1" t="s">
        <v>2254</v>
      </c>
      <c r="H607" s="1" t="s">
        <v>2255</v>
      </c>
      <c r="I607" s="1" t="s">
        <v>2256</v>
      </c>
      <c r="J607" s="1" t="s">
        <v>2825</v>
      </c>
      <c r="M607" s="38"/>
      <c r="N607" s="38"/>
      <c r="O607" s="38"/>
      <c r="P607" s="38"/>
      <c r="Q607" s="38"/>
      <c r="R607" s="38"/>
      <c r="S607" s="38"/>
      <c r="T607" s="38"/>
      <c r="U607" s="38"/>
      <c r="V607" s="38"/>
      <c r="W607" s="38"/>
      <c r="X607" s="38"/>
      <c r="Y607" s="38"/>
      <c r="Z607" s="38"/>
    </row>
    <row r="608" spans="1:26" ht="15.75" customHeight="1" x14ac:dyDescent="0.2">
      <c r="A608" s="8" t="s">
        <v>1149</v>
      </c>
      <c r="B608" s="1">
        <v>66.777552</v>
      </c>
      <c r="C608" s="1" t="s">
        <v>1587</v>
      </c>
      <c r="D608" s="1" t="s">
        <v>1524</v>
      </c>
      <c r="E608" s="1" t="s">
        <v>2280</v>
      </c>
      <c r="F608" s="1" t="s">
        <v>1560</v>
      </c>
      <c r="G608" s="1" t="s">
        <v>2262</v>
      </c>
      <c r="H608" s="1" t="s">
        <v>2255</v>
      </c>
      <c r="I608" s="1" t="s">
        <v>2256</v>
      </c>
      <c r="J608" s="1" t="s">
        <v>2826</v>
      </c>
      <c r="M608" s="38"/>
      <c r="N608" s="38"/>
      <c r="O608" s="38"/>
      <c r="P608" s="38"/>
      <c r="Q608" s="38"/>
      <c r="R608" s="38"/>
      <c r="S608" s="38"/>
      <c r="T608" s="38"/>
      <c r="U608" s="38"/>
      <c r="V608" s="38"/>
      <c r="W608" s="38"/>
      <c r="X608" s="38"/>
      <c r="Y608" s="38"/>
      <c r="Z608" s="38"/>
    </row>
    <row r="609" spans="1:26" ht="15.75" customHeight="1" x14ac:dyDescent="0.2">
      <c r="A609" s="8" t="s">
        <v>1153</v>
      </c>
      <c r="B609" s="1">
        <v>46.892133000000001</v>
      </c>
      <c r="C609" s="1" t="s">
        <v>1523</v>
      </c>
      <c r="D609" s="1" t="s">
        <v>1524</v>
      </c>
      <c r="E609" s="1" t="s">
        <v>2343</v>
      </c>
      <c r="F609" s="1" t="s">
        <v>1560</v>
      </c>
      <c r="G609" s="1" t="s">
        <v>2254</v>
      </c>
      <c r="H609" s="1" t="s">
        <v>2255</v>
      </c>
      <c r="I609" s="1" t="s">
        <v>2256</v>
      </c>
      <c r="J609" s="1" t="s">
        <v>2827</v>
      </c>
      <c r="M609" s="38"/>
      <c r="N609" s="38"/>
      <c r="O609" s="38"/>
      <c r="P609" s="38"/>
      <c r="Q609" s="38"/>
      <c r="R609" s="38"/>
      <c r="S609" s="38"/>
      <c r="T609" s="38"/>
      <c r="U609" s="38"/>
      <c r="V609" s="38"/>
      <c r="W609" s="38"/>
      <c r="X609" s="38"/>
      <c r="Y609" s="38"/>
      <c r="Z609" s="38"/>
    </row>
    <row r="610" spans="1:26" ht="15.75" customHeight="1" x14ac:dyDescent="0.2">
      <c r="A610" s="8" t="s">
        <v>1153</v>
      </c>
      <c r="B610" s="1">
        <v>46.892133000000001</v>
      </c>
      <c r="C610" s="1" t="s">
        <v>1523</v>
      </c>
      <c r="D610" s="1" t="s">
        <v>1524</v>
      </c>
      <c r="E610" s="1" t="s">
        <v>2343</v>
      </c>
      <c r="F610" s="1" t="s">
        <v>1560</v>
      </c>
      <c r="G610" s="1" t="s">
        <v>2262</v>
      </c>
      <c r="H610" s="1" t="s">
        <v>2260</v>
      </c>
      <c r="I610" s="1" t="s">
        <v>2256</v>
      </c>
      <c r="J610" s="1" t="s">
        <v>2828</v>
      </c>
      <c r="M610" s="38"/>
      <c r="N610" s="38"/>
      <c r="O610" s="38"/>
      <c r="P610" s="38"/>
      <c r="Q610" s="38"/>
      <c r="R610" s="38"/>
      <c r="S610" s="38"/>
      <c r="T610" s="38"/>
      <c r="U610" s="38"/>
      <c r="V610" s="38"/>
      <c r="W610" s="38"/>
      <c r="X610" s="38"/>
      <c r="Y610" s="38"/>
      <c r="Z610" s="38"/>
    </row>
    <row r="611" spans="1:26" ht="15.75" customHeight="1" x14ac:dyDescent="0.2">
      <c r="A611" s="8" t="s">
        <v>1158</v>
      </c>
      <c r="B611" s="1">
        <v>59.949212000000003</v>
      </c>
      <c r="C611" s="1" t="s">
        <v>1587</v>
      </c>
      <c r="D611" s="1" t="s">
        <v>1524</v>
      </c>
      <c r="E611" s="1" t="s">
        <v>2280</v>
      </c>
      <c r="F611" s="1" t="s">
        <v>1528</v>
      </c>
      <c r="G611" s="1" t="s">
        <v>2266</v>
      </c>
      <c r="H611" s="1" t="s">
        <v>2255</v>
      </c>
      <c r="I611" s="1" t="s">
        <v>2256</v>
      </c>
      <c r="J611" s="1" t="s">
        <v>2829</v>
      </c>
      <c r="M611" s="38"/>
      <c r="N611" s="38"/>
      <c r="O611" s="38"/>
      <c r="P611" s="38"/>
      <c r="Q611" s="38"/>
      <c r="R611" s="38"/>
      <c r="S611" s="38"/>
      <c r="T611" s="38"/>
      <c r="U611" s="38"/>
      <c r="V611" s="38"/>
      <c r="W611" s="38"/>
      <c r="X611" s="38"/>
      <c r="Y611" s="38"/>
      <c r="Z611" s="38"/>
    </row>
    <row r="612" spans="1:26" ht="15.75" customHeight="1" x14ac:dyDescent="0.2">
      <c r="A612" s="8" t="s">
        <v>1158</v>
      </c>
      <c r="B612" s="1">
        <v>59.949212000000003</v>
      </c>
      <c r="C612" s="1" t="s">
        <v>1587</v>
      </c>
      <c r="D612" s="1" t="s">
        <v>1524</v>
      </c>
      <c r="E612" s="1" t="s">
        <v>2280</v>
      </c>
      <c r="F612" s="1" t="s">
        <v>1528</v>
      </c>
      <c r="G612" s="1" t="s">
        <v>1363</v>
      </c>
      <c r="H612" s="1" t="s">
        <v>2260</v>
      </c>
      <c r="I612" s="1" t="s">
        <v>2256</v>
      </c>
      <c r="J612" s="1" t="s">
        <v>2830</v>
      </c>
      <c r="M612" s="38"/>
      <c r="N612" s="38"/>
      <c r="O612" s="38"/>
      <c r="P612" s="38"/>
      <c r="Q612" s="38"/>
      <c r="R612" s="38"/>
      <c r="S612" s="38"/>
      <c r="T612" s="38"/>
      <c r="U612" s="38"/>
      <c r="V612" s="38"/>
      <c r="W612" s="38"/>
      <c r="X612" s="38"/>
      <c r="Y612" s="38"/>
      <c r="Z612" s="38"/>
    </row>
    <row r="613" spans="1:26" ht="15.75" customHeight="1" x14ac:dyDescent="0.2">
      <c r="A613" s="8" t="s">
        <v>1158</v>
      </c>
      <c r="B613" s="1">
        <v>59.949212000000003</v>
      </c>
      <c r="C613" s="1" t="s">
        <v>1587</v>
      </c>
      <c r="D613" s="1" t="s">
        <v>1524</v>
      </c>
      <c r="E613" s="1" t="s">
        <v>2280</v>
      </c>
      <c r="F613" s="1" t="s">
        <v>1528</v>
      </c>
      <c r="G613" s="1" t="s">
        <v>1363</v>
      </c>
      <c r="H613" s="1" t="s">
        <v>2260</v>
      </c>
      <c r="I613" s="1" t="s">
        <v>2256</v>
      </c>
      <c r="J613" s="1" t="s">
        <v>2831</v>
      </c>
      <c r="M613" s="38"/>
      <c r="N613" s="38"/>
      <c r="O613" s="38"/>
      <c r="P613" s="38"/>
      <c r="Q613" s="38"/>
      <c r="R613" s="38"/>
      <c r="S613" s="38"/>
      <c r="T613" s="38"/>
      <c r="U613" s="38"/>
      <c r="V613" s="38"/>
      <c r="W613" s="38"/>
      <c r="X613" s="38"/>
      <c r="Y613" s="38"/>
      <c r="Z613" s="38"/>
    </row>
    <row r="614" spans="1:26" ht="15.75" customHeight="1" x14ac:dyDescent="0.2">
      <c r="A614" s="8" t="s">
        <v>1164</v>
      </c>
      <c r="B614" s="1">
        <v>20.851900000000001</v>
      </c>
      <c r="C614" s="1" t="s">
        <v>1523</v>
      </c>
      <c r="D614" s="1" t="s">
        <v>1578</v>
      </c>
      <c r="E614" s="1" t="s">
        <v>2280</v>
      </c>
      <c r="F614" s="1" t="s">
        <v>1583</v>
      </c>
      <c r="G614" s="1" t="s">
        <v>2832</v>
      </c>
      <c r="H614" s="1" t="s">
        <v>2255</v>
      </c>
      <c r="I614" s="1" t="s">
        <v>2274</v>
      </c>
      <c r="J614" s="1" t="s">
        <v>2833</v>
      </c>
      <c r="M614" s="38"/>
      <c r="N614" s="38"/>
      <c r="O614" s="38"/>
      <c r="P614" s="38"/>
      <c r="Q614" s="38"/>
      <c r="R614" s="38"/>
      <c r="S614" s="38"/>
      <c r="T614" s="38"/>
      <c r="U614" s="38"/>
      <c r="V614" s="38"/>
      <c r="W614" s="38"/>
      <c r="X614" s="38"/>
      <c r="Y614" s="38"/>
      <c r="Z614" s="38"/>
    </row>
    <row r="615" spans="1:26" ht="15.75" customHeight="1" x14ac:dyDescent="0.2">
      <c r="A615" s="8" t="s">
        <v>1175</v>
      </c>
      <c r="B615" s="1">
        <v>54.832064000000003</v>
      </c>
      <c r="C615" s="1" t="s">
        <v>1523</v>
      </c>
      <c r="D615" s="1" t="s">
        <v>1524</v>
      </c>
      <c r="E615" s="1" t="s">
        <v>2280</v>
      </c>
      <c r="F615" s="1" t="s">
        <v>1528</v>
      </c>
      <c r="G615" s="1" t="s">
        <v>2273</v>
      </c>
      <c r="H615" s="1" t="s">
        <v>2255</v>
      </c>
      <c r="I615" s="1" t="s">
        <v>2285</v>
      </c>
      <c r="J615" s="1" t="s">
        <v>2834</v>
      </c>
      <c r="M615" s="38"/>
      <c r="N615" s="38"/>
      <c r="O615" s="38"/>
      <c r="P615" s="38"/>
      <c r="Q615" s="38"/>
      <c r="R615" s="38"/>
      <c r="S615" s="38"/>
      <c r="T615" s="38"/>
      <c r="U615" s="38"/>
      <c r="V615" s="38"/>
      <c r="W615" s="38"/>
      <c r="X615" s="38"/>
      <c r="Y615" s="38"/>
      <c r="Z615" s="38"/>
    </row>
    <row r="616" spans="1:26" ht="15.75" customHeight="1" x14ac:dyDescent="0.2">
      <c r="A616" s="8" t="s">
        <v>1175</v>
      </c>
      <c r="B616" s="1">
        <v>54.832064000000003</v>
      </c>
      <c r="C616" s="1" t="s">
        <v>1523</v>
      </c>
      <c r="D616" s="1" t="s">
        <v>1524</v>
      </c>
      <c r="E616" s="1" t="s">
        <v>2280</v>
      </c>
      <c r="F616" s="1" t="s">
        <v>1528</v>
      </c>
      <c r="G616" s="1" t="s">
        <v>2266</v>
      </c>
      <c r="H616" s="1" t="s">
        <v>2255</v>
      </c>
      <c r="I616" s="1" t="s">
        <v>2256</v>
      </c>
      <c r="J616" s="1" t="s">
        <v>2835</v>
      </c>
      <c r="M616" s="38"/>
      <c r="N616" s="38"/>
      <c r="O616" s="38"/>
      <c r="P616" s="38"/>
      <c r="Q616" s="38"/>
      <c r="R616" s="38"/>
      <c r="S616" s="38"/>
      <c r="T616" s="38"/>
      <c r="U616" s="38"/>
      <c r="V616" s="38"/>
      <c r="W616" s="38"/>
      <c r="X616" s="38"/>
      <c r="Y616" s="38"/>
      <c r="Z616" s="38"/>
    </row>
    <row r="617" spans="1:26" ht="15.75" customHeight="1" x14ac:dyDescent="0.2">
      <c r="A617" s="8" t="s">
        <v>1175</v>
      </c>
      <c r="B617" s="1">
        <v>54.832064000000003</v>
      </c>
      <c r="C617" s="1" t="s">
        <v>1523</v>
      </c>
      <c r="D617" s="1" t="s">
        <v>1524</v>
      </c>
      <c r="E617" s="1" t="s">
        <v>2280</v>
      </c>
      <c r="F617" s="1" t="s">
        <v>1528</v>
      </c>
      <c r="G617" s="1" t="s">
        <v>2287</v>
      </c>
      <c r="H617" s="1" t="s">
        <v>2260</v>
      </c>
      <c r="I617" s="1" t="s">
        <v>2256</v>
      </c>
      <c r="J617" s="1" t="s">
        <v>2836</v>
      </c>
      <c r="M617" s="38"/>
      <c r="N617" s="38"/>
      <c r="O617" s="38"/>
      <c r="P617" s="38"/>
      <c r="Q617" s="38"/>
      <c r="R617" s="38"/>
      <c r="S617" s="38"/>
      <c r="T617" s="38"/>
      <c r="U617" s="38"/>
      <c r="V617" s="38"/>
      <c r="W617" s="38"/>
      <c r="X617" s="38"/>
      <c r="Y617" s="38"/>
      <c r="Z617" s="38"/>
    </row>
    <row r="618" spans="1:26" ht="15.75" customHeight="1" x14ac:dyDescent="0.2">
      <c r="A618" s="8" t="s">
        <v>1181</v>
      </c>
      <c r="B618" s="1">
        <v>68.017824000000005</v>
      </c>
      <c r="C618" s="1" t="s">
        <v>1587</v>
      </c>
      <c r="D618" s="1" t="s">
        <v>1524</v>
      </c>
      <c r="E618" s="1" t="s">
        <v>2253</v>
      </c>
      <c r="F618" s="1" t="s">
        <v>1528</v>
      </c>
      <c r="G618" s="1" t="s">
        <v>2837</v>
      </c>
      <c r="H618" s="1" t="s">
        <v>2255</v>
      </c>
      <c r="I618" s="1" t="s">
        <v>2274</v>
      </c>
      <c r="J618" s="1" t="s">
        <v>2838</v>
      </c>
      <c r="M618" s="38"/>
      <c r="N618" s="38"/>
      <c r="O618" s="38"/>
      <c r="P618" s="38"/>
      <c r="Q618" s="38"/>
      <c r="R618" s="38"/>
      <c r="S618" s="38"/>
      <c r="T618" s="38"/>
      <c r="U618" s="38"/>
      <c r="V618" s="38"/>
      <c r="W618" s="38"/>
      <c r="X618" s="38"/>
      <c r="Y618" s="38"/>
      <c r="Z618" s="38"/>
    </row>
    <row r="619" spans="1:26" ht="15.75" customHeight="1" x14ac:dyDescent="0.2">
      <c r="A619" s="8" t="s">
        <v>1181</v>
      </c>
      <c r="B619" s="1">
        <v>68.017824000000005</v>
      </c>
      <c r="C619" s="1" t="s">
        <v>1587</v>
      </c>
      <c r="D619" s="1" t="s">
        <v>1524</v>
      </c>
      <c r="E619" s="1" t="s">
        <v>2253</v>
      </c>
      <c r="F619" s="1" t="s">
        <v>1528</v>
      </c>
      <c r="G619" s="1" t="s">
        <v>2266</v>
      </c>
      <c r="H619" s="1" t="s">
        <v>2255</v>
      </c>
      <c r="I619" s="1" t="s">
        <v>2256</v>
      </c>
      <c r="J619" s="1" t="s">
        <v>2669</v>
      </c>
      <c r="M619" s="38"/>
      <c r="N619" s="38"/>
      <c r="O619" s="38"/>
      <c r="P619" s="38"/>
      <c r="Q619" s="38"/>
      <c r="R619" s="38"/>
      <c r="S619" s="38"/>
      <c r="T619" s="38"/>
      <c r="U619" s="38"/>
      <c r="V619" s="38"/>
      <c r="W619" s="38"/>
      <c r="X619" s="38"/>
      <c r="Y619" s="38"/>
      <c r="Z619" s="38"/>
    </row>
    <row r="620" spans="1:26" ht="15.75" customHeight="1" x14ac:dyDescent="0.2">
      <c r="A620" s="8" t="s">
        <v>1181</v>
      </c>
      <c r="B620" s="1">
        <v>68.017824000000005</v>
      </c>
      <c r="C620" s="1" t="s">
        <v>1587</v>
      </c>
      <c r="D620" s="1" t="s">
        <v>1524</v>
      </c>
      <c r="E620" s="1" t="s">
        <v>2253</v>
      </c>
      <c r="F620" s="1" t="s">
        <v>1528</v>
      </c>
      <c r="G620" s="1" t="s">
        <v>2271</v>
      </c>
      <c r="H620" s="1" t="s">
        <v>2260</v>
      </c>
      <c r="I620" s="1" t="s">
        <v>2256</v>
      </c>
      <c r="J620" s="1" t="s">
        <v>2839</v>
      </c>
      <c r="M620" s="38"/>
      <c r="N620" s="38"/>
      <c r="O620" s="38"/>
      <c r="P620" s="38"/>
      <c r="Q620" s="38"/>
      <c r="R620" s="38"/>
      <c r="S620" s="38"/>
      <c r="T620" s="38"/>
      <c r="U620" s="38"/>
      <c r="V620" s="38"/>
      <c r="W620" s="38"/>
      <c r="X620" s="38"/>
      <c r="Y620" s="38"/>
      <c r="Z620" s="38"/>
    </row>
    <row r="621" spans="1:26" ht="15.75" customHeight="1" x14ac:dyDescent="0.2">
      <c r="A621" s="8" t="s">
        <v>1181</v>
      </c>
      <c r="B621" s="1">
        <v>68.017824000000005</v>
      </c>
      <c r="C621" s="1" t="s">
        <v>1587</v>
      </c>
      <c r="D621" s="1" t="s">
        <v>1524</v>
      </c>
      <c r="E621" s="1" t="s">
        <v>2253</v>
      </c>
      <c r="F621" s="1" t="s">
        <v>1528</v>
      </c>
      <c r="G621" s="1" t="s">
        <v>2271</v>
      </c>
      <c r="H621" s="1" t="s">
        <v>2260</v>
      </c>
      <c r="I621" s="1" t="s">
        <v>2256</v>
      </c>
      <c r="J621" s="1" t="s">
        <v>2840</v>
      </c>
      <c r="M621" s="38"/>
      <c r="N621" s="38"/>
      <c r="O621" s="38"/>
      <c r="P621" s="38"/>
      <c r="Q621" s="38"/>
      <c r="R621" s="38"/>
      <c r="S621" s="38"/>
      <c r="T621" s="38"/>
      <c r="U621" s="38"/>
      <c r="V621" s="38"/>
      <c r="W621" s="38"/>
      <c r="X621" s="38"/>
      <c r="Y621" s="38"/>
      <c r="Z621" s="38"/>
    </row>
    <row r="622" spans="1:26" ht="15.75" customHeight="1" x14ac:dyDescent="0.2">
      <c r="A622" s="8" t="s">
        <v>1186</v>
      </c>
      <c r="B622" s="1">
        <v>24.205836000000001</v>
      </c>
      <c r="C622" s="1" t="s">
        <v>1523</v>
      </c>
      <c r="D622" s="1" t="s">
        <v>1524</v>
      </c>
      <c r="E622" s="1" t="s">
        <v>2253</v>
      </c>
      <c r="F622" s="1" t="s">
        <v>1560</v>
      </c>
      <c r="G622" s="1" t="s">
        <v>2259</v>
      </c>
      <c r="H622" s="1" t="s">
        <v>2255</v>
      </c>
      <c r="I622" s="1" t="s">
        <v>2256</v>
      </c>
      <c r="J622" s="1" t="s">
        <v>2841</v>
      </c>
      <c r="M622" s="38"/>
      <c r="N622" s="38"/>
      <c r="O622" s="38"/>
      <c r="P622" s="38"/>
      <c r="Q622" s="38"/>
      <c r="R622" s="38"/>
      <c r="S622" s="38"/>
      <c r="T622" s="38"/>
      <c r="U622" s="38"/>
      <c r="V622" s="38"/>
      <c r="W622" s="38"/>
      <c r="X622" s="38"/>
      <c r="Y622" s="38"/>
      <c r="Z622" s="38"/>
    </row>
    <row r="623" spans="1:26" ht="15.75" customHeight="1" x14ac:dyDescent="0.2">
      <c r="A623" s="8" t="s">
        <v>1186</v>
      </c>
      <c r="B623" s="1">
        <v>24.205836000000001</v>
      </c>
      <c r="C623" s="1" t="s">
        <v>1523</v>
      </c>
      <c r="D623" s="1" t="s">
        <v>1524</v>
      </c>
      <c r="E623" s="1" t="s">
        <v>2253</v>
      </c>
      <c r="F623" s="1" t="s">
        <v>1560</v>
      </c>
      <c r="G623" s="1" t="s">
        <v>2309</v>
      </c>
      <c r="H623" s="1" t="s">
        <v>2255</v>
      </c>
      <c r="I623" s="1" t="s">
        <v>2256</v>
      </c>
      <c r="J623" s="1" t="s">
        <v>2842</v>
      </c>
      <c r="M623" s="38"/>
      <c r="N623" s="38"/>
      <c r="O623" s="38"/>
      <c r="P623" s="38"/>
      <c r="Q623" s="38"/>
      <c r="R623" s="38"/>
      <c r="S623" s="38"/>
      <c r="T623" s="38"/>
      <c r="U623" s="38"/>
      <c r="V623" s="38"/>
      <c r="W623" s="38"/>
      <c r="X623" s="38"/>
      <c r="Y623" s="38"/>
      <c r="Z623" s="38"/>
    </row>
    <row r="624" spans="1:26" ht="15.75" customHeight="1" x14ac:dyDescent="0.2">
      <c r="A624" s="8" t="s">
        <v>1186</v>
      </c>
      <c r="B624" s="1">
        <v>24.205836000000001</v>
      </c>
      <c r="C624" s="1" t="s">
        <v>1523</v>
      </c>
      <c r="D624" s="1" t="s">
        <v>1524</v>
      </c>
      <c r="E624" s="1" t="s">
        <v>2253</v>
      </c>
      <c r="F624" s="1" t="s">
        <v>1560</v>
      </c>
      <c r="G624" s="1" t="s">
        <v>2262</v>
      </c>
      <c r="H624" s="1" t="s">
        <v>2260</v>
      </c>
      <c r="I624" s="1" t="s">
        <v>2256</v>
      </c>
      <c r="J624" s="1" t="s">
        <v>2843</v>
      </c>
      <c r="M624" s="38"/>
      <c r="N624" s="38"/>
      <c r="O624" s="38"/>
      <c r="P624" s="38"/>
      <c r="Q624" s="38"/>
      <c r="R624" s="38"/>
      <c r="S624" s="38"/>
      <c r="T624" s="38"/>
      <c r="U624" s="38"/>
      <c r="V624" s="38"/>
      <c r="W624" s="38"/>
      <c r="X624" s="38"/>
      <c r="Y624" s="38"/>
      <c r="Z624" s="38"/>
    </row>
    <row r="625" spans="1:26" ht="15.75" customHeight="1" x14ac:dyDescent="0.2">
      <c r="A625" s="8" t="s">
        <v>1191</v>
      </c>
      <c r="B625" s="1">
        <v>42.385537999999997</v>
      </c>
      <c r="C625" s="1" t="s">
        <v>1523</v>
      </c>
      <c r="D625" s="1" t="s">
        <v>1524</v>
      </c>
      <c r="E625" s="1" t="s">
        <v>2253</v>
      </c>
      <c r="F625" s="1" t="s">
        <v>1560</v>
      </c>
      <c r="G625" s="1" t="s">
        <v>2259</v>
      </c>
      <c r="H625" s="1" t="s">
        <v>2255</v>
      </c>
      <c r="I625" s="1" t="s">
        <v>2256</v>
      </c>
      <c r="J625" s="1" t="s">
        <v>2844</v>
      </c>
      <c r="M625" s="38"/>
      <c r="N625" s="38"/>
      <c r="O625" s="38"/>
      <c r="P625" s="38"/>
      <c r="Q625" s="38"/>
      <c r="R625" s="38"/>
      <c r="S625" s="38"/>
      <c r="T625" s="38"/>
      <c r="U625" s="38"/>
      <c r="V625" s="38"/>
      <c r="W625" s="38"/>
      <c r="X625" s="38"/>
      <c r="Y625" s="38"/>
      <c r="Z625" s="38"/>
    </row>
    <row r="626" spans="1:26" ht="15.75" customHeight="1" x14ac:dyDescent="0.2">
      <c r="A626" s="8" t="s">
        <v>1191</v>
      </c>
      <c r="B626" s="1">
        <v>42.385537999999997</v>
      </c>
      <c r="C626" s="1" t="s">
        <v>1523</v>
      </c>
      <c r="D626" s="1" t="s">
        <v>1524</v>
      </c>
      <c r="E626" s="1" t="s">
        <v>2253</v>
      </c>
      <c r="F626" s="1" t="s">
        <v>1560</v>
      </c>
      <c r="G626" s="1" t="s">
        <v>2254</v>
      </c>
      <c r="H626" s="1" t="s">
        <v>2255</v>
      </c>
      <c r="I626" s="1" t="s">
        <v>2256</v>
      </c>
      <c r="J626" s="1" t="s">
        <v>2845</v>
      </c>
      <c r="M626" s="38"/>
      <c r="N626" s="38"/>
      <c r="O626" s="38"/>
      <c r="P626" s="38"/>
      <c r="Q626" s="38"/>
      <c r="R626" s="38"/>
      <c r="S626" s="38"/>
      <c r="T626" s="38"/>
      <c r="U626" s="38"/>
      <c r="V626" s="38"/>
      <c r="W626" s="38"/>
      <c r="X626" s="38"/>
      <c r="Y626" s="38"/>
      <c r="Z626" s="38"/>
    </row>
    <row r="627" spans="1:26" ht="15.75" customHeight="1" x14ac:dyDescent="0.2">
      <c r="A627" s="8" t="s">
        <v>1191</v>
      </c>
      <c r="B627" s="1">
        <v>42.385537999999997</v>
      </c>
      <c r="C627" s="1" t="s">
        <v>1523</v>
      </c>
      <c r="D627" s="1" t="s">
        <v>1524</v>
      </c>
      <c r="E627" s="1" t="s">
        <v>2253</v>
      </c>
      <c r="F627" s="1" t="s">
        <v>1560</v>
      </c>
      <c r="G627" s="1" t="s">
        <v>2302</v>
      </c>
      <c r="H627" s="1" t="s">
        <v>2260</v>
      </c>
      <c r="I627" s="1" t="s">
        <v>2256</v>
      </c>
      <c r="J627" s="1" t="s">
        <v>2846</v>
      </c>
      <c r="M627" s="38"/>
      <c r="N627" s="38"/>
      <c r="O627" s="38"/>
      <c r="P627" s="38"/>
      <c r="Q627" s="38"/>
      <c r="R627" s="38"/>
      <c r="S627" s="38"/>
      <c r="T627" s="38"/>
      <c r="U627" s="38"/>
      <c r="V627" s="38"/>
      <c r="W627" s="38"/>
      <c r="X627" s="38"/>
      <c r="Y627" s="38"/>
      <c r="Z627" s="38"/>
    </row>
    <row r="628" spans="1:26" ht="15.75" customHeight="1" x14ac:dyDescent="0.2">
      <c r="A628" s="8" t="s">
        <v>1191</v>
      </c>
      <c r="B628" s="1">
        <v>42.385537999999997</v>
      </c>
      <c r="C628" s="1" t="s">
        <v>1523</v>
      </c>
      <c r="D628" s="1" t="s">
        <v>1524</v>
      </c>
      <c r="E628" s="1" t="s">
        <v>2253</v>
      </c>
      <c r="F628" s="1" t="s">
        <v>1560</v>
      </c>
      <c r="G628" s="1" t="s">
        <v>2262</v>
      </c>
      <c r="H628" s="1" t="s">
        <v>2260</v>
      </c>
      <c r="I628" s="1" t="s">
        <v>2256</v>
      </c>
      <c r="J628" s="1" t="s">
        <v>2847</v>
      </c>
      <c r="M628" s="38"/>
      <c r="N628" s="38"/>
      <c r="O628" s="38"/>
      <c r="P628" s="38"/>
      <c r="Q628" s="38"/>
      <c r="R628" s="38"/>
      <c r="S628" s="38"/>
      <c r="T628" s="38"/>
      <c r="U628" s="38"/>
      <c r="V628" s="38"/>
      <c r="W628" s="38"/>
      <c r="X628" s="38"/>
      <c r="Y628" s="38"/>
      <c r="Z628" s="38"/>
    </row>
    <row r="629" spans="1:26" ht="15.75" customHeight="1" x14ac:dyDescent="0.2">
      <c r="A629" s="8" t="s">
        <v>1197</v>
      </c>
      <c r="B629" s="1">
        <v>48.321320999999998</v>
      </c>
      <c r="C629" s="1" t="s">
        <v>1587</v>
      </c>
      <c r="D629" s="1" t="s">
        <v>1524</v>
      </c>
      <c r="E629" s="1" t="s">
        <v>2253</v>
      </c>
      <c r="F629" s="1" t="s">
        <v>1528</v>
      </c>
      <c r="G629" s="1" t="s">
        <v>1363</v>
      </c>
      <c r="H629" s="1" t="s">
        <v>2260</v>
      </c>
      <c r="I629" s="1" t="s">
        <v>2256</v>
      </c>
      <c r="J629" s="1" t="s">
        <v>2848</v>
      </c>
      <c r="M629" s="38"/>
      <c r="N629" s="38"/>
      <c r="O629" s="38"/>
      <c r="P629" s="38"/>
      <c r="Q629" s="38"/>
      <c r="R629" s="38"/>
      <c r="S629" s="38"/>
      <c r="T629" s="38"/>
      <c r="U629" s="38"/>
      <c r="V629" s="38"/>
      <c r="W629" s="38"/>
      <c r="X629" s="38"/>
      <c r="Y629" s="38"/>
      <c r="Z629" s="38"/>
    </row>
    <row r="630" spans="1:26" ht="15.75" customHeight="1" x14ac:dyDescent="0.2">
      <c r="A630" s="8" t="s">
        <v>1197</v>
      </c>
      <c r="B630" s="1">
        <v>48.321320999999998</v>
      </c>
      <c r="C630" s="1" t="s">
        <v>1587</v>
      </c>
      <c r="D630" s="1" t="s">
        <v>1524</v>
      </c>
      <c r="E630" s="1" t="s">
        <v>2253</v>
      </c>
      <c r="F630" s="1" t="s">
        <v>1528</v>
      </c>
      <c r="G630" s="1" t="s">
        <v>1363</v>
      </c>
      <c r="H630" s="1" t="s">
        <v>2263</v>
      </c>
      <c r="I630" s="1" t="s">
        <v>2256</v>
      </c>
      <c r="J630" s="1" t="s">
        <v>2849</v>
      </c>
      <c r="M630" s="38"/>
      <c r="N630" s="38"/>
      <c r="O630" s="38"/>
      <c r="P630" s="38"/>
      <c r="Q630" s="38"/>
      <c r="R630" s="38"/>
      <c r="S630" s="38"/>
      <c r="T630" s="38"/>
      <c r="U630" s="38"/>
      <c r="V630" s="38"/>
      <c r="W630" s="38"/>
      <c r="X630" s="38"/>
      <c r="Y630" s="38"/>
      <c r="Z630" s="38"/>
    </row>
    <row r="631" spans="1:26" ht="15.75" customHeight="1" x14ac:dyDescent="0.2">
      <c r="A631" s="8" t="s">
        <v>1201</v>
      </c>
      <c r="B631" s="1">
        <v>49.794314999999997</v>
      </c>
      <c r="C631" s="1" t="s">
        <v>1523</v>
      </c>
      <c r="D631" s="1" t="s">
        <v>1524</v>
      </c>
      <c r="E631" s="1" t="s">
        <v>2253</v>
      </c>
      <c r="F631" s="1" t="s">
        <v>1546</v>
      </c>
      <c r="G631" s="1" t="s">
        <v>2273</v>
      </c>
      <c r="H631" s="1" t="s">
        <v>2255</v>
      </c>
      <c r="I631" s="1" t="s">
        <v>2274</v>
      </c>
      <c r="J631" s="1" t="s">
        <v>2326</v>
      </c>
      <c r="M631" s="38"/>
      <c r="N631" s="38"/>
      <c r="O631" s="38"/>
      <c r="P631" s="38"/>
      <c r="Q631" s="38"/>
      <c r="R631" s="38"/>
      <c r="S631" s="38"/>
      <c r="T631" s="38"/>
      <c r="U631" s="38"/>
      <c r="V631" s="38"/>
      <c r="W631" s="38"/>
      <c r="X631" s="38"/>
      <c r="Y631" s="38"/>
      <c r="Z631" s="38"/>
    </row>
    <row r="632" spans="1:26" ht="15.75" customHeight="1" x14ac:dyDescent="0.2">
      <c r="A632" s="8" t="s">
        <v>1201</v>
      </c>
      <c r="B632" s="1">
        <v>49.794314999999997</v>
      </c>
      <c r="C632" s="1" t="s">
        <v>1523</v>
      </c>
      <c r="D632" s="1" t="s">
        <v>1524</v>
      </c>
      <c r="E632" s="1" t="s">
        <v>2253</v>
      </c>
      <c r="F632" s="1" t="s">
        <v>1546</v>
      </c>
      <c r="G632" s="1" t="s">
        <v>2273</v>
      </c>
      <c r="H632" s="1" t="s">
        <v>2255</v>
      </c>
      <c r="I632" s="1" t="s">
        <v>2285</v>
      </c>
      <c r="J632" s="1" t="s">
        <v>2850</v>
      </c>
      <c r="M632" s="38"/>
      <c r="N632" s="38"/>
      <c r="O632" s="38"/>
      <c r="P632" s="38"/>
      <c r="Q632" s="38"/>
      <c r="R632" s="38"/>
      <c r="S632" s="38"/>
      <c r="T632" s="38"/>
      <c r="U632" s="38"/>
      <c r="V632" s="38"/>
      <c r="W632" s="38"/>
      <c r="X632" s="38"/>
      <c r="Y632" s="38"/>
      <c r="Z632" s="38"/>
    </row>
    <row r="633" spans="1:26" ht="15.75" customHeight="1" x14ac:dyDescent="0.2">
      <c r="A633" s="8" t="s">
        <v>1201</v>
      </c>
      <c r="B633" s="1">
        <v>49.794314999999997</v>
      </c>
      <c r="C633" s="1" t="s">
        <v>1523</v>
      </c>
      <c r="D633" s="1" t="s">
        <v>1524</v>
      </c>
      <c r="E633" s="1" t="s">
        <v>2253</v>
      </c>
      <c r="F633" s="1" t="s">
        <v>1546</v>
      </c>
      <c r="G633" s="1" t="s">
        <v>2271</v>
      </c>
      <c r="H633" s="1" t="s">
        <v>2260</v>
      </c>
      <c r="I633" s="1" t="s">
        <v>2256</v>
      </c>
      <c r="J633" s="1" t="s">
        <v>2851</v>
      </c>
      <c r="M633" s="38"/>
      <c r="N633" s="38"/>
      <c r="O633" s="38"/>
      <c r="P633" s="38"/>
      <c r="Q633" s="38"/>
      <c r="R633" s="38"/>
      <c r="S633" s="38"/>
      <c r="T633" s="38"/>
      <c r="U633" s="38"/>
      <c r="V633" s="38"/>
      <c r="W633" s="38"/>
      <c r="X633" s="38"/>
      <c r="Y633" s="38"/>
      <c r="Z633" s="38"/>
    </row>
    <row r="634" spans="1:26" ht="15.75" customHeight="1" x14ac:dyDescent="0.2">
      <c r="A634" s="8" t="s">
        <v>1207</v>
      </c>
      <c r="B634" s="1">
        <v>42.861933999999998</v>
      </c>
      <c r="C634" s="1" t="s">
        <v>1587</v>
      </c>
      <c r="D634" s="1" t="s">
        <v>1524</v>
      </c>
      <c r="E634" s="1" t="s">
        <v>2253</v>
      </c>
      <c r="F634" s="1" t="s">
        <v>1583</v>
      </c>
      <c r="G634" s="1" t="s">
        <v>2852</v>
      </c>
      <c r="H634" s="1" t="s">
        <v>2255</v>
      </c>
      <c r="I634" s="1" t="s">
        <v>2274</v>
      </c>
      <c r="J634" s="1" t="s">
        <v>2853</v>
      </c>
      <c r="M634" s="38"/>
      <c r="N634" s="38"/>
      <c r="O634" s="38"/>
      <c r="P634" s="38"/>
      <c r="Q634" s="38"/>
      <c r="R634" s="38"/>
      <c r="S634" s="38"/>
      <c r="T634" s="38"/>
      <c r="U634" s="38"/>
      <c r="V634" s="38"/>
      <c r="W634" s="38"/>
      <c r="X634" s="38"/>
      <c r="Y634" s="38"/>
      <c r="Z634" s="38"/>
    </row>
    <row r="635" spans="1:26" ht="15.75" customHeight="1" x14ac:dyDescent="0.2">
      <c r="A635" s="8" t="s">
        <v>1216</v>
      </c>
      <c r="B635" s="1">
        <v>44.463610000000003</v>
      </c>
      <c r="C635" s="1" t="s">
        <v>1523</v>
      </c>
      <c r="D635" s="1" t="s">
        <v>1524</v>
      </c>
      <c r="E635" s="1" t="s">
        <v>2280</v>
      </c>
      <c r="F635" s="1" t="s">
        <v>1528</v>
      </c>
      <c r="G635" s="1" t="s">
        <v>2266</v>
      </c>
      <c r="H635" s="1" t="s">
        <v>2255</v>
      </c>
      <c r="I635" s="1" t="s">
        <v>2256</v>
      </c>
      <c r="J635" s="1" t="s">
        <v>2452</v>
      </c>
      <c r="M635" s="38"/>
      <c r="N635" s="38"/>
      <c r="O635" s="38"/>
      <c r="P635" s="38"/>
      <c r="Q635" s="38"/>
      <c r="R635" s="38"/>
      <c r="S635" s="38"/>
      <c r="T635" s="38"/>
      <c r="U635" s="38"/>
      <c r="V635" s="38"/>
      <c r="W635" s="38"/>
      <c r="X635" s="38"/>
      <c r="Y635" s="38"/>
      <c r="Z635" s="38"/>
    </row>
    <row r="636" spans="1:26" ht="15.75" customHeight="1" x14ac:dyDescent="0.2">
      <c r="A636" s="8" t="s">
        <v>1216</v>
      </c>
      <c r="B636" s="1">
        <v>44.463610000000003</v>
      </c>
      <c r="C636" s="1" t="s">
        <v>1523</v>
      </c>
      <c r="D636" s="1" t="s">
        <v>1524</v>
      </c>
      <c r="E636" s="1" t="s">
        <v>2280</v>
      </c>
      <c r="F636" s="1" t="s">
        <v>1528</v>
      </c>
      <c r="G636" s="1" t="s">
        <v>2287</v>
      </c>
      <c r="H636" s="1" t="s">
        <v>2260</v>
      </c>
      <c r="I636" s="1" t="s">
        <v>2256</v>
      </c>
      <c r="J636" s="1" t="s">
        <v>2854</v>
      </c>
      <c r="M636" s="38"/>
      <c r="N636" s="38"/>
      <c r="O636" s="38"/>
      <c r="P636" s="38"/>
      <c r="Q636" s="38"/>
      <c r="R636" s="38"/>
      <c r="S636" s="38"/>
      <c r="T636" s="38"/>
      <c r="U636" s="38"/>
      <c r="V636" s="38"/>
      <c r="W636" s="38"/>
      <c r="X636" s="38"/>
      <c r="Y636" s="38"/>
      <c r="Z636" s="38"/>
    </row>
    <row r="637" spans="1:26" ht="15.75" customHeight="1" x14ac:dyDescent="0.2">
      <c r="A637" s="8" t="s">
        <v>1216</v>
      </c>
      <c r="B637" s="1">
        <v>44.463610000000003</v>
      </c>
      <c r="C637" s="1" t="s">
        <v>1523</v>
      </c>
      <c r="D637" s="1" t="s">
        <v>1524</v>
      </c>
      <c r="E637" s="1" t="s">
        <v>2280</v>
      </c>
      <c r="F637" s="1" t="s">
        <v>1528</v>
      </c>
      <c r="G637" s="1" t="s">
        <v>2431</v>
      </c>
      <c r="H637" s="1" t="s">
        <v>2260</v>
      </c>
      <c r="I637" s="1" t="s">
        <v>2256</v>
      </c>
      <c r="J637" s="1" t="s">
        <v>2855</v>
      </c>
      <c r="M637" s="38"/>
      <c r="N637" s="38"/>
      <c r="O637" s="38"/>
      <c r="P637" s="38"/>
      <c r="Q637" s="38"/>
      <c r="R637" s="38"/>
      <c r="S637" s="38"/>
      <c r="T637" s="38"/>
      <c r="U637" s="38"/>
      <c r="V637" s="38"/>
      <c r="W637" s="38"/>
      <c r="X637" s="38"/>
      <c r="Y637" s="38"/>
      <c r="Z637" s="38"/>
    </row>
    <row r="638" spans="1:26" ht="15.75" customHeight="1" x14ac:dyDescent="0.2">
      <c r="A638" s="8" t="s">
        <v>1216</v>
      </c>
      <c r="B638" s="1">
        <v>44.463610000000003</v>
      </c>
      <c r="C638" s="1" t="s">
        <v>1523</v>
      </c>
      <c r="D638" s="1" t="s">
        <v>1524</v>
      </c>
      <c r="E638" s="1" t="s">
        <v>2280</v>
      </c>
      <c r="F638" s="1" t="s">
        <v>1528</v>
      </c>
      <c r="G638" s="1" t="s">
        <v>2262</v>
      </c>
      <c r="H638" s="1" t="s">
        <v>2260</v>
      </c>
      <c r="I638" s="1" t="s">
        <v>2256</v>
      </c>
      <c r="J638" s="1" t="s">
        <v>2856</v>
      </c>
      <c r="M638" s="38"/>
      <c r="N638" s="38"/>
      <c r="O638" s="38"/>
      <c r="P638" s="38"/>
      <c r="Q638" s="38"/>
      <c r="R638" s="38"/>
      <c r="S638" s="38"/>
      <c r="T638" s="38"/>
      <c r="U638" s="38"/>
      <c r="V638" s="38"/>
      <c r="W638" s="38"/>
      <c r="X638" s="38"/>
      <c r="Y638" s="38"/>
      <c r="Z638" s="38"/>
    </row>
    <row r="639" spans="1:26" ht="15.75" customHeight="1" x14ac:dyDescent="0.2">
      <c r="A639" s="8" t="s">
        <v>1221</v>
      </c>
      <c r="B639" s="1">
        <v>40.693511999999998</v>
      </c>
      <c r="C639" s="1" t="s">
        <v>1523</v>
      </c>
      <c r="D639" s="1" t="s">
        <v>1524</v>
      </c>
      <c r="E639" s="1" t="s">
        <v>2253</v>
      </c>
      <c r="F639" s="1" t="s">
        <v>1528</v>
      </c>
      <c r="G639" s="1" t="s">
        <v>2344</v>
      </c>
      <c r="H639" s="1" t="s">
        <v>2255</v>
      </c>
      <c r="I639" s="1" t="s">
        <v>2274</v>
      </c>
      <c r="J639" s="1" t="s">
        <v>2857</v>
      </c>
      <c r="M639" s="38"/>
      <c r="N639" s="38"/>
      <c r="O639" s="38"/>
      <c r="P639" s="38"/>
      <c r="Q639" s="38"/>
      <c r="R639" s="38"/>
      <c r="S639" s="38"/>
      <c r="T639" s="38"/>
      <c r="U639" s="38"/>
      <c r="V639" s="38"/>
      <c r="W639" s="38"/>
      <c r="X639" s="38"/>
      <c r="Y639" s="38"/>
      <c r="Z639" s="38"/>
    </row>
    <row r="640" spans="1:26" ht="15.75" customHeight="1" x14ac:dyDescent="0.2">
      <c r="A640" s="8" t="s">
        <v>1221</v>
      </c>
      <c r="B640" s="1">
        <v>40.693511999999998</v>
      </c>
      <c r="C640" s="1" t="s">
        <v>1523</v>
      </c>
      <c r="D640" s="1" t="s">
        <v>1524</v>
      </c>
      <c r="E640" s="1" t="s">
        <v>2253</v>
      </c>
      <c r="F640" s="1" t="s">
        <v>1528</v>
      </c>
      <c r="G640" s="1" t="s">
        <v>2302</v>
      </c>
      <c r="H640" s="1" t="s">
        <v>2255</v>
      </c>
      <c r="I640" s="1" t="s">
        <v>2285</v>
      </c>
      <c r="J640" s="1" t="s">
        <v>2303</v>
      </c>
      <c r="M640" s="38"/>
      <c r="N640" s="38"/>
      <c r="O640" s="38"/>
      <c r="P640" s="38"/>
      <c r="Q640" s="38"/>
      <c r="R640" s="38"/>
      <c r="S640" s="38"/>
      <c r="T640" s="38"/>
      <c r="U640" s="38"/>
      <c r="V640" s="38"/>
      <c r="W640" s="38"/>
      <c r="X640" s="38"/>
      <c r="Y640" s="38"/>
      <c r="Z640" s="38"/>
    </row>
    <row r="641" spans="1:26" ht="15.75" customHeight="1" x14ac:dyDescent="0.2">
      <c r="A641" s="8" t="s">
        <v>1221</v>
      </c>
      <c r="B641" s="1">
        <v>40.693511999999998</v>
      </c>
      <c r="C641" s="1" t="s">
        <v>1523</v>
      </c>
      <c r="D641" s="1" t="s">
        <v>1524</v>
      </c>
      <c r="E641" s="1" t="s">
        <v>2253</v>
      </c>
      <c r="F641" s="1" t="s">
        <v>1528</v>
      </c>
      <c r="G641" s="1" t="s">
        <v>2557</v>
      </c>
      <c r="H641" s="1" t="s">
        <v>2255</v>
      </c>
      <c r="I641" s="1" t="s">
        <v>2285</v>
      </c>
      <c r="J641" s="1" t="s">
        <v>2705</v>
      </c>
      <c r="M641" s="38"/>
      <c r="N641" s="38"/>
      <c r="O641" s="38"/>
      <c r="P641" s="38"/>
      <c r="Q641" s="38"/>
      <c r="R641" s="38"/>
      <c r="S641" s="38"/>
      <c r="T641" s="38"/>
      <c r="U641" s="38"/>
      <c r="V641" s="38"/>
      <c r="W641" s="38"/>
      <c r="X641" s="38"/>
      <c r="Y641" s="38"/>
      <c r="Z641" s="38"/>
    </row>
    <row r="642" spans="1:26" ht="15.75" customHeight="1" x14ac:dyDescent="0.2">
      <c r="A642" s="8" t="s">
        <v>1221</v>
      </c>
      <c r="B642" s="1">
        <v>40.693511999999998</v>
      </c>
      <c r="C642" s="1" t="s">
        <v>1523</v>
      </c>
      <c r="D642" s="1" t="s">
        <v>1524</v>
      </c>
      <c r="E642" s="1" t="s">
        <v>2253</v>
      </c>
      <c r="F642" s="1" t="s">
        <v>1528</v>
      </c>
      <c r="G642" s="1" t="s">
        <v>2287</v>
      </c>
      <c r="H642" s="1" t="s">
        <v>2260</v>
      </c>
      <c r="I642" s="1" t="s">
        <v>2256</v>
      </c>
      <c r="J642" s="1" t="s">
        <v>2858</v>
      </c>
      <c r="M642" s="38"/>
      <c r="N642" s="38"/>
      <c r="O642" s="38"/>
      <c r="P642" s="38"/>
      <c r="Q642" s="38"/>
      <c r="R642" s="38"/>
      <c r="S642" s="38"/>
      <c r="T642" s="38"/>
      <c r="U642" s="38"/>
      <c r="V642" s="38"/>
      <c r="W642" s="38"/>
      <c r="X642" s="38"/>
      <c r="Y642" s="38"/>
      <c r="Z642" s="38"/>
    </row>
    <row r="643" spans="1:26" ht="15.75" customHeight="1" x14ac:dyDescent="0.2">
      <c r="A643" s="8" t="s">
        <v>1225</v>
      </c>
      <c r="B643" s="1">
        <v>17.771754000000001</v>
      </c>
      <c r="C643" s="1" t="s">
        <v>1523</v>
      </c>
      <c r="D643" s="1" t="s">
        <v>1524</v>
      </c>
      <c r="E643" s="1" t="s">
        <v>2280</v>
      </c>
      <c r="F643" s="1" t="s">
        <v>1528</v>
      </c>
      <c r="G643" s="1" t="s">
        <v>2290</v>
      </c>
      <c r="H643" s="1" t="s">
        <v>2255</v>
      </c>
      <c r="I643" s="1" t="s">
        <v>2256</v>
      </c>
      <c r="J643" s="1" t="s">
        <v>2451</v>
      </c>
      <c r="M643" s="38"/>
      <c r="N643" s="38"/>
      <c r="O643" s="38"/>
      <c r="P643" s="38"/>
      <c r="Q643" s="38"/>
      <c r="R643" s="38"/>
      <c r="S643" s="38"/>
      <c r="T643" s="38"/>
      <c r="U643" s="38"/>
      <c r="V643" s="38"/>
      <c r="W643" s="38"/>
      <c r="X643" s="38"/>
      <c r="Y643" s="38"/>
      <c r="Z643" s="38"/>
    </row>
    <row r="644" spans="1:26" ht="15.75" customHeight="1" x14ac:dyDescent="0.2">
      <c r="A644" s="8" t="s">
        <v>1225</v>
      </c>
      <c r="B644" s="1">
        <v>17.771754000000001</v>
      </c>
      <c r="C644" s="1" t="s">
        <v>1523</v>
      </c>
      <c r="D644" s="1" t="s">
        <v>1524</v>
      </c>
      <c r="E644" s="1" t="s">
        <v>2280</v>
      </c>
      <c r="F644" s="1" t="s">
        <v>1528</v>
      </c>
      <c r="G644" s="1" t="s">
        <v>2297</v>
      </c>
      <c r="H644" s="1" t="s">
        <v>2260</v>
      </c>
      <c r="I644" s="1" t="s">
        <v>2285</v>
      </c>
      <c r="J644" s="1" t="s">
        <v>2859</v>
      </c>
      <c r="M644" s="38"/>
      <c r="N644" s="38"/>
      <c r="O644" s="38"/>
      <c r="P644" s="38"/>
      <c r="Q644" s="38"/>
      <c r="R644" s="38"/>
      <c r="S644" s="38"/>
      <c r="T644" s="38"/>
      <c r="U644" s="38"/>
      <c r="V644" s="38"/>
      <c r="W644" s="38"/>
      <c r="X644" s="38"/>
      <c r="Y644" s="38"/>
      <c r="Z644" s="38"/>
    </row>
    <row r="645" spans="1:26" ht="15.75" customHeight="1" x14ac:dyDescent="0.2">
      <c r="A645" s="8" t="s">
        <v>1225</v>
      </c>
      <c r="B645" s="1">
        <v>17.771754000000001</v>
      </c>
      <c r="C645" s="1" t="s">
        <v>1523</v>
      </c>
      <c r="D645" s="1" t="s">
        <v>1524</v>
      </c>
      <c r="E645" s="1" t="s">
        <v>2280</v>
      </c>
      <c r="F645" s="1" t="s">
        <v>1528</v>
      </c>
      <c r="G645" s="1" t="s">
        <v>2287</v>
      </c>
      <c r="H645" s="1" t="s">
        <v>2260</v>
      </c>
      <c r="I645" s="1" t="s">
        <v>2256</v>
      </c>
      <c r="J645" s="1" t="s">
        <v>2860</v>
      </c>
      <c r="M645" s="38"/>
      <c r="N645" s="38"/>
      <c r="O645" s="38"/>
      <c r="P645" s="38"/>
      <c r="Q645" s="38"/>
      <c r="R645" s="38"/>
      <c r="S645" s="38"/>
      <c r="T645" s="38"/>
      <c r="U645" s="38"/>
      <c r="V645" s="38"/>
      <c r="W645" s="38"/>
      <c r="X645" s="38"/>
      <c r="Y645" s="38"/>
      <c r="Z645" s="38"/>
    </row>
    <row r="646" spans="1:26" ht="15.75" customHeight="1" x14ac:dyDescent="0.2">
      <c r="A646" s="8" t="s">
        <v>1225</v>
      </c>
      <c r="B646" s="1">
        <v>17.771754000000001</v>
      </c>
      <c r="C646" s="1" t="s">
        <v>1523</v>
      </c>
      <c r="D646" s="1" t="s">
        <v>1524</v>
      </c>
      <c r="E646" s="1" t="s">
        <v>2280</v>
      </c>
      <c r="F646" s="1" t="s">
        <v>1528</v>
      </c>
      <c r="G646" s="1" t="s">
        <v>2431</v>
      </c>
      <c r="H646" s="1" t="s">
        <v>2260</v>
      </c>
      <c r="I646" s="1" t="s">
        <v>2256</v>
      </c>
      <c r="J646" s="1" t="s">
        <v>2861</v>
      </c>
      <c r="M646" s="38"/>
      <c r="N646" s="38"/>
      <c r="O646" s="38"/>
      <c r="P646" s="38"/>
      <c r="Q646" s="38"/>
      <c r="R646" s="38"/>
      <c r="S646" s="38"/>
      <c r="T646" s="38"/>
      <c r="U646" s="38"/>
      <c r="V646" s="38"/>
      <c r="W646" s="38"/>
      <c r="X646" s="38"/>
      <c r="Y646" s="38"/>
      <c r="Z646" s="38"/>
    </row>
    <row r="647" spans="1:26" ht="15.75" customHeight="1" x14ac:dyDescent="0.2">
      <c r="A647" s="8" t="s">
        <v>1225</v>
      </c>
      <c r="B647" s="1">
        <v>17.771754000000001</v>
      </c>
      <c r="C647" s="1" t="s">
        <v>1523</v>
      </c>
      <c r="D647" s="1" t="s">
        <v>1524</v>
      </c>
      <c r="E647" s="1" t="s">
        <v>2280</v>
      </c>
      <c r="F647" s="1" t="s">
        <v>1528</v>
      </c>
      <c r="G647" s="1" t="s">
        <v>2262</v>
      </c>
      <c r="H647" s="1" t="s">
        <v>2260</v>
      </c>
      <c r="I647" s="1" t="s">
        <v>2256</v>
      </c>
      <c r="J647" s="1" t="s">
        <v>2862</v>
      </c>
      <c r="M647" s="38"/>
      <c r="N647" s="38"/>
      <c r="O647" s="38"/>
      <c r="P647" s="38"/>
      <c r="Q647" s="38"/>
      <c r="R647" s="38"/>
      <c r="S647" s="38"/>
      <c r="T647" s="38"/>
      <c r="U647" s="38"/>
      <c r="V647" s="38"/>
      <c r="W647" s="38"/>
      <c r="X647" s="38"/>
      <c r="Y647" s="38"/>
      <c r="Z647" s="38"/>
    </row>
    <row r="648" spans="1:26" ht="15.75" customHeight="1" x14ac:dyDescent="0.2">
      <c r="A648" s="8" t="s">
        <v>1231</v>
      </c>
      <c r="B648" s="1">
        <v>43.828415</v>
      </c>
      <c r="C648" s="1" t="s">
        <v>1587</v>
      </c>
      <c r="D648" s="1" t="s">
        <v>1524</v>
      </c>
      <c r="E648" s="1" t="s">
        <v>2280</v>
      </c>
      <c r="F648" s="1" t="s">
        <v>1560</v>
      </c>
      <c r="G648" s="1" t="s">
        <v>2262</v>
      </c>
      <c r="H648" s="1" t="s">
        <v>2260</v>
      </c>
      <c r="I648" s="1" t="s">
        <v>2256</v>
      </c>
      <c r="J648" s="1" t="s">
        <v>2863</v>
      </c>
      <c r="M648" s="38"/>
      <c r="N648" s="38"/>
      <c r="O648" s="38"/>
      <c r="P648" s="38"/>
      <c r="Q648" s="38"/>
      <c r="R648" s="38"/>
      <c r="S648" s="38"/>
      <c r="T648" s="38"/>
      <c r="U648" s="38"/>
      <c r="V648" s="38"/>
      <c r="W648" s="38"/>
      <c r="X648" s="38"/>
      <c r="Y648" s="38"/>
      <c r="Z648" s="38"/>
    </row>
    <row r="649" spans="1:26" ht="15.75" customHeight="1" x14ac:dyDescent="0.2">
      <c r="A649" s="8" t="s">
        <v>1239</v>
      </c>
      <c r="B649" s="1">
        <v>70.251956000000007</v>
      </c>
      <c r="C649" s="1" t="s">
        <v>1523</v>
      </c>
      <c r="D649" s="1" t="s">
        <v>1524</v>
      </c>
      <c r="E649" s="1" t="s">
        <v>2253</v>
      </c>
      <c r="F649" s="1" t="s">
        <v>1528</v>
      </c>
      <c r="G649" s="1" t="s">
        <v>2266</v>
      </c>
      <c r="H649" s="1" t="s">
        <v>2255</v>
      </c>
      <c r="I649" s="1" t="s">
        <v>2256</v>
      </c>
      <c r="J649" s="1" t="s">
        <v>2479</v>
      </c>
      <c r="M649" s="38"/>
      <c r="N649" s="38"/>
      <c r="O649" s="38"/>
      <c r="P649" s="38"/>
      <c r="Q649" s="38"/>
      <c r="R649" s="38"/>
      <c r="S649" s="38"/>
      <c r="T649" s="38"/>
      <c r="U649" s="38"/>
      <c r="V649" s="38"/>
      <c r="W649" s="38"/>
      <c r="X649" s="38"/>
      <c r="Y649" s="38"/>
      <c r="Z649" s="38"/>
    </row>
    <row r="650" spans="1:26" ht="15.75" customHeight="1" x14ac:dyDescent="0.2">
      <c r="A650" s="8" t="s">
        <v>1239</v>
      </c>
      <c r="B650" s="1">
        <v>70.251956000000007</v>
      </c>
      <c r="C650" s="1" t="s">
        <v>1523</v>
      </c>
      <c r="D650" s="1" t="s">
        <v>1524</v>
      </c>
      <c r="E650" s="1" t="s">
        <v>2253</v>
      </c>
      <c r="F650" s="1" t="s">
        <v>1528</v>
      </c>
      <c r="G650" s="1" t="s">
        <v>2392</v>
      </c>
      <c r="H650" s="1" t="s">
        <v>2260</v>
      </c>
      <c r="I650" s="1" t="s">
        <v>2256</v>
      </c>
      <c r="J650" s="1" t="s">
        <v>2864</v>
      </c>
      <c r="M650" s="38"/>
      <c r="N650" s="38"/>
      <c r="O650" s="38"/>
      <c r="P650" s="38"/>
      <c r="Q650" s="38"/>
      <c r="R650" s="38"/>
      <c r="S650" s="38"/>
      <c r="T650" s="38"/>
      <c r="U650" s="38"/>
      <c r="V650" s="38"/>
      <c r="W650" s="38"/>
      <c r="X650" s="38"/>
      <c r="Y650" s="38"/>
      <c r="Z650" s="38"/>
    </row>
    <row r="651" spans="1:26" ht="15.75" customHeight="1" x14ac:dyDescent="0.2">
      <c r="A651" s="8" t="s">
        <v>1239</v>
      </c>
      <c r="B651" s="1">
        <v>70.251956000000007</v>
      </c>
      <c r="C651" s="1" t="s">
        <v>1523</v>
      </c>
      <c r="D651" s="1" t="s">
        <v>1524</v>
      </c>
      <c r="E651" s="1" t="s">
        <v>2253</v>
      </c>
      <c r="F651" s="1" t="s">
        <v>1528</v>
      </c>
      <c r="G651" s="1" t="s">
        <v>2271</v>
      </c>
      <c r="H651" s="1" t="s">
        <v>2260</v>
      </c>
      <c r="I651" s="1" t="s">
        <v>2256</v>
      </c>
      <c r="J651" s="1" t="s">
        <v>2865</v>
      </c>
      <c r="M651" s="38"/>
      <c r="N651" s="38"/>
      <c r="O651" s="38"/>
      <c r="P651" s="38"/>
      <c r="Q651" s="38"/>
      <c r="R651" s="38"/>
      <c r="S651" s="38"/>
      <c r="T651" s="38"/>
      <c r="U651" s="38"/>
      <c r="V651" s="38"/>
      <c r="W651" s="38"/>
      <c r="X651" s="38"/>
      <c r="Y651" s="38"/>
      <c r="Z651" s="38"/>
    </row>
    <row r="652" spans="1:26" ht="15.75" customHeight="1" x14ac:dyDescent="0.2">
      <c r="A652" s="8" t="s">
        <v>1239</v>
      </c>
      <c r="B652" s="1">
        <v>70.251956000000007</v>
      </c>
      <c r="C652" s="1" t="s">
        <v>1523</v>
      </c>
      <c r="D652" s="1" t="s">
        <v>1524</v>
      </c>
      <c r="E652" s="1" t="s">
        <v>2253</v>
      </c>
      <c r="F652" s="1" t="s">
        <v>1528</v>
      </c>
      <c r="G652" s="1" t="s">
        <v>2431</v>
      </c>
      <c r="H652" s="1" t="s">
        <v>2260</v>
      </c>
      <c r="I652" s="1" t="s">
        <v>2256</v>
      </c>
      <c r="J652" s="1" t="s">
        <v>2866</v>
      </c>
      <c r="M652" s="38"/>
      <c r="N652" s="38"/>
      <c r="O652" s="38"/>
      <c r="P652" s="38"/>
      <c r="Q652" s="38"/>
      <c r="R652" s="38"/>
      <c r="S652" s="38"/>
      <c r="T652" s="38"/>
      <c r="U652" s="38"/>
      <c r="V652" s="38"/>
      <c r="W652" s="38"/>
      <c r="X652" s="38"/>
      <c r="Y652" s="38"/>
      <c r="Z652" s="38"/>
    </row>
    <row r="653" spans="1:26" ht="15.75" customHeight="1" x14ac:dyDescent="0.2">
      <c r="A653" s="8" t="s">
        <v>1239</v>
      </c>
      <c r="B653" s="1">
        <v>70.251956000000007</v>
      </c>
      <c r="C653" s="1" t="s">
        <v>1523</v>
      </c>
      <c r="D653" s="1" t="s">
        <v>1524</v>
      </c>
      <c r="E653" s="1" t="s">
        <v>2253</v>
      </c>
      <c r="F653" s="1" t="s">
        <v>1528</v>
      </c>
      <c r="G653" s="1" t="s">
        <v>1363</v>
      </c>
      <c r="H653" s="1" t="s">
        <v>2263</v>
      </c>
      <c r="I653" s="1" t="s">
        <v>2256</v>
      </c>
      <c r="J653" s="1" t="s">
        <v>2867</v>
      </c>
      <c r="M653" s="38"/>
      <c r="N653" s="38"/>
      <c r="O653" s="38"/>
      <c r="P653" s="38"/>
      <c r="Q653" s="38"/>
      <c r="R653" s="38"/>
      <c r="S653" s="38"/>
      <c r="T653" s="38"/>
      <c r="U653" s="38"/>
      <c r="V653" s="38"/>
      <c r="W653" s="38"/>
      <c r="X653" s="38"/>
      <c r="Y653" s="38"/>
      <c r="Z653" s="38"/>
    </row>
    <row r="654" spans="1:26" ht="15.75" customHeight="1" x14ac:dyDescent="0.2">
      <c r="A654" s="8" t="s">
        <v>1245</v>
      </c>
      <c r="B654" s="1">
        <v>18.557534</v>
      </c>
      <c r="C654" s="1" t="s">
        <v>1587</v>
      </c>
      <c r="D654" s="1" t="s">
        <v>1578</v>
      </c>
      <c r="E654" s="1" t="s">
        <v>2280</v>
      </c>
      <c r="F654" s="1" t="s">
        <v>1546</v>
      </c>
      <c r="G654" s="1" t="s">
        <v>2654</v>
      </c>
      <c r="H654" s="1" t="s">
        <v>2255</v>
      </c>
      <c r="I654" s="1" t="s">
        <v>2256</v>
      </c>
      <c r="J654" s="1" t="s">
        <v>2868</v>
      </c>
      <c r="M654" s="38"/>
      <c r="N654" s="38"/>
      <c r="O654" s="38"/>
      <c r="P654" s="38"/>
      <c r="Q654" s="38"/>
      <c r="R654" s="38"/>
      <c r="S654" s="38"/>
      <c r="T654" s="38"/>
      <c r="U654" s="38"/>
      <c r="V654" s="38"/>
      <c r="W654" s="38"/>
      <c r="X654" s="38"/>
      <c r="Y654" s="38"/>
      <c r="Z654" s="38"/>
    </row>
    <row r="655" spans="1:26" ht="15.75" customHeight="1" x14ac:dyDescent="0.2">
      <c r="A655" s="8" t="s">
        <v>1245</v>
      </c>
      <c r="B655" s="1">
        <v>18.557534</v>
      </c>
      <c r="C655" s="1" t="s">
        <v>1587</v>
      </c>
      <c r="D655" s="1" t="s">
        <v>1578</v>
      </c>
      <c r="E655" s="1" t="s">
        <v>2280</v>
      </c>
      <c r="F655" s="1" t="s">
        <v>1546</v>
      </c>
      <c r="G655" s="1" t="s">
        <v>2271</v>
      </c>
      <c r="H655" s="1" t="s">
        <v>2260</v>
      </c>
      <c r="I655" s="1" t="s">
        <v>2256</v>
      </c>
      <c r="J655" s="1" t="s">
        <v>2869</v>
      </c>
      <c r="M655" s="38"/>
      <c r="N655" s="38"/>
      <c r="O655" s="38"/>
      <c r="P655" s="38"/>
      <c r="Q655" s="38"/>
      <c r="R655" s="38"/>
      <c r="S655" s="38"/>
      <c r="T655" s="38"/>
      <c r="U655" s="38"/>
      <c r="V655" s="38"/>
      <c r="W655" s="38"/>
      <c r="X655" s="38"/>
      <c r="Y655" s="38"/>
      <c r="Z655" s="38"/>
    </row>
    <row r="656" spans="1:26" ht="15.75" customHeight="1" x14ac:dyDescent="0.2">
      <c r="A656" s="8" t="s">
        <v>1245</v>
      </c>
      <c r="B656" s="1">
        <v>18.557534</v>
      </c>
      <c r="C656" s="1" t="s">
        <v>1587</v>
      </c>
      <c r="D656" s="1" t="s">
        <v>1578</v>
      </c>
      <c r="E656" s="1" t="s">
        <v>2280</v>
      </c>
      <c r="F656" s="1" t="s">
        <v>1546</v>
      </c>
      <c r="G656" s="1" t="s">
        <v>2262</v>
      </c>
      <c r="H656" s="1" t="s">
        <v>2260</v>
      </c>
      <c r="I656" s="1" t="s">
        <v>2256</v>
      </c>
      <c r="J656" s="1" t="s">
        <v>2870</v>
      </c>
      <c r="M656" s="38"/>
      <c r="N656" s="38"/>
      <c r="O656" s="38"/>
      <c r="P656" s="38"/>
      <c r="Q656" s="38"/>
      <c r="R656" s="38"/>
      <c r="S656" s="38"/>
      <c r="T656" s="38"/>
      <c r="U656" s="38"/>
      <c r="V656" s="38"/>
      <c r="W656" s="38"/>
      <c r="X656" s="38"/>
      <c r="Y656" s="38"/>
      <c r="Z656" s="38"/>
    </row>
    <row r="657" spans="1:26" ht="15.75" customHeight="1" x14ac:dyDescent="0.2">
      <c r="A657" s="8" t="s">
        <v>1251</v>
      </c>
      <c r="B657" s="1">
        <v>50.289876</v>
      </c>
      <c r="C657" s="1" t="s">
        <v>1523</v>
      </c>
      <c r="D657" s="1" t="s">
        <v>1524</v>
      </c>
      <c r="E657" s="1" t="s">
        <v>2280</v>
      </c>
      <c r="F657" s="1" t="s">
        <v>1546</v>
      </c>
      <c r="G657" s="1" t="s">
        <v>2499</v>
      </c>
      <c r="H657" s="1" t="s">
        <v>2260</v>
      </c>
      <c r="I657" s="1" t="s">
        <v>2256</v>
      </c>
      <c r="J657" s="1" t="s">
        <v>2871</v>
      </c>
      <c r="M657" s="38"/>
      <c r="N657" s="38"/>
      <c r="O657" s="38"/>
      <c r="P657" s="38"/>
      <c r="Q657" s="38"/>
      <c r="R657" s="38"/>
      <c r="S657" s="38"/>
      <c r="T657" s="38"/>
      <c r="U657" s="38"/>
      <c r="V657" s="38"/>
      <c r="W657" s="38"/>
      <c r="X657" s="38"/>
      <c r="Y657" s="38"/>
      <c r="Z657" s="38"/>
    </row>
    <row r="658" spans="1:26" ht="15.75" customHeight="1" x14ac:dyDescent="0.2">
      <c r="A658" s="8" t="s">
        <v>1251</v>
      </c>
      <c r="B658" s="1">
        <v>50.289876</v>
      </c>
      <c r="C658" s="1" t="s">
        <v>1523</v>
      </c>
      <c r="D658" s="1" t="s">
        <v>1524</v>
      </c>
      <c r="E658" s="1" t="s">
        <v>2280</v>
      </c>
      <c r="F658" s="1" t="s">
        <v>1546</v>
      </c>
      <c r="G658" s="1" t="s">
        <v>1363</v>
      </c>
      <c r="H658" s="1" t="s">
        <v>2260</v>
      </c>
      <c r="I658" s="1" t="s">
        <v>2256</v>
      </c>
      <c r="J658" s="1" t="s">
        <v>2872</v>
      </c>
      <c r="M658" s="38"/>
      <c r="N658" s="38"/>
      <c r="O658" s="38"/>
      <c r="P658" s="38"/>
      <c r="Q658" s="38"/>
      <c r="R658" s="38"/>
      <c r="S658" s="38"/>
      <c r="T658" s="38"/>
      <c r="U658" s="38"/>
      <c r="V658" s="38"/>
      <c r="W658" s="38"/>
      <c r="X658" s="38"/>
      <c r="Y658" s="38"/>
      <c r="Z658" s="38"/>
    </row>
    <row r="659" spans="1:26" ht="15.75" customHeight="1" x14ac:dyDescent="0.2">
      <c r="A659" s="8" t="s">
        <v>1251</v>
      </c>
      <c r="B659" s="1">
        <v>50.289876</v>
      </c>
      <c r="C659" s="1" t="s">
        <v>1523</v>
      </c>
      <c r="D659" s="1" t="s">
        <v>1524</v>
      </c>
      <c r="E659" s="1" t="s">
        <v>2280</v>
      </c>
      <c r="F659" s="1" t="s">
        <v>1546</v>
      </c>
      <c r="G659" s="1" t="s">
        <v>2271</v>
      </c>
      <c r="H659" s="1" t="s">
        <v>2260</v>
      </c>
      <c r="I659" s="1" t="s">
        <v>2256</v>
      </c>
      <c r="J659" s="1" t="s">
        <v>2873</v>
      </c>
      <c r="M659" s="38"/>
      <c r="N659" s="38"/>
      <c r="O659" s="38"/>
      <c r="P659" s="38"/>
      <c r="Q659" s="38"/>
      <c r="R659" s="38"/>
      <c r="S659" s="38"/>
      <c r="T659" s="38"/>
      <c r="U659" s="38"/>
      <c r="V659" s="38"/>
      <c r="W659" s="38"/>
      <c r="X659" s="38"/>
      <c r="Y659" s="38"/>
      <c r="Z659" s="38"/>
    </row>
    <row r="660" spans="1:26" ht="15.75" customHeight="1" x14ac:dyDescent="0.2">
      <c r="A660" s="8" t="s">
        <v>1251</v>
      </c>
      <c r="B660" s="1">
        <v>50.289876</v>
      </c>
      <c r="C660" s="1" t="s">
        <v>1523</v>
      </c>
      <c r="D660" s="1" t="s">
        <v>1524</v>
      </c>
      <c r="E660" s="1" t="s">
        <v>2280</v>
      </c>
      <c r="F660" s="1" t="s">
        <v>1546</v>
      </c>
      <c r="G660" s="1" t="s">
        <v>2262</v>
      </c>
      <c r="H660" s="1" t="s">
        <v>2260</v>
      </c>
      <c r="I660" s="1" t="s">
        <v>2256</v>
      </c>
      <c r="J660" s="1" t="s">
        <v>2874</v>
      </c>
      <c r="M660" s="38"/>
      <c r="N660" s="38"/>
      <c r="O660" s="38"/>
      <c r="P660" s="38"/>
      <c r="Q660" s="38"/>
      <c r="R660" s="38"/>
      <c r="S660" s="38"/>
      <c r="T660" s="38"/>
      <c r="U660" s="38"/>
      <c r="V660" s="38"/>
      <c r="W660" s="38"/>
      <c r="X660" s="38"/>
      <c r="Y660" s="38"/>
      <c r="Z660" s="38"/>
    </row>
    <row r="661" spans="1:26" ht="15.75" customHeight="1" x14ac:dyDescent="0.2">
      <c r="A661" s="8" t="s">
        <v>1251</v>
      </c>
      <c r="B661" s="1">
        <v>50.289876</v>
      </c>
      <c r="C661" s="1" t="s">
        <v>1523</v>
      </c>
      <c r="D661" s="1" t="s">
        <v>1524</v>
      </c>
      <c r="E661" s="1" t="s">
        <v>2280</v>
      </c>
      <c r="F661" s="1" t="s">
        <v>1546</v>
      </c>
      <c r="G661" s="1" t="s">
        <v>2287</v>
      </c>
      <c r="H661" s="1" t="s">
        <v>2263</v>
      </c>
      <c r="I661" s="1" t="s">
        <v>2256</v>
      </c>
      <c r="J661" s="1" t="s">
        <v>2875</v>
      </c>
      <c r="M661" s="38"/>
      <c r="N661" s="38"/>
      <c r="O661" s="38"/>
      <c r="P661" s="38"/>
      <c r="Q661" s="38"/>
      <c r="R661" s="38"/>
      <c r="S661" s="38"/>
      <c r="T661" s="38"/>
      <c r="U661" s="38"/>
      <c r="V661" s="38"/>
      <c r="W661" s="38"/>
      <c r="X661" s="38"/>
      <c r="Y661" s="38"/>
      <c r="Z661" s="38"/>
    </row>
    <row r="662" spans="1:26" ht="15.75" customHeight="1" x14ac:dyDescent="0.2">
      <c r="A662" s="8" t="s">
        <v>1265</v>
      </c>
      <c r="B662" s="1">
        <v>76.880429000000007</v>
      </c>
      <c r="C662" s="1" t="s">
        <v>1523</v>
      </c>
      <c r="D662" s="1" t="s">
        <v>1524</v>
      </c>
      <c r="E662" s="1" t="s">
        <v>2280</v>
      </c>
      <c r="F662" s="1" t="s">
        <v>1528</v>
      </c>
      <c r="G662" s="1" t="s">
        <v>2295</v>
      </c>
      <c r="H662" s="1" t="s">
        <v>2260</v>
      </c>
      <c r="I662" s="1" t="s">
        <v>2285</v>
      </c>
      <c r="J662" s="1" t="s">
        <v>2876</v>
      </c>
      <c r="M662" s="38"/>
      <c r="N662" s="38"/>
      <c r="O662" s="38"/>
      <c r="P662" s="38"/>
      <c r="Q662" s="38"/>
      <c r="R662" s="38"/>
      <c r="S662" s="38"/>
      <c r="T662" s="38"/>
      <c r="U662" s="38"/>
      <c r="V662" s="38"/>
      <c r="W662" s="38"/>
      <c r="X662" s="38"/>
      <c r="Y662" s="38"/>
      <c r="Z662" s="38"/>
    </row>
    <row r="663" spans="1:26" ht="15.75" customHeight="1" x14ac:dyDescent="0.2">
      <c r="A663" s="8" t="s">
        <v>1265</v>
      </c>
      <c r="B663" s="1">
        <v>76.880429000000007</v>
      </c>
      <c r="C663" s="1" t="s">
        <v>1523</v>
      </c>
      <c r="D663" s="1" t="s">
        <v>1524</v>
      </c>
      <c r="E663" s="1" t="s">
        <v>2280</v>
      </c>
      <c r="F663" s="1" t="s">
        <v>1528</v>
      </c>
      <c r="G663" s="1" t="s">
        <v>2566</v>
      </c>
      <c r="H663" s="1" t="s">
        <v>2260</v>
      </c>
      <c r="I663" s="1" t="s">
        <v>2285</v>
      </c>
      <c r="J663" s="1" t="s">
        <v>2877</v>
      </c>
      <c r="M663" s="38"/>
      <c r="N663" s="38"/>
      <c r="O663" s="38"/>
      <c r="P663" s="38"/>
      <c r="Q663" s="38"/>
      <c r="R663" s="38"/>
      <c r="S663" s="38"/>
      <c r="T663" s="38"/>
      <c r="U663" s="38"/>
      <c r="V663" s="38"/>
      <c r="W663" s="38"/>
      <c r="X663" s="38"/>
      <c r="Y663" s="38"/>
      <c r="Z663" s="38"/>
    </row>
    <row r="664" spans="1:26" ht="15.75" customHeight="1" x14ac:dyDescent="0.2">
      <c r="A664" s="8" t="s">
        <v>1265</v>
      </c>
      <c r="B664" s="1">
        <v>76.880429000000007</v>
      </c>
      <c r="C664" s="1" t="s">
        <v>1523</v>
      </c>
      <c r="D664" s="1" t="s">
        <v>1524</v>
      </c>
      <c r="E664" s="1" t="s">
        <v>2280</v>
      </c>
      <c r="F664" s="1" t="s">
        <v>1528</v>
      </c>
      <c r="G664" s="1" t="s">
        <v>2299</v>
      </c>
      <c r="H664" s="1" t="s">
        <v>2260</v>
      </c>
      <c r="I664" s="1" t="s">
        <v>2285</v>
      </c>
      <c r="J664" s="1" t="s">
        <v>2878</v>
      </c>
      <c r="M664" s="38"/>
      <c r="N664" s="38"/>
      <c r="O664" s="38"/>
      <c r="P664" s="38"/>
      <c r="Q664" s="38"/>
      <c r="R664" s="38"/>
      <c r="S664" s="38"/>
      <c r="T664" s="38"/>
      <c r="U664" s="38"/>
      <c r="V664" s="38"/>
      <c r="W664" s="38"/>
      <c r="X664" s="38"/>
      <c r="Y664" s="38"/>
      <c r="Z664" s="38"/>
    </row>
    <row r="665" spans="1:26" ht="15.75" customHeight="1" x14ac:dyDescent="0.2">
      <c r="A665" s="8" t="s">
        <v>1276</v>
      </c>
      <c r="B665" s="1">
        <v>19.625316999999999</v>
      </c>
      <c r="C665" s="1" t="s">
        <v>1523</v>
      </c>
      <c r="D665" s="1" t="s">
        <v>1524</v>
      </c>
      <c r="E665" s="1" t="s">
        <v>2280</v>
      </c>
      <c r="F665" s="1" t="s">
        <v>1546</v>
      </c>
      <c r="G665" s="1" t="s">
        <v>2302</v>
      </c>
      <c r="H665" s="1" t="s">
        <v>2255</v>
      </c>
      <c r="I665" s="1" t="s">
        <v>2285</v>
      </c>
      <c r="J665" s="1" t="s">
        <v>2502</v>
      </c>
      <c r="M665" s="38"/>
      <c r="N665" s="38"/>
      <c r="O665" s="38"/>
      <c r="P665" s="38"/>
      <c r="Q665" s="38"/>
      <c r="R665" s="38"/>
      <c r="S665" s="38"/>
      <c r="T665" s="38"/>
      <c r="U665" s="38"/>
      <c r="V665" s="38"/>
      <c r="W665" s="38"/>
      <c r="X665" s="38"/>
      <c r="Y665" s="38"/>
      <c r="Z665" s="38"/>
    </row>
    <row r="666" spans="1:26" ht="15.75" customHeight="1" x14ac:dyDescent="0.2">
      <c r="A666" s="8" t="s">
        <v>1276</v>
      </c>
      <c r="B666" s="1">
        <v>19.625316999999999</v>
      </c>
      <c r="C666" s="1" t="s">
        <v>1523</v>
      </c>
      <c r="D666" s="1" t="s">
        <v>1524</v>
      </c>
      <c r="E666" s="1" t="s">
        <v>2280</v>
      </c>
      <c r="F666" s="1" t="s">
        <v>1546</v>
      </c>
      <c r="G666" s="1" t="s">
        <v>2557</v>
      </c>
      <c r="H666" s="1" t="s">
        <v>2255</v>
      </c>
      <c r="I666" s="1" t="s">
        <v>2285</v>
      </c>
      <c r="J666" s="1" t="s">
        <v>2601</v>
      </c>
      <c r="M666" s="38"/>
      <c r="N666" s="38"/>
      <c r="O666" s="38"/>
      <c r="P666" s="38"/>
      <c r="Q666" s="38"/>
      <c r="R666" s="38"/>
      <c r="S666" s="38"/>
      <c r="T666" s="38"/>
      <c r="U666" s="38"/>
      <c r="V666" s="38"/>
      <c r="W666" s="38"/>
      <c r="X666" s="38"/>
      <c r="Y666" s="38"/>
      <c r="Z666" s="38"/>
    </row>
    <row r="667" spans="1:26" ht="15.75" customHeight="1" x14ac:dyDescent="0.2">
      <c r="A667" s="8" t="s">
        <v>1276</v>
      </c>
      <c r="B667" s="1">
        <v>19.625316999999999</v>
      </c>
      <c r="C667" s="1" t="s">
        <v>1523</v>
      </c>
      <c r="D667" s="1" t="s">
        <v>1524</v>
      </c>
      <c r="E667" s="1" t="s">
        <v>2280</v>
      </c>
      <c r="F667" s="1" t="s">
        <v>1546</v>
      </c>
      <c r="G667" s="1" t="s">
        <v>2266</v>
      </c>
      <c r="H667" s="1" t="s">
        <v>2255</v>
      </c>
      <c r="I667" s="1" t="s">
        <v>2256</v>
      </c>
      <c r="J667" s="1" t="s">
        <v>2331</v>
      </c>
      <c r="M667" s="38"/>
      <c r="N667" s="38"/>
      <c r="O667" s="38"/>
      <c r="P667" s="38"/>
      <c r="Q667" s="38"/>
      <c r="R667" s="38"/>
      <c r="S667" s="38"/>
      <c r="T667" s="38"/>
      <c r="U667" s="38"/>
      <c r="V667" s="38"/>
      <c r="W667" s="38"/>
      <c r="X667" s="38"/>
      <c r="Y667" s="38"/>
      <c r="Z667" s="38"/>
    </row>
    <row r="668" spans="1:26" ht="15.75" customHeight="1" x14ac:dyDescent="0.2">
      <c r="A668" s="8" t="s">
        <v>1276</v>
      </c>
      <c r="B668" s="1">
        <v>19.625316999999999</v>
      </c>
      <c r="C668" s="1" t="s">
        <v>1523</v>
      </c>
      <c r="D668" s="1" t="s">
        <v>1524</v>
      </c>
      <c r="E668" s="1" t="s">
        <v>2280</v>
      </c>
      <c r="F668" s="1" t="s">
        <v>1546</v>
      </c>
      <c r="G668" s="1" t="s">
        <v>2271</v>
      </c>
      <c r="H668" s="1" t="s">
        <v>2260</v>
      </c>
      <c r="I668" s="1" t="s">
        <v>2256</v>
      </c>
      <c r="J668" s="1" t="s">
        <v>2879</v>
      </c>
      <c r="M668" s="38"/>
      <c r="N668" s="38"/>
      <c r="O668" s="38"/>
      <c r="P668" s="38"/>
      <c r="Q668" s="38"/>
      <c r="R668" s="38"/>
      <c r="S668" s="38"/>
      <c r="T668" s="38"/>
      <c r="U668" s="38"/>
      <c r="V668" s="38"/>
      <c r="W668" s="38"/>
      <c r="X668" s="38"/>
      <c r="Y668" s="38"/>
      <c r="Z668" s="38"/>
    </row>
    <row r="669" spans="1:26" ht="15.75" customHeight="1" x14ac:dyDescent="0.2">
      <c r="A669" s="8" t="s">
        <v>1276</v>
      </c>
      <c r="B669" s="1">
        <v>19.625316999999999</v>
      </c>
      <c r="C669" s="1" t="s">
        <v>1523</v>
      </c>
      <c r="D669" s="1" t="s">
        <v>1524</v>
      </c>
      <c r="E669" s="1" t="s">
        <v>2280</v>
      </c>
      <c r="F669" s="1" t="s">
        <v>1546</v>
      </c>
      <c r="G669" s="1" t="s">
        <v>2271</v>
      </c>
      <c r="H669" s="1" t="s">
        <v>2260</v>
      </c>
      <c r="I669" s="1" t="s">
        <v>2256</v>
      </c>
      <c r="J669" s="1" t="s">
        <v>2880</v>
      </c>
      <c r="M669" s="38"/>
      <c r="N669" s="38"/>
      <c r="O669" s="38"/>
      <c r="P669" s="38"/>
      <c r="Q669" s="38"/>
      <c r="R669" s="38"/>
      <c r="S669" s="38"/>
      <c r="T669" s="38"/>
      <c r="U669" s="38"/>
      <c r="V669" s="38"/>
      <c r="W669" s="38"/>
      <c r="X669" s="38"/>
      <c r="Y669" s="38"/>
      <c r="Z669" s="38"/>
    </row>
    <row r="670" spans="1:26" ht="15.75" customHeight="1" x14ac:dyDescent="0.2">
      <c r="A670" s="8" t="s">
        <v>1282</v>
      </c>
      <c r="B670" s="1">
        <v>28.471495000000001</v>
      </c>
      <c r="C670" s="1" t="s">
        <v>1587</v>
      </c>
      <c r="D670" s="1" t="s">
        <v>1524</v>
      </c>
      <c r="E670" s="1" t="s">
        <v>2280</v>
      </c>
      <c r="F670" s="1" t="s">
        <v>1546</v>
      </c>
      <c r="G670" s="1" t="s">
        <v>2287</v>
      </c>
      <c r="H670" s="1" t="s">
        <v>2260</v>
      </c>
      <c r="I670" s="1" t="s">
        <v>2285</v>
      </c>
      <c r="J670" s="1" t="s">
        <v>2881</v>
      </c>
      <c r="M670" s="38"/>
      <c r="N670" s="38"/>
      <c r="O670" s="38"/>
      <c r="P670" s="38"/>
      <c r="Q670" s="38"/>
      <c r="R670" s="38"/>
      <c r="S670" s="38"/>
      <c r="T670" s="38"/>
      <c r="U670" s="38"/>
      <c r="V670" s="38"/>
      <c r="W670" s="38"/>
      <c r="X670" s="38"/>
      <c r="Y670" s="38"/>
      <c r="Z670" s="38"/>
    </row>
    <row r="671" spans="1:26" ht="15.75" customHeight="1" x14ac:dyDescent="0.2">
      <c r="A671" s="8" t="s">
        <v>1282</v>
      </c>
      <c r="B671" s="1">
        <v>28.471495000000001</v>
      </c>
      <c r="C671" s="1" t="s">
        <v>1587</v>
      </c>
      <c r="D671" s="1" t="s">
        <v>1524</v>
      </c>
      <c r="E671" s="1" t="s">
        <v>2280</v>
      </c>
      <c r="F671" s="1" t="s">
        <v>1546</v>
      </c>
      <c r="G671" s="1" t="s">
        <v>2262</v>
      </c>
      <c r="H671" s="1" t="s">
        <v>2260</v>
      </c>
      <c r="I671" s="1" t="s">
        <v>2256</v>
      </c>
      <c r="J671" s="1" t="s">
        <v>2882</v>
      </c>
      <c r="M671" s="38"/>
      <c r="N671" s="38"/>
      <c r="O671" s="38"/>
      <c r="P671" s="38"/>
      <c r="Q671" s="38"/>
      <c r="R671" s="38"/>
      <c r="S671" s="38"/>
      <c r="T671" s="38"/>
      <c r="U671" s="38"/>
      <c r="V671" s="38"/>
      <c r="W671" s="38"/>
      <c r="X671" s="38"/>
      <c r="Y671" s="38"/>
      <c r="Z671" s="38"/>
    </row>
    <row r="672" spans="1:26" ht="15.75" customHeight="1" x14ac:dyDescent="0.2">
      <c r="A672" s="8" t="s">
        <v>1287</v>
      </c>
      <c r="B672" s="1">
        <v>36.091090000000001</v>
      </c>
      <c r="C672" s="1" t="s">
        <v>1587</v>
      </c>
      <c r="D672" s="1" t="s">
        <v>1524</v>
      </c>
      <c r="E672" s="1" t="s">
        <v>2280</v>
      </c>
      <c r="F672" s="1" t="s">
        <v>1560</v>
      </c>
      <c r="G672" s="1" t="s">
        <v>2259</v>
      </c>
      <c r="H672" s="1" t="s">
        <v>2255</v>
      </c>
      <c r="I672" s="1" t="s">
        <v>2256</v>
      </c>
      <c r="J672" s="1" t="s">
        <v>2883</v>
      </c>
      <c r="M672" s="38"/>
      <c r="N672" s="38"/>
      <c r="O672" s="38"/>
      <c r="P672" s="38"/>
      <c r="Q672" s="38"/>
      <c r="R672" s="38"/>
      <c r="S672" s="38"/>
      <c r="T672" s="38"/>
      <c r="U672" s="38"/>
      <c r="V672" s="38"/>
      <c r="W672" s="38"/>
      <c r="X672" s="38"/>
      <c r="Y672" s="38"/>
      <c r="Z672" s="38"/>
    </row>
    <row r="673" spans="1:26" ht="15.75" customHeight="1" x14ac:dyDescent="0.2">
      <c r="A673" s="8" t="s">
        <v>1287</v>
      </c>
      <c r="B673" s="1">
        <v>36.091090000000001</v>
      </c>
      <c r="C673" s="1" t="s">
        <v>1587</v>
      </c>
      <c r="D673" s="1" t="s">
        <v>1524</v>
      </c>
      <c r="E673" s="1" t="s">
        <v>2280</v>
      </c>
      <c r="F673" s="1" t="s">
        <v>1560</v>
      </c>
      <c r="G673" s="1" t="s">
        <v>2254</v>
      </c>
      <c r="H673" s="1" t="s">
        <v>2255</v>
      </c>
      <c r="I673" s="1" t="s">
        <v>2256</v>
      </c>
      <c r="J673" s="1" t="s">
        <v>2884</v>
      </c>
      <c r="M673" s="38"/>
      <c r="N673" s="38"/>
      <c r="O673" s="38"/>
      <c r="P673" s="38"/>
      <c r="Q673" s="38"/>
      <c r="R673" s="38"/>
      <c r="S673" s="38"/>
      <c r="T673" s="38"/>
      <c r="U673" s="38"/>
      <c r="V673" s="38"/>
      <c r="W673" s="38"/>
      <c r="X673" s="38"/>
      <c r="Y673" s="38"/>
      <c r="Z673" s="38"/>
    </row>
    <row r="674" spans="1:26" ht="15.75" customHeight="1" x14ac:dyDescent="0.2">
      <c r="A674" s="8" t="s">
        <v>1287</v>
      </c>
      <c r="B674" s="1">
        <v>36.091090000000001</v>
      </c>
      <c r="C674" s="1" t="s">
        <v>1587</v>
      </c>
      <c r="D674" s="1" t="s">
        <v>1524</v>
      </c>
      <c r="E674" s="1" t="s">
        <v>2280</v>
      </c>
      <c r="F674" s="1" t="s">
        <v>1560</v>
      </c>
      <c r="G674" s="1" t="s">
        <v>2262</v>
      </c>
      <c r="H674" s="1" t="s">
        <v>2255</v>
      </c>
      <c r="I674" s="1" t="s">
        <v>2256</v>
      </c>
      <c r="J674" s="1" t="s">
        <v>2885</v>
      </c>
      <c r="M674" s="38"/>
      <c r="N674" s="38"/>
      <c r="O674" s="38"/>
      <c r="P674" s="38"/>
      <c r="Q674" s="38"/>
      <c r="R674" s="38"/>
      <c r="S674" s="38"/>
      <c r="T674" s="38"/>
      <c r="U674" s="38"/>
      <c r="V674" s="38"/>
      <c r="W674" s="38"/>
      <c r="X674" s="38"/>
      <c r="Y674" s="38"/>
      <c r="Z674" s="38"/>
    </row>
    <row r="675" spans="1:26" ht="15.75" customHeight="1" x14ac:dyDescent="0.2">
      <c r="A675" s="8" t="s">
        <v>1292</v>
      </c>
      <c r="B675" s="1">
        <v>53.627384999999997</v>
      </c>
      <c r="C675" s="1" t="s">
        <v>1523</v>
      </c>
      <c r="D675" s="1" t="s">
        <v>1578</v>
      </c>
      <c r="E675" s="1" t="s">
        <v>2280</v>
      </c>
      <c r="F675" s="1" t="s">
        <v>1528</v>
      </c>
      <c r="G675" s="1" t="s">
        <v>2273</v>
      </c>
      <c r="H675" s="1" t="s">
        <v>2255</v>
      </c>
      <c r="I675" s="1" t="s">
        <v>2274</v>
      </c>
      <c r="J675" s="1" t="s">
        <v>2534</v>
      </c>
      <c r="M675" s="38"/>
      <c r="N675" s="38"/>
      <c r="O675" s="38"/>
      <c r="P675" s="38"/>
      <c r="Q675" s="38"/>
      <c r="R675" s="38"/>
      <c r="S675" s="38"/>
      <c r="T675" s="38"/>
      <c r="U675" s="38"/>
      <c r="V675" s="38"/>
      <c r="W675" s="38"/>
      <c r="X675" s="38"/>
      <c r="Y675" s="38"/>
      <c r="Z675" s="38"/>
    </row>
    <row r="676" spans="1:26" ht="15.75" customHeight="1" x14ac:dyDescent="0.2">
      <c r="A676" s="8" t="s">
        <v>1292</v>
      </c>
      <c r="B676" s="1">
        <v>53.627384999999997</v>
      </c>
      <c r="C676" s="1" t="s">
        <v>1523</v>
      </c>
      <c r="D676" s="1" t="s">
        <v>1578</v>
      </c>
      <c r="E676" s="1" t="s">
        <v>2280</v>
      </c>
      <c r="F676" s="1" t="s">
        <v>1528</v>
      </c>
      <c r="G676" s="1" t="s">
        <v>2557</v>
      </c>
      <c r="H676" s="1" t="s">
        <v>2255</v>
      </c>
      <c r="I676" s="1" t="s">
        <v>2285</v>
      </c>
      <c r="J676" s="1" t="s">
        <v>2705</v>
      </c>
      <c r="M676" s="38"/>
      <c r="N676" s="38"/>
      <c r="O676" s="38"/>
      <c r="P676" s="38"/>
      <c r="Q676" s="38"/>
      <c r="R676" s="38"/>
      <c r="S676" s="38"/>
      <c r="T676" s="38"/>
      <c r="U676" s="38"/>
      <c r="V676" s="38"/>
      <c r="W676" s="38"/>
      <c r="X676" s="38"/>
      <c r="Y676" s="38"/>
      <c r="Z676" s="38"/>
    </row>
    <row r="677" spans="1:26" ht="15.75" customHeight="1" x14ac:dyDescent="0.2">
      <c r="A677" s="8" t="s">
        <v>1292</v>
      </c>
      <c r="B677" s="1">
        <v>53.627384999999997</v>
      </c>
      <c r="C677" s="1" t="s">
        <v>1523</v>
      </c>
      <c r="D677" s="1" t="s">
        <v>1578</v>
      </c>
      <c r="E677" s="1" t="s">
        <v>2280</v>
      </c>
      <c r="F677" s="1" t="s">
        <v>1528</v>
      </c>
      <c r="G677" s="1" t="s">
        <v>2273</v>
      </c>
      <c r="H677" s="1" t="s">
        <v>2255</v>
      </c>
      <c r="I677" s="1" t="s">
        <v>2285</v>
      </c>
      <c r="J677" s="1" t="s">
        <v>2886</v>
      </c>
      <c r="M677" s="38"/>
      <c r="N677" s="38"/>
      <c r="O677" s="38"/>
      <c r="P677" s="38"/>
      <c r="Q677" s="38"/>
      <c r="R677" s="38"/>
      <c r="S677" s="38"/>
      <c r="T677" s="38"/>
      <c r="U677" s="38"/>
      <c r="V677" s="38"/>
      <c r="W677" s="38"/>
      <c r="X677" s="38"/>
      <c r="Y677" s="38"/>
      <c r="Z677" s="38"/>
    </row>
    <row r="678" spans="1:26" ht="15.75" customHeight="1" x14ac:dyDescent="0.2">
      <c r="A678" s="8" t="s">
        <v>1292</v>
      </c>
      <c r="B678" s="1">
        <v>53.627384999999997</v>
      </c>
      <c r="C678" s="1" t="s">
        <v>1523</v>
      </c>
      <c r="D678" s="1" t="s">
        <v>1578</v>
      </c>
      <c r="E678" s="1" t="s">
        <v>2280</v>
      </c>
      <c r="F678" s="1" t="s">
        <v>1528</v>
      </c>
      <c r="G678" s="1" t="s">
        <v>2266</v>
      </c>
      <c r="H678" s="1" t="s">
        <v>2255</v>
      </c>
      <c r="I678" s="1" t="s">
        <v>2256</v>
      </c>
      <c r="J678" s="1" t="s">
        <v>2887</v>
      </c>
      <c r="M678" s="38"/>
      <c r="N678" s="38"/>
      <c r="O678" s="38"/>
      <c r="P678" s="38"/>
      <c r="Q678" s="38"/>
      <c r="R678" s="38"/>
      <c r="S678" s="38"/>
      <c r="T678" s="38"/>
      <c r="U678" s="38"/>
      <c r="V678" s="38"/>
      <c r="W678" s="38"/>
      <c r="X678" s="38"/>
      <c r="Y678" s="38"/>
      <c r="Z678" s="38"/>
    </row>
    <row r="679" spans="1:26" ht="15.75" customHeight="1" x14ac:dyDescent="0.2">
      <c r="A679" s="8" t="s">
        <v>1292</v>
      </c>
      <c r="B679" s="1">
        <v>53.627384999999997</v>
      </c>
      <c r="C679" s="1" t="s">
        <v>1523</v>
      </c>
      <c r="D679" s="1" t="s">
        <v>1578</v>
      </c>
      <c r="E679" s="1" t="s">
        <v>2280</v>
      </c>
      <c r="F679" s="1" t="s">
        <v>1528</v>
      </c>
      <c r="G679" s="1" t="s">
        <v>2418</v>
      </c>
      <c r="H679" s="1" t="s">
        <v>2260</v>
      </c>
      <c r="I679" s="1" t="s">
        <v>2256</v>
      </c>
      <c r="J679" s="1" t="s">
        <v>2888</v>
      </c>
      <c r="M679" s="38"/>
      <c r="N679" s="38"/>
      <c r="O679" s="38"/>
      <c r="P679" s="38"/>
      <c r="Q679" s="38"/>
      <c r="R679" s="38"/>
      <c r="S679" s="38"/>
      <c r="T679" s="38"/>
      <c r="U679" s="38"/>
      <c r="V679" s="38"/>
      <c r="W679" s="38"/>
      <c r="X679" s="38"/>
      <c r="Y679" s="38"/>
      <c r="Z679" s="38"/>
    </row>
    <row r="680" spans="1:26" ht="15.75" customHeight="1" x14ac:dyDescent="0.2">
      <c r="A680" s="8" t="s">
        <v>1292</v>
      </c>
      <c r="B680" s="1">
        <v>53.627384999999997</v>
      </c>
      <c r="C680" s="1" t="s">
        <v>1523</v>
      </c>
      <c r="D680" s="1" t="s">
        <v>1578</v>
      </c>
      <c r="E680" s="1" t="s">
        <v>2280</v>
      </c>
      <c r="F680" s="1" t="s">
        <v>1528</v>
      </c>
      <c r="G680" s="1" t="s">
        <v>2416</v>
      </c>
      <c r="H680" s="1" t="s">
        <v>2260</v>
      </c>
      <c r="I680" s="1" t="s">
        <v>2256</v>
      </c>
      <c r="J680" s="1" t="s">
        <v>2889</v>
      </c>
      <c r="M680" s="38"/>
      <c r="N680" s="38"/>
      <c r="O680" s="38"/>
      <c r="P680" s="38"/>
      <c r="Q680" s="38"/>
      <c r="R680" s="38"/>
      <c r="S680" s="38"/>
      <c r="T680" s="38"/>
      <c r="U680" s="38"/>
      <c r="V680" s="38"/>
      <c r="W680" s="38"/>
      <c r="X680" s="38"/>
      <c r="Y680" s="38"/>
      <c r="Z680" s="38"/>
    </row>
    <row r="681" spans="1:26" ht="15.75" customHeight="1" x14ac:dyDescent="0.2">
      <c r="A681" s="8" t="s">
        <v>1301</v>
      </c>
      <c r="B681" s="1">
        <v>64.469496000000007</v>
      </c>
      <c r="C681" s="1" t="s">
        <v>1587</v>
      </c>
      <c r="D681" s="1" t="s">
        <v>1524</v>
      </c>
      <c r="E681" s="1" t="s">
        <v>2343</v>
      </c>
      <c r="F681" s="1" t="s">
        <v>1528</v>
      </c>
      <c r="G681" s="1" t="s">
        <v>2266</v>
      </c>
      <c r="H681" s="1" t="s">
        <v>2255</v>
      </c>
      <c r="I681" s="1" t="s">
        <v>2256</v>
      </c>
      <c r="J681" s="1" t="s">
        <v>2890</v>
      </c>
      <c r="M681" s="38"/>
      <c r="N681" s="38"/>
      <c r="O681" s="38"/>
      <c r="P681" s="38"/>
      <c r="Q681" s="38"/>
      <c r="R681" s="38"/>
      <c r="S681" s="38"/>
      <c r="T681" s="38"/>
      <c r="U681" s="38"/>
      <c r="V681" s="38"/>
      <c r="W681" s="38"/>
      <c r="X681" s="38"/>
      <c r="Y681" s="38"/>
      <c r="Z681" s="38"/>
    </row>
    <row r="682" spans="1:26" ht="15.75" customHeight="1" x14ac:dyDescent="0.2">
      <c r="A682" s="8" t="s">
        <v>1301</v>
      </c>
      <c r="B682" s="1">
        <v>64.469496000000007</v>
      </c>
      <c r="C682" s="1" t="s">
        <v>1587</v>
      </c>
      <c r="D682" s="1" t="s">
        <v>1524</v>
      </c>
      <c r="E682" s="1" t="s">
        <v>2343</v>
      </c>
      <c r="F682" s="1" t="s">
        <v>1528</v>
      </c>
      <c r="G682" s="1" t="s">
        <v>2660</v>
      </c>
      <c r="H682" s="1" t="s">
        <v>2260</v>
      </c>
      <c r="I682" s="1" t="s">
        <v>2256</v>
      </c>
      <c r="J682" s="1" t="s">
        <v>2891</v>
      </c>
      <c r="M682" s="38"/>
      <c r="N682" s="38"/>
      <c r="O682" s="38"/>
      <c r="P682" s="38"/>
      <c r="Q682" s="38"/>
      <c r="R682" s="38"/>
      <c r="S682" s="38"/>
      <c r="T682" s="38"/>
      <c r="U682" s="38"/>
      <c r="V682" s="38"/>
      <c r="W682" s="38"/>
      <c r="X682" s="38"/>
      <c r="Y682" s="38"/>
      <c r="Z682" s="38"/>
    </row>
    <row r="683" spans="1:26" ht="15.75" customHeight="1" x14ac:dyDescent="0.2">
      <c r="A683" s="8" t="s">
        <v>1305</v>
      </c>
      <c r="B683" s="1">
        <v>18.138634</v>
      </c>
      <c r="C683" s="1" t="s">
        <v>1523</v>
      </c>
      <c r="D683" s="1" t="s">
        <v>1524</v>
      </c>
      <c r="E683" s="1" t="s">
        <v>2280</v>
      </c>
      <c r="F683" s="1" t="s">
        <v>1560</v>
      </c>
      <c r="G683" s="1" t="s">
        <v>2356</v>
      </c>
      <c r="H683" s="1" t="s">
        <v>2255</v>
      </c>
      <c r="I683" s="1" t="s">
        <v>2274</v>
      </c>
      <c r="J683" s="1" t="s">
        <v>2563</v>
      </c>
      <c r="M683" s="38"/>
      <c r="N683" s="38"/>
      <c r="O683" s="38"/>
      <c r="P683" s="38"/>
      <c r="Q683" s="38"/>
      <c r="R683" s="38"/>
      <c r="S683" s="38"/>
      <c r="T683" s="38"/>
      <c r="U683" s="38"/>
      <c r="V683" s="38"/>
      <c r="W683" s="38"/>
      <c r="X683" s="38"/>
      <c r="Y683" s="38"/>
      <c r="Z683" s="38"/>
    </row>
    <row r="684" spans="1:26" ht="15.75" customHeight="1" x14ac:dyDescent="0.2">
      <c r="A684" s="8" t="s">
        <v>1308</v>
      </c>
      <c r="B684" s="1">
        <v>42</v>
      </c>
      <c r="C684" s="1" t="s">
        <v>1523</v>
      </c>
      <c r="D684" s="1" t="s">
        <v>1524</v>
      </c>
      <c r="E684" s="1" t="s">
        <v>2280</v>
      </c>
      <c r="F684" s="1" t="s">
        <v>1560</v>
      </c>
      <c r="G684" s="1" t="s">
        <v>2282</v>
      </c>
      <c r="H684" s="1" t="s">
        <v>2260</v>
      </c>
      <c r="I684" s="1" t="s">
        <v>2256</v>
      </c>
      <c r="J684" s="1" t="s">
        <v>2892</v>
      </c>
      <c r="M684" s="38"/>
      <c r="N684" s="38"/>
      <c r="O684" s="38"/>
      <c r="P684" s="38"/>
      <c r="Q684" s="38"/>
      <c r="R684" s="38"/>
      <c r="S684" s="38"/>
      <c r="T684" s="38"/>
      <c r="U684" s="38"/>
      <c r="V684" s="38"/>
      <c r="W684" s="38"/>
      <c r="X684" s="38"/>
      <c r="Y684" s="38"/>
      <c r="Z684" s="38"/>
    </row>
    <row r="685" spans="1:26" ht="15.75" customHeight="1" x14ac:dyDescent="0.2">
      <c r="A685" s="8" t="s">
        <v>1308</v>
      </c>
      <c r="B685" s="1">
        <v>42</v>
      </c>
      <c r="C685" s="1" t="s">
        <v>1523</v>
      </c>
      <c r="D685" s="1" t="s">
        <v>1524</v>
      </c>
      <c r="E685" s="1" t="s">
        <v>2280</v>
      </c>
      <c r="F685" s="1" t="s">
        <v>1560</v>
      </c>
      <c r="G685" s="1" t="s">
        <v>2287</v>
      </c>
      <c r="H685" s="1" t="s">
        <v>2260</v>
      </c>
      <c r="I685" s="1" t="s">
        <v>2256</v>
      </c>
      <c r="J685" s="1" t="s">
        <v>2893</v>
      </c>
      <c r="M685" s="38"/>
      <c r="N685" s="38"/>
      <c r="O685" s="38"/>
      <c r="P685" s="38"/>
      <c r="Q685" s="38"/>
      <c r="R685" s="38"/>
      <c r="S685" s="38"/>
      <c r="T685" s="38"/>
      <c r="U685" s="38"/>
      <c r="V685" s="38"/>
      <c r="W685" s="38"/>
      <c r="X685" s="38"/>
      <c r="Y685" s="38"/>
      <c r="Z685" s="38"/>
    </row>
    <row r="686" spans="1:26" ht="15.75" customHeight="1" x14ac:dyDescent="0.2">
      <c r="A686" s="8" t="s">
        <v>1312</v>
      </c>
      <c r="B686" s="1">
        <v>75.470406999999994</v>
      </c>
      <c r="C686" s="1" t="s">
        <v>1587</v>
      </c>
      <c r="D686" s="1" t="s">
        <v>1524</v>
      </c>
      <c r="E686" s="1" t="s">
        <v>2280</v>
      </c>
      <c r="F686" s="1" t="s">
        <v>1528</v>
      </c>
      <c r="G686" s="1" t="s">
        <v>2273</v>
      </c>
      <c r="H686" s="1" t="s">
        <v>2255</v>
      </c>
      <c r="I686" s="1" t="s">
        <v>2285</v>
      </c>
      <c r="J686" s="1" t="s">
        <v>2656</v>
      </c>
      <c r="M686" s="38"/>
      <c r="N686" s="38"/>
      <c r="O686" s="38"/>
      <c r="P686" s="38"/>
      <c r="Q686" s="38"/>
      <c r="R686" s="38"/>
      <c r="S686" s="38"/>
      <c r="T686" s="38"/>
      <c r="U686" s="38"/>
      <c r="V686" s="38"/>
      <c r="W686" s="38"/>
      <c r="X686" s="38"/>
      <c r="Y686" s="38"/>
      <c r="Z686" s="38"/>
    </row>
    <row r="687" spans="1:26" ht="15.75" customHeight="1" x14ac:dyDescent="0.2">
      <c r="A687" s="8" t="s">
        <v>1312</v>
      </c>
      <c r="B687" s="1">
        <v>75.470406999999994</v>
      </c>
      <c r="C687" s="1" t="s">
        <v>1587</v>
      </c>
      <c r="D687" s="1" t="s">
        <v>1524</v>
      </c>
      <c r="E687" s="1" t="s">
        <v>2280</v>
      </c>
      <c r="F687" s="1" t="s">
        <v>1528</v>
      </c>
      <c r="G687" s="1" t="s">
        <v>2266</v>
      </c>
      <c r="H687" s="1" t="s">
        <v>2255</v>
      </c>
      <c r="I687" s="1" t="s">
        <v>2256</v>
      </c>
      <c r="J687" s="1" t="s">
        <v>2894</v>
      </c>
      <c r="M687" s="38"/>
      <c r="N687" s="38"/>
      <c r="O687" s="38"/>
      <c r="P687" s="38"/>
      <c r="Q687" s="38"/>
      <c r="R687" s="38"/>
      <c r="S687" s="38"/>
      <c r="T687" s="38"/>
      <c r="U687" s="38"/>
      <c r="V687" s="38"/>
      <c r="W687" s="38"/>
      <c r="X687" s="38"/>
      <c r="Y687" s="38"/>
      <c r="Z687" s="38"/>
    </row>
    <row r="688" spans="1:26" ht="15.75" customHeight="1" x14ac:dyDescent="0.2">
      <c r="A688" s="8" t="s">
        <v>1312</v>
      </c>
      <c r="B688" s="1">
        <v>75.470406999999994</v>
      </c>
      <c r="C688" s="1" t="s">
        <v>1587</v>
      </c>
      <c r="D688" s="1" t="s">
        <v>1524</v>
      </c>
      <c r="E688" s="1" t="s">
        <v>2280</v>
      </c>
      <c r="F688" s="1" t="s">
        <v>1528</v>
      </c>
      <c r="G688" s="1" t="s">
        <v>2302</v>
      </c>
      <c r="H688" s="1" t="s">
        <v>2260</v>
      </c>
      <c r="I688" s="1" t="s">
        <v>2285</v>
      </c>
      <c r="J688" s="1" t="s">
        <v>2895</v>
      </c>
      <c r="M688" s="38"/>
      <c r="N688" s="38"/>
      <c r="O688" s="38"/>
      <c r="P688" s="38"/>
      <c r="Q688" s="38"/>
      <c r="R688" s="38"/>
      <c r="S688" s="38"/>
      <c r="T688" s="38"/>
      <c r="U688" s="38"/>
      <c r="V688" s="38"/>
      <c r="W688" s="38"/>
      <c r="X688" s="38"/>
      <c r="Y688" s="38"/>
      <c r="Z688" s="38"/>
    </row>
    <row r="689" spans="1:26" ht="15.75" customHeight="1" x14ac:dyDescent="0.2">
      <c r="A689" s="8" t="s">
        <v>1312</v>
      </c>
      <c r="B689" s="1">
        <v>75.470406999999994</v>
      </c>
      <c r="C689" s="1" t="s">
        <v>1587</v>
      </c>
      <c r="D689" s="1" t="s">
        <v>1524</v>
      </c>
      <c r="E689" s="1" t="s">
        <v>2280</v>
      </c>
      <c r="F689" s="1" t="s">
        <v>1528</v>
      </c>
      <c r="G689" s="1" t="s">
        <v>2557</v>
      </c>
      <c r="H689" s="1" t="s">
        <v>2260</v>
      </c>
      <c r="I689" s="1" t="s">
        <v>2285</v>
      </c>
      <c r="J689" s="1" t="s">
        <v>2896</v>
      </c>
      <c r="M689" s="38"/>
      <c r="N689" s="38"/>
      <c r="O689" s="38"/>
      <c r="P689" s="38"/>
      <c r="Q689" s="38"/>
      <c r="R689" s="38"/>
      <c r="S689" s="38"/>
      <c r="T689" s="38"/>
      <c r="U689" s="38"/>
      <c r="V689" s="38"/>
      <c r="W689" s="38"/>
      <c r="X689" s="38"/>
      <c r="Y689" s="38"/>
      <c r="Z689" s="38"/>
    </row>
    <row r="690" spans="1:26" ht="15.75" customHeight="1" x14ac:dyDescent="0.2">
      <c r="A690" s="8" t="s">
        <v>1312</v>
      </c>
      <c r="B690" s="1">
        <v>75.470406999999994</v>
      </c>
      <c r="C690" s="1" t="s">
        <v>1587</v>
      </c>
      <c r="D690" s="1" t="s">
        <v>1524</v>
      </c>
      <c r="E690" s="1" t="s">
        <v>2280</v>
      </c>
      <c r="F690" s="1" t="s">
        <v>1528</v>
      </c>
      <c r="G690" s="1" t="s">
        <v>2273</v>
      </c>
      <c r="H690" s="1" t="s">
        <v>2260</v>
      </c>
      <c r="I690" s="1" t="s">
        <v>2256</v>
      </c>
      <c r="J690" s="1" t="s">
        <v>2897</v>
      </c>
      <c r="M690" s="38"/>
      <c r="N690" s="38"/>
      <c r="O690" s="38"/>
      <c r="P690" s="38"/>
      <c r="Q690" s="38"/>
      <c r="R690" s="38"/>
      <c r="S690" s="38"/>
      <c r="T690" s="38"/>
      <c r="U690" s="38"/>
      <c r="V690" s="38"/>
      <c r="W690" s="38"/>
      <c r="X690" s="38"/>
      <c r="Y690" s="38"/>
      <c r="Z690" s="38"/>
    </row>
    <row r="691" spans="1:26" ht="15.75" customHeight="1" x14ac:dyDescent="0.2">
      <c r="A691" s="8" t="s">
        <v>1312</v>
      </c>
      <c r="B691" s="1">
        <v>75.470406999999994</v>
      </c>
      <c r="C691" s="1" t="s">
        <v>1587</v>
      </c>
      <c r="D691" s="1" t="s">
        <v>1524</v>
      </c>
      <c r="E691" s="1" t="s">
        <v>2280</v>
      </c>
      <c r="F691" s="1" t="s">
        <v>1528</v>
      </c>
      <c r="G691" s="1" t="s">
        <v>2273</v>
      </c>
      <c r="H691" s="1" t="s">
        <v>2260</v>
      </c>
      <c r="I691" s="1" t="s">
        <v>2256</v>
      </c>
      <c r="J691" s="1" t="s">
        <v>2898</v>
      </c>
      <c r="M691" s="38"/>
      <c r="N691" s="38"/>
      <c r="O691" s="38"/>
      <c r="P691" s="38"/>
      <c r="Q691" s="38"/>
      <c r="R691" s="38"/>
      <c r="S691" s="38"/>
      <c r="T691" s="38"/>
      <c r="U691" s="38"/>
      <c r="V691" s="38"/>
      <c r="W691" s="38"/>
      <c r="X691" s="38"/>
      <c r="Y691" s="38"/>
      <c r="Z691" s="38"/>
    </row>
    <row r="692" spans="1:26" ht="15.75" customHeight="1" x14ac:dyDescent="0.2">
      <c r="A692" s="8" t="s">
        <v>1312</v>
      </c>
      <c r="B692" s="1">
        <v>75.470406999999994</v>
      </c>
      <c r="C692" s="1" t="s">
        <v>1587</v>
      </c>
      <c r="D692" s="1" t="s">
        <v>1524</v>
      </c>
      <c r="E692" s="1" t="s">
        <v>2280</v>
      </c>
      <c r="F692" s="1" t="s">
        <v>1528</v>
      </c>
      <c r="G692" s="1" t="s">
        <v>2299</v>
      </c>
      <c r="H692" s="1" t="s">
        <v>2260</v>
      </c>
      <c r="I692" s="1" t="s">
        <v>2285</v>
      </c>
      <c r="J692" s="1" t="s">
        <v>2899</v>
      </c>
      <c r="M692" s="38"/>
      <c r="N692" s="38"/>
      <c r="O692" s="38"/>
      <c r="P692" s="38"/>
      <c r="Q692" s="38"/>
      <c r="R692" s="38"/>
      <c r="S692" s="38"/>
      <c r="T692" s="38"/>
      <c r="U692" s="38"/>
      <c r="V692" s="38"/>
      <c r="W692" s="38"/>
      <c r="X692" s="38"/>
      <c r="Y692" s="38"/>
      <c r="Z692" s="38"/>
    </row>
    <row r="693" spans="1:26" ht="15.75" customHeight="1" x14ac:dyDescent="0.2">
      <c r="A693" s="8" t="s">
        <v>1320</v>
      </c>
      <c r="B693" s="1">
        <v>33.991115000000001</v>
      </c>
      <c r="C693" s="1" t="s">
        <v>1587</v>
      </c>
      <c r="D693" s="1" t="s">
        <v>1524</v>
      </c>
      <c r="E693" s="1" t="s">
        <v>2280</v>
      </c>
      <c r="F693" s="1" t="s">
        <v>1560</v>
      </c>
      <c r="G693" s="1" t="s">
        <v>2259</v>
      </c>
      <c r="H693" s="1" t="s">
        <v>2255</v>
      </c>
      <c r="I693" s="1" t="s">
        <v>2256</v>
      </c>
      <c r="J693" s="1" t="s">
        <v>2900</v>
      </c>
      <c r="M693" s="38"/>
      <c r="N693" s="38"/>
      <c r="O693" s="38"/>
      <c r="P693" s="38"/>
      <c r="Q693" s="38"/>
      <c r="R693" s="38"/>
      <c r="S693" s="38"/>
      <c r="T693" s="38"/>
      <c r="U693" s="38"/>
      <c r="V693" s="38"/>
      <c r="W693" s="38"/>
      <c r="X693" s="38"/>
      <c r="Y693" s="38"/>
      <c r="Z693" s="38"/>
    </row>
    <row r="694" spans="1:26" ht="15.75" customHeight="1" x14ac:dyDescent="0.2">
      <c r="A694" s="8" t="s">
        <v>1320</v>
      </c>
      <c r="B694" s="1">
        <v>33.991115000000001</v>
      </c>
      <c r="C694" s="1" t="s">
        <v>1587</v>
      </c>
      <c r="D694" s="1" t="s">
        <v>1524</v>
      </c>
      <c r="E694" s="1" t="s">
        <v>2280</v>
      </c>
      <c r="F694" s="1" t="s">
        <v>1560</v>
      </c>
      <c r="G694" s="1" t="s">
        <v>2254</v>
      </c>
      <c r="H694" s="1" t="s">
        <v>2255</v>
      </c>
      <c r="I694" s="1" t="s">
        <v>2256</v>
      </c>
      <c r="J694" s="1" t="s">
        <v>2827</v>
      </c>
      <c r="M694" s="38"/>
      <c r="N694" s="38"/>
      <c r="O694" s="38"/>
      <c r="P694" s="38"/>
      <c r="Q694" s="38"/>
      <c r="R694" s="38"/>
      <c r="S694" s="38"/>
      <c r="T694" s="38"/>
      <c r="U694" s="38"/>
      <c r="V694" s="38"/>
      <c r="W694" s="38"/>
      <c r="X694" s="38"/>
      <c r="Y694" s="38"/>
      <c r="Z694" s="38"/>
    </row>
    <row r="695" spans="1:26" ht="15.75" customHeight="1" x14ac:dyDescent="0.2">
      <c r="A695" s="8" t="s">
        <v>1320</v>
      </c>
      <c r="B695" s="1">
        <v>33.991115000000001</v>
      </c>
      <c r="C695" s="1" t="s">
        <v>1587</v>
      </c>
      <c r="D695" s="1" t="s">
        <v>1524</v>
      </c>
      <c r="E695" s="1" t="s">
        <v>2280</v>
      </c>
      <c r="F695" s="1" t="s">
        <v>1560</v>
      </c>
      <c r="G695" s="1" t="s">
        <v>2262</v>
      </c>
      <c r="H695" s="1" t="s">
        <v>2260</v>
      </c>
      <c r="I695" s="1" t="s">
        <v>2256</v>
      </c>
      <c r="J695" s="1" t="s">
        <v>2901</v>
      </c>
      <c r="M695" s="38"/>
      <c r="N695" s="38"/>
      <c r="O695" s="38"/>
      <c r="P695" s="38"/>
      <c r="Q695" s="38"/>
      <c r="R695" s="38"/>
      <c r="S695" s="38"/>
      <c r="T695" s="38"/>
      <c r="U695" s="38"/>
      <c r="V695" s="38"/>
      <c r="W695" s="38"/>
      <c r="X695" s="38"/>
      <c r="Y695" s="38"/>
      <c r="Z695" s="38"/>
    </row>
    <row r="696" spans="1:26" ht="15.75" customHeight="1" x14ac:dyDescent="0.2">
      <c r="A696" s="8" t="s">
        <v>1325</v>
      </c>
      <c r="B696" s="1">
        <v>0.64888400000000002</v>
      </c>
      <c r="C696" s="1" t="s">
        <v>1587</v>
      </c>
      <c r="D696" s="1" t="s">
        <v>1524</v>
      </c>
      <c r="E696" s="1" t="s">
        <v>2280</v>
      </c>
      <c r="F696" s="1" t="s">
        <v>1528</v>
      </c>
      <c r="G696" s="1" t="s">
        <v>2273</v>
      </c>
      <c r="H696" s="1" t="s">
        <v>2255</v>
      </c>
      <c r="I696" s="1" t="s">
        <v>2285</v>
      </c>
      <c r="J696" s="1" t="s">
        <v>2902</v>
      </c>
      <c r="M696" s="38"/>
      <c r="N696" s="38"/>
      <c r="O696" s="38"/>
      <c r="P696" s="38"/>
      <c r="Q696" s="38"/>
      <c r="R696" s="38"/>
      <c r="S696" s="38"/>
      <c r="T696" s="38"/>
      <c r="U696" s="38"/>
      <c r="V696" s="38"/>
      <c r="W696" s="38"/>
      <c r="X696" s="38"/>
      <c r="Y696" s="38"/>
      <c r="Z696" s="38"/>
    </row>
    <row r="697" spans="1:26" ht="15.75" customHeight="1" x14ac:dyDescent="0.2">
      <c r="A697" s="8" t="s">
        <v>1325</v>
      </c>
      <c r="B697" s="1">
        <v>0.64888400000000002</v>
      </c>
      <c r="C697" s="1" t="s">
        <v>1587</v>
      </c>
      <c r="D697" s="1" t="s">
        <v>1524</v>
      </c>
      <c r="E697" s="1" t="s">
        <v>2280</v>
      </c>
      <c r="F697" s="1" t="s">
        <v>1528</v>
      </c>
      <c r="G697" s="1" t="s">
        <v>2287</v>
      </c>
      <c r="H697" s="1" t="s">
        <v>2260</v>
      </c>
      <c r="I697" s="1" t="s">
        <v>2256</v>
      </c>
      <c r="J697" s="1" t="s">
        <v>2903</v>
      </c>
      <c r="M697" s="38"/>
      <c r="N697" s="38"/>
      <c r="O697" s="38"/>
      <c r="P697" s="38"/>
      <c r="Q697" s="38"/>
      <c r="R697" s="38"/>
      <c r="S697" s="38"/>
      <c r="T697" s="38"/>
      <c r="U697" s="38"/>
      <c r="V697" s="38"/>
      <c r="W697" s="38"/>
      <c r="X697" s="38"/>
      <c r="Y697" s="38"/>
      <c r="Z697" s="38"/>
    </row>
    <row r="698" spans="1:26" ht="15.75" customHeight="1" x14ac:dyDescent="0.2">
      <c r="A698" s="8" t="s">
        <v>1333</v>
      </c>
      <c r="B698" s="1">
        <v>24.498792000000002</v>
      </c>
      <c r="C698" s="1" t="s">
        <v>1523</v>
      </c>
      <c r="D698" s="1" t="s">
        <v>1524</v>
      </c>
      <c r="E698" s="1" t="s">
        <v>2253</v>
      </c>
      <c r="F698" s="1" t="s">
        <v>1546</v>
      </c>
      <c r="G698" s="1" t="s">
        <v>2290</v>
      </c>
      <c r="H698" s="1" t="s">
        <v>2255</v>
      </c>
      <c r="I698" s="1" t="s">
        <v>2256</v>
      </c>
      <c r="J698" s="1" t="s">
        <v>2904</v>
      </c>
      <c r="M698" s="38"/>
      <c r="N698" s="38"/>
      <c r="O698" s="38"/>
      <c r="P698" s="38"/>
      <c r="Q698" s="38"/>
      <c r="R698" s="38"/>
      <c r="S698" s="38"/>
      <c r="T698" s="38"/>
      <c r="U698" s="38"/>
      <c r="V698" s="38"/>
      <c r="W698" s="38"/>
      <c r="X698" s="38"/>
      <c r="Y698" s="38"/>
      <c r="Z698" s="38"/>
    </row>
    <row r="699" spans="1:26" ht="15.75" customHeight="1" x14ac:dyDescent="0.2">
      <c r="A699" s="8" t="s">
        <v>1336</v>
      </c>
      <c r="B699" s="1">
        <v>35.039734000000003</v>
      </c>
      <c r="C699" s="1" t="s">
        <v>1587</v>
      </c>
      <c r="D699" s="1" t="s">
        <v>1524</v>
      </c>
      <c r="E699" s="1" t="s">
        <v>2280</v>
      </c>
      <c r="F699" s="1" t="s">
        <v>1601</v>
      </c>
      <c r="G699" s="1" t="s">
        <v>2254</v>
      </c>
      <c r="H699" s="1" t="s">
        <v>2255</v>
      </c>
      <c r="I699" s="1" t="s">
        <v>2256</v>
      </c>
      <c r="J699" s="1" t="s">
        <v>2905</v>
      </c>
      <c r="M699" s="38"/>
      <c r="N699" s="38"/>
      <c r="O699" s="38"/>
      <c r="P699" s="38"/>
      <c r="Q699" s="38"/>
      <c r="R699" s="38"/>
      <c r="S699" s="38"/>
      <c r="T699" s="38"/>
      <c r="U699" s="38"/>
      <c r="V699" s="38"/>
      <c r="W699" s="38"/>
      <c r="X699" s="38"/>
      <c r="Y699" s="38"/>
      <c r="Z699" s="38"/>
    </row>
    <row r="700" spans="1:26" ht="15.75" customHeight="1" x14ac:dyDescent="0.2">
      <c r="A700" s="8" t="s">
        <v>1336</v>
      </c>
      <c r="B700" s="1">
        <v>35.039734000000003</v>
      </c>
      <c r="C700" s="1" t="s">
        <v>1587</v>
      </c>
      <c r="D700" s="1" t="s">
        <v>1524</v>
      </c>
      <c r="E700" s="1" t="s">
        <v>2280</v>
      </c>
      <c r="F700" s="1" t="s">
        <v>1601</v>
      </c>
      <c r="G700" s="1" t="s">
        <v>2266</v>
      </c>
      <c r="H700" s="1" t="s">
        <v>2255</v>
      </c>
      <c r="I700" s="1" t="s">
        <v>2256</v>
      </c>
      <c r="J700" s="1" t="s">
        <v>2906</v>
      </c>
      <c r="M700" s="38"/>
      <c r="N700" s="38"/>
      <c r="O700" s="38"/>
      <c r="P700" s="38"/>
      <c r="Q700" s="38"/>
      <c r="R700" s="38"/>
      <c r="S700" s="38"/>
      <c r="T700" s="38"/>
      <c r="U700" s="38"/>
      <c r="V700" s="38"/>
      <c r="W700" s="38"/>
      <c r="X700" s="38"/>
      <c r="Y700" s="38"/>
      <c r="Z700" s="38"/>
    </row>
    <row r="701" spans="1:26" ht="15.75" customHeight="1" x14ac:dyDescent="0.2">
      <c r="A701" s="8" t="s">
        <v>1341</v>
      </c>
      <c r="B701" s="1">
        <v>41.517622000000003</v>
      </c>
      <c r="C701" s="1" t="s">
        <v>1523</v>
      </c>
      <c r="D701" s="1" t="s">
        <v>1524</v>
      </c>
      <c r="E701" s="1" t="s">
        <v>2280</v>
      </c>
      <c r="F701" s="1" t="s">
        <v>1528</v>
      </c>
      <c r="G701" s="1" t="s">
        <v>2273</v>
      </c>
      <c r="H701" s="1" t="s">
        <v>2260</v>
      </c>
      <c r="I701" s="1" t="s">
        <v>2256</v>
      </c>
      <c r="J701" s="1" t="s">
        <v>2907</v>
      </c>
      <c r="M701" s="38"/>
      <c r="N701" s="38"/>
      <c r="O701" s="38"/>
      <c r="P701" s="38"/>
      <c r="Q701" s="38"/>
      <c r="R701" s="38"/>
      <c r="S701" s="38"/>
      <c r="T701" s="38"/>
      <c r="U701" s="38"/>
      <c r="V701" s="38"/>
      <c r="W701" s="38"/>
      <c r="X701" s="38"/>
      <c r="Y701" s="38"/>
      <c r="Z701" s="38"/>
    </row>
    <row r="702" spans="1:26" ht="15.75" customHeight="1" x14ac:dyDescent="0.2">
      <c r="A702" s="8" t="s">
        <v>1341</v>
      </c>
      <c r="B702" s="1">
        <v>41.517622000000003</v>
      </c>
      <c r="C702" s="1" t="s">
        <v>1523</v>
      </c>
      <c r="D702" s="1" t="s">
        <v>1524</v>
      </c>
      <c r="E702" s="1" t="s">
        <v>2280</v>
      </c>
      <c r="F702" s="1" t="s">
        <v>1528</v>
      </c>
      <c r="G702" s="1" t="s">
        <v>2287</v>
      </c>
      <c r="H702" s="1" t="s">
        <v>2260</v>
      </c>
      <c r="I702" s="1" t="s">
        <v>2256</v>
      </c>
      <c r="J702" s="1" t="s">
        <v>2908</v>
      </c>
      <c r="M702" s="38"/>
      <c r="N702" s="38"/>
      <c r="O702" s="38"/>
      <c r="P702" s="38"/>
      <c r="Q702" s="38"/>
      <c r="R702" s="38"/>
      <c r="S702" s="38"/>
      <c r="T702" s="38"/>
      <c r="U702" s="38"/>
      <c r="V702" s="38"/>
      <c r="W702" s="38"/>
      <c r="X702" s="38"/>
      <c r="Y702" s="38"/>
      <c r="Z702" s="38"/>
    </row>
    <row r="703" spans="1:26" ht="15.75" customHeight="1" x14ac:dyDescent="0.2">
      <c r="A703" s="8" t="s">
        <v>1341</v>
      </c>
      <c r="B703" s="1">
        <v>41.517622000000003</v>
      </c>
      <c r="C703" s="1" t="s">
        <v>1523</v>
      </c>
      <c r="D703" s="1" t="s">
        <v>1524</v>
      </c>
      <c r="E703" s="1" t="s">
        <v>2280</v>
      </c>
      <c r="F703" s="1" t="s">
        <v>1528</v>
      </c>
      <c r="G703" s="1" t="s">
        <v>2660</v>
      </c>
      <c r="H703" s="1" t="s">
        <v>2260</v>
      </c>
      <c r="I703" s="1" t="s">
        <v>2256</v>
      </c>
      <c r="J703" s="1" t="s">
        <v>2909</v>
      </c>
      <c r="M703" s="38"/>
      <c r="N703" s="38"/>
      <c r="O703" s="38"/>
      <c r="P703" s="38"/>
      <c r="Q703" s="38"/>
      <c r="R703" s="38"/>
      <c r="S703" s="38"/>
      <c r="T703" s="38"/>
      <c r="U703" s="38"/>
      <c r="V703" s="38"/>
      <c r="W703" s="38"/>
      <c r="X703" s="38"/>
      <c r="Y703" s="38"/>
      <c r="Z703" s="38"/>
    </row>
    <row r="704" spans="1:26" ht="15.75" customHeight="1" x14ac:dyDescent="0.2">
      <c r="A704" s="8" t="s">
        <v>1341</v>
      </c>
      <c r="B704" s="1">
        <v>41.517622000000003</v>
      </c>
      <c r="C704" s="1" t="s">
        <v>1523</v>
      </c>
      <c r="D704" s="1" t="s">
        <v>1524</v>
      </c>
      <c r="E704" s="1" t="s">
        <v>2280</v>
      </c>
      <c r="F704" s="1" t="s">
        <v>1528</v>
      </c>
      <c r="G704" s="1" t="s">
        <v>2431</v>
      </c>
      <c r="H704" s="1" t="s">
        <v>2260</v>
      </c>
      <c r="I704" s="1" t="s">
        <v>2256</v>
      </c>
      <c r="J704" s="1" t="s">
        <v>2910</v>
      </c>
      <c r="M704" s="38"/>
      <c r="N704" s="38"/>
      <c r="O704" s="38"/>
      <c r="P704" s="38"/>
      <c r="Q704" s="38"/>
      <c r="R704" s="38"/>
      <c r="S704" s="38"/>
      <c r="T704" s="38"/>
      <c r="U704" s="38"/>
      <c r="V704" s="38"/>
      <c r="W704" s="38"/>
      <c r="X704" s="38"/>
      <c r="Y704" s="38"/>
      <c r="Z704" s="38"/>
    </row>
    <row r="705" spans="1:26" ht="15.75" customHeight="1" x14ac:dyDescent="0.2">
      <c r="A705" s="8" t="s">
        <v>1341</v>
      </c>
      <c r="B705" s="1">
        <v>41.517622000000003</v>
      </c>
      <c r="C705" s="1" t="s">
        <v>1523</v>
      </c>
      <c r="D705" s="1" t="s">
        <v>1524</v>
      </c>
      <c r="E705" s="1" t="s">
        <v>2280</v>
      </c>
      <c r="F705" s="1" t="s">
        <v>1528</v>
      </c>
      <c r="G705" s="1" t="s">
        <v>2295</v>
      </c>
      <c r="H705" s="1" t="s">
        <v>2260</v>
      </c>
      <c r="I705" s="1" t="s">
        <v>2285</v>
      </c>
      <c r="J705" s="1" t="s">
        <v>2911</v>
      </c>
      <c r="M705" s="38"/>
      <c r="N705" s="38"/>
      <c r="O705" s="38"/>
      <c r="P705" s="38"/>
      <c r="Q705" s="38"/>
      <c r="R705" s="38"/>
      <c r="S705" s="38"/>
      <c r="T705" s="38"/>
      <c r="U705" s="38"/>
      <c r="V705" s="38"/>
      <c r="W705" s="38"/>
      <c r="X705" s="38"/>
      <c r="Y705" s="38"/>
      <c r="Z705" s="38"/>
    </row>
    <row r="706" spans="1:26" ht="15.75" customHeight="1" x14ac:dyDescent="0.2">
      <c r="A706" s="8" t="s">
        <v>1341</v>
      </c>
      <c r="B706" s="1">
        <v>41.517622000000003</v>
      </c>
      <c r="C706" s="1" t="s">
        <v>1523</v>
      </c>
      <c r="D706" s="1" t="s">
        <v>1524</v>
      </c>
      <c r="E706" s="1" t="s">
        <v>2280</v>
      </c>
      <c r="F706" s="1" t="s">
        <v>1528</v>
      </c>
      <c r="G706" s="1" t="s">
        <v>2297</v>
      </c>
      <c r="H706" s="1" t="s">
        <v>2260</v>
      </c>
      <c r="I706" s="1" t="s">
        <v>2285</v>
      </c>
      <c r="J706" s="1" t="s">
        <v>2912</v>
      </c>
      <c r="M706" s="38"/>
      <c r="N706" s="38"/>
      <c r="O706" s="38"/>
      <c r="P706" s="38"/>
      <c r="Q706" s="38"/>
      <c r="R706" s="38"/>
      <c r="S706" s="38"/>
      <c r="T706" s="38"/>
      <c r="U706" s="38"/>
      <c r="V706" s="38"/>
      <c r="W706" s="38"/>
      <c r="X706" s="38"/>
      <c r="Y706" s="38"/>
      <c r="Z706" s="38"/>
    </row>
    <row r="707" spans="1:26" ht="15.75" customHeight="1" x14ac:dyDescent="0.2">
      <c r="A707" s="8" t="s">
        <v>1350</v>
      </c>
      <c r="B707" s="1">
        <v>24.268808</v>
      </c>
      <c r="C707" s="1" t="s">
        <v>1523</v>
      </c>
      <c r="D707" s="1" t="s">
        <v>1578</v>
      </c>
      <c r="E707" s="1" t="s">
        <v>2280</v>
      </c>
      <c r="F707" s="1" t="s">
        <v>1560</v>
      </c>
      <c r="G707" s="1" t="s">
        <v>2259</v>
      </c>
      <c r="H707" s="1" t="s">
        <v>2255</v>
      </c>
      <c r="I707" s="1" t="s">
        <v>2256</v>
      </c>
      <c r="J707" s="1" t="s">
        <v>2913</v>
      </c>
      <c r="M707" s="38"/>
      <c r="N707" s="38"/>
      <c r="O707" s="38"/>
      <c r="P707" s="38"/>
      <c r="Q707" s="38"/>
      <c r="R707" s="38"/>
      <c r="S707" s="38"/>
      <c r="T707" s="38"/>
      <c r="U707" s="38"/>
      <c r="V707" s="38"/>
      <c r="W707" s="38"/>
      <c r="X707" s="38"/>
      <c r="Y707" s="38"/>
      <c r="Z707" s="38"/>
    </row>
    <row r="708" spans="1:26" ht="15.75" customHeight="1" x14ac:dyDescent="0.2">
      <c r="A708" s="8" t="s">
        <v>1350</v>
      </c>
      <c r="B708" s="1">
        <v>24.268808</v>
      </c>
      <c r="C708" s="1" t="s">
        <v>1523</v>
      </c>
      <c r="D708" s="1" t="s">
        <v>1578</v>
      </c>
      <c r="E708" s="1" t="s">
        <v>2280</v>
      </c>
      <c r="F708" s="1" t="s">
        <v>1560</v>
      </c>
      <c r="G708" s="1" t="s">
        <v>2254</v>
      </c>
      <c r="H708" s="1" t="s">
        <v>2255</v>
      </c>
      <c r="I708" s="1" t="s">
        <v>2256</v>
      </c>
      <c r="J708" s="1" t="s">
        <v>2827</v>
      </c>
      <c r="M708" s="38"/>
      <c r="N708" s="38"/>
      <c r="O708" s="38"/>
      <c r="P708" s="38"/>
      <c r="Q708" s="38"/>
      <c r="R708" s="38"/>
      <c r="S708" s="38"/>
      <c r="T708" s="38"/>
      <c r="U708" s="38"/>
      <c r="V708" s="38"/>
      <c r="W708" s="38"/>
      <c r="X708" s="38"/>
      <c r="Y708" s="38"/>
      <c r="Z708" s="38"/>
    </row>
    <row r="709" spans="1:26" ht="15.75" customHeight="1" x14ac:dyDescent="0.2">
      <c r="A709" s="8" t="s">
        <v>1350</v>
      </c>
      <c r="B709" s="1">
        <v>24.268808</v>
      </c>
      <c r="C709" s="1" t="s">
        <v>1523</v>
      </c>
      <c r="D709" s="1" t="s">
        <v>1578</v>
      </c>
      <c r="E709" s="1" t="s">
        <v>2280</v>
      </c>
      <c r="F709" s="1" t="s">
        <v>1560</v>
      </c>
      <c r="G709" s="1" t="s">
        <v>2271</v>
      </c>
      <c r="H709" s="1" t="s">
        <v>2260</v>
      </c>
      <c r="I709" s="1" t="s">
        <v>2256</v>
      </c>
      <c r="J709" s="1" t="s">
        <v>2914</v>
      </c>
      <c r="M709" s="38"/>
      <c r="N709" s="38"/>
      <c r="O709" s="38"/>
      <c r="P709" s="38"/>
      <c r="Q709" s="38"/>
      <c r="R709" s="38"/>
      <c r="S709" s="38"/>
      <c r="T709" s="38"/>
      <c r="U709" s="38"/>
      <c r="V709" s="38"/>
      <c r="W709" s="38"/>
      <c r="X709" s="38"/>
      <c r="Y709" s="38"/>
      <c r="Z709" s="38"/>
    </row>
    <row r="710" spans="1:26" ht="15.75" customHeight="1" x14ac:dyDescent="0.2">
      <c r="A710" s="8" t="s">
        <v>1350</v>
      </c>
      <c r="B710" s="1">
        <v>24.268808</v>
      </c>
      <c r="C710" s="1" t="s">
        <v>1523</v>
      </c>
      <c r="D710" s="1" t="s">
        <v>1578</v>
      </c>
      <c r="E710" s="1" t="s">
        <v>2280</v>
      </c>
      <c r="F710" s="1" t="s">
        <v>1560</v>
      </c>
      <c r="G710" s="1" t="s">
        <v>2262</v>
      </c>
      <c r="H710" s="1" t="s">
        <v>2260</v>
      </c>
      <c r="I710" s="1" t="s">
        <v>2256</v>
      </c>
      <c r="J710" s="1" t="s">
        <v>2915</v>
      </c>
      <c r="M710" s="38"/>
      <c r="N710" s="38"/>
      <c r="O710" s="38"/>
      <c r="P710" s="38"/>
      <c r="Q710" s="38"/>
      <c r="R710" s="38"/>
      <c r="S710" s="38"/>
      <c r="T710" s="38"/>
      <c r="U710" s="38"/>
      <c r="V710" s="38"/>
      <c r="W710" s="38"/>
      <c r="X710" s="38"/>
      <c r="Y710" s="38"/>
      <c r="Z710" s="38"/>
    </row>
    <row r="711" spans="1:26" ht="15.75" customHeight="1" x14ac:dyDescent="0.2">
      <c r="A711" s="8" t="s">
        <v>1350</v>
      </c>
      <c r="B711" s="1">
        <v>24.268808</v>
      </c>
      <c r="C711" s="1" t="s">
        <v>1523</v>
      </c>
      <c r="D711" s="1" t="s">
        <v>1578</v>
      </c>
      <c r="E711" s="1" t="s">
        <v>2280</v>
      </c>
      <c r="F711" s="1" t="s">
        <v>1560</v>
      </c>
      <c r="G711" s="1" t="s">
        <v>2259</v>
      </c>
      <c r="H711" s="1" t="s">
        <v>2263</v>
      </c>
      <c r="I711" s="1" t="s">
        <v>2256</v>
      </c>
      <c r="J711" s="1" t="s">
        <v>2916</v>
      </c>
      <c r="M711" s="38"/>
      <c r="N711" s="38"/>
      <c r="O711" s="38"/>
      <c r="P711" s="38"/>
      <c r="Q711" s="38"/>
      <c r="R711" s="38"/>
      <c r="S711" s="38"/>
      <c r="T711" s="38"/>
      <c r="U711" s="38"/>
      <c r="V711" s="38"/>
      <c r="W711" s="38"/>
      <c r="X711" s="38"/>
      <c r="Y711" s="38"/>
      <c r="Z711" s="38"/>
    </row>
    <row r="712" spans="1:26" ht="15.75" customHeight="1" x14ac:dyDescent="0.2">
      <c r="A712" s="8" t="s">
        <v>1361</v>
      </c>
      <c r="B712" s="1">
        <v>50.325468999999998</v>
      </c>
      <c r="C712" s="1" t="s">
        <v>1587</v>
      </c>
      <c r="D712" s="1" t="s">
        <v>1524</v>
      </c>
      <c r="E712" s="1" t="s">
        <v>2343</v>
      </c>
      <c r="F712" s="1" t="s">
        <v>1560</v>
      </c>
      <c r="G712" s="1" t="s">
        <v>2259</v>
      </c>
      <c r="H712" s="1" t="s">
        <v>2255</v>
      </c>
      <c r="I712" s="1" t="s">
        <v>2256</v>
      </c>
      <c r="J712" s="1" t="s">
        <v>2917</v>
      </c>
      <c r="M712" s="38"/>
      <c r="N712" s="38"/>
      <c r="O712" s="38"/>
      <c r="P712" s="38"/>
      <c r="Q712" s="38"/>
      <c r="R712" s="38"/>
      <c r="S712" s="38"/>
      <c r="T712" s="38"/>
      <c r="U712" s="38"/>
      <c r="V712" s="38"/>
      <c r="W712" s="38"/>
      <c r="X712" s="38"/>
      <c r="Y712" s="38"/>
      <c r="Z712" s="38"/>
    </row>
    <row r="713" spans="1:26" ht="15.75" customHeight="1" x14ac:dyDescent="0.2">
      <c r="A713" s="8" t="s">
        <v>1361</v>
      </c>
      <c r="B713" s="1">
        <v>50.325468999999998</v>
      </c>
      <c r="C713" s="1" t="s">
        <v>1587</v>
      </c>
      <c r="D713" s="1" t="s">
        <v>1524</v>
      </c>
      <c r="E713" s="1" t="s">
        <v>2343</v>
      </c>
      <c r="F713" s="1" t="s">
        <v>1560</v>
      </c>
      <c r="G713" s="1" t="s">
        <v>1363</v>
      </c>
      <c r="H713" s="1" t="s">
        <v>2260</v>
      </c>
      <c r="I713" s="1" t="s">
        <v>2256</v>
      </c>
      <c r="J713" s="1" t="s">
        <v>2918</v>
      </c>
      <c r="M713" s="38"/>
      <c r="N713" s="38"/>
      <c r="O713" s="38"/>
      <c r="P713" s="38"/>
      <c r="Q713" s="38"/>
      <c r="R713" s="38"/>
      <c r="S713" s="38"/>
      <c r="T713" s="38"/>
      <c r="U713" s="38"/>
      <c r="V713" s="38"/>
      <c r="W713" s="38"/>
      <c r="X713" s="38"/>
      <c r="Y713" s="38"/>
      <c r="Z713" s="38"/>
    </row>
    <row r="714" spans="1:26" ht="15.75" customHeight="1" x14ac:dyDescent="0.2">
      <c r="A714" s="8" t="s">
        <v>1361</v>
      </c>
      <c r="B714" s="1">
        <v>50.325468999999998</v>
      </c>
      <c r="C714" s="1" t="s">
        <v>1587</v>
      </c>
      <c r="D714" s="1" t="s">
        <v>1524</v>
      </c>
      <c r="E714" s="1" t="s">
        <v>2343</v>
      </c>
      <c r="F714" s="1" t="s">
        <v>1560</v>
      </c>
      <c r="G714" s="1" t="s">
        <v>1363</v>
      </c>
      <c r="H714" s="1" t="s">
        <v>2260</v>
      </c>
      <c r="I714" s="1" t="s">
        <v>2256</v>
      </c>
      <c r="J714" s="1" t="s">
        <v>2919</v>
      </c>
      <c r="M714" s="38"/>
      <c r="N714" s="38"/>
      <c r="O714" s="38"/>
      <c r="P714" s="38"/>
      <c r="Q714" s="38"/>
      <c r="R714" s="38"/>
      <c r="S714" s="38"/>
      <c r="T714" s="38"/>
      <c r="U714" s="38"/>
      <c r="V714" s="38"/>
      <c r="W714" s="38"/>
      <c r="X714" s="38"/>
      <c r="Y714" s="38"/>
      <c r="Z714" s="38"/>
    </row>
    <row r="715" spans="1:26" ht="15.75" customHeight="1" x14ac:dyDescent="0.2">
      <c r="A715" s="8" t="s">
        <v>1371</v>
      </c>
      <c r="B715" s="1">
        <v>38.667461000000003</v>
      </c>
      <c r="C715" s="1" t="s">
        <v>1587</v>
      </c>
      <c r="D715" s="1" t="s">
        <v>1524</v>
      </c>
      <c r="E715" s="1" t="s">
        <v>2280</v>
      </c>
      <c r="F715" s="1" t="s">
        <v>1601</v>
      </c>
      <c r="G715" s="1" t="s">
        <v>2254</v>
      </c>
      <c r="H715" s="1" t="s">
        <v>2255</v>
      </c>
      <c r="I715" s="1" t="s">
        <v>2256</v>
      </c>
      <c r="J715" s="1" t="s">
        <v>2920</v>
      </c>
      <c r="M715" s="38"/>
      <c r="N715" s="38"/>
      <c r="O715" s="38"/>
      <c r="P715" s="38"/>
      <c r="Q715" s="38"/>
      <c r="R715" s="38"/>
      <c r="S715" s="38"/>
      <c r="T715" s="38"/>
      <c r="U715" s="38"/>
      <c r="V715" s="38"/>
      <c r="W715" s="38"/>
      <c r="X715" s="38"/>
      <c r="Y715" s="38"/>
      <c r="Z715" s="38"/>
    </row>
    <row r="716" spans="1:26" ht="15.75" customHeight="1" x14ac:dyDescent="0.2">
      <c r="A716" s="8" t="s">
        <v>1371</v>
      </c>
      <c r="B716" s="1">
        <v>38.667461000000003</v>
      </c>
      <c r="C716" s="1" t="s">
        <v>1587</v>
      </c>
      <c r="D716" s="1" t="s">
        <v>1524</v>
      </c>
      <c r="E716" s="1" t="s">
        <v>2280</v>
      </c>
      <c r="F716" s="1" t="s">
        <v>1601</v>
      </c>
      <c r="G716" s="1" t="s">
        <v>2266</v>
      </c>
      <c r="H716" s="1" t="s">
        <v>2255</v>
      </c>
      <c r="I716" s="1" t="s">
        <v>2256</v>
      </c>
      <c r="J716" s="1" t="s">
        <v>2921</v>
      </c>
      <c r="M716" s="38"/>
      <c r="N716" s="38"/>
      <c r="O716" s="38"/>
      <c r="P716" s="38"/>
      <c r="Q716" s="38"/>
      <c r="R716" s="38"/>
      <c r="S716" s="38"/>
      <c r="T716" s="38"/>
      <c r="U716" s="38"/>
      <c r="V716" s="38"/>
      <c r="W716" s="38"/>
      <c r="X716" s="38"/>
      <c r="Y716" s="38"/>
      <c r="Z716" s="38"/>
    </row>
    <row r="717" spans="1:26" ht="15.75" customHeight="1" x14ac:dyDescent="0.2">
      <c r="A717" s="8" t="s">
        <v>1376</v>
      </c>
      <c r="B717" s="1">
        <v>70.262907999999996</v>
      </c>
      <c r="C717" s="1" t="s">
        <v>1587</v>
      </c>
      <c r="D717" s="1" t="s">
        <v>1524</v>
      </c>
      <c r="E717" s="1" t="s">
        <v>2253</v>
      </c>
      <c r="F717" s="1" t="s">
        <v>1528</v>
      </c>
      <c r="G717" s="1" t="s">
        <v>2259</v>
      </c>
      <c r="H717" s="1" t="s">
        <v>2255</v>
      </c>
      <c r="I717" s="1" t="s">
        <v>2256</v>
      </c>
      <c r="J717" s="1" t="s">
        <v>2922</v>
      </c>
      <c r="M717" s="38"/>
      <c r="N717" s="38"/>
      <c r="O717" s="38"/>
      <c r="P717" s="38"/>
      <c r="Q717" s="38"/>
      <c r="R717" s="38"/>
      <c r="S717" s="38"/>
      <c r="T717" s="38"/>
      <c r="U717" s="38"/>
      <c r="V717" s="38"/>
      <c r="W717" s="38"/>
      <c r="X717" s="38"/>
      <c r="Y717" s="38"/>
      <c r="Z717" s="38"/>
    </row>
    <row r="718" spans="1:26" ht="15.75" customHeight="1" x14ac:dyDescent="0.2">
      <c r="A718" s="8" t="s">
        <v>1376</v>
      </c>
      <c r="B718" s="1">
        <v>70.262907999999996</v>
      </c>
      <c r="C718" s="1" t="s">
        <v>1587</v>
      </c>
      <c r="D718" s="1" t="s">
        <v>1524</v>
      </c>
      <c r="E718" s="1" t="s">
        <v>2253</v>
      </c>
      <c r="F718" s="1" t="s">
        <v>1528</v>
      </c>
      <c r="G718" s="1" t="s">
        <v>2290</v>
      </c>
      <c r="H718" s="1" t="s">
        <v>2255</v>
      </c>
      <c r="I718" s="1" t="s">
        <v>2256</v>
      </c>
      <c r="J718" s="1" t="s">
        <v>2923</v>
      </c>
      <c r="M718" s="38"/>
      <c r="N718" s="38"/>
      <c r="O718" s="38"/>
      <c r="P718" s="38"/>
      <c r="Q718" s="38"/>
      <c r="R718" s="38"/>
      <c r="S718" s="38"/>
      <c r="T718" s="38"/>
      <c r="U718" s="38"/>
      <c r="V718" s="38"/>
      <c r="W718" s="38"/>
      <c r="X718" s="38"/>
      <c r="Y718" s="38"/>
      <c r="Z718" s="38"/>
    </row>
    <row r="719" spans="1:26" ht="15.75" customHeight="1" x14ac:dyDescent="0.2">
      <c r="A719" s="8" t="s">
        <v>1376</v>
      </c>
      <c r="B719" s="1">
        <v>70.262907999999996</v>
      </c>
      <c r="C719" s="1" t="s">
        <v>1587</v>
      </c>
      <c r="D719" s="1" t="s">
        <v>1524</v>
      </c>
      <c r="E719" s="1" t="s">
        <v>2253</v>
      </c>
      <c r="F719" s="1" t="s">
        <v>1528</v>
      </c>
      <c r="G719" s="1" t="s">
        <v>2262</v>
      </c>
      <c r="H719" s="1" t="s">
        <v>2255</v>
      </c>
      <c r="I719" s="1" t="s">
        <v>2256</v>
      </c>
      <c r="J719" s="1" t="s">
        <v>2924</v>
      </c>
      <c r="M719" s="38"/>
      <c r="N719" s="38"/>
      <c r="O719" s="38"/>
      <c r="P719" s="38"/>
      <c r="Q719" s="38"/>
      <c r="R719" s="38"/>
      <c r="S719" s="38"/>
      <c r="T719" s="38"/>
      <c r="U719" s="38"/>
      <c r="V719" s="38"/>
      <c r="W719" s="38"/>
      <c r="X719" s="38"/>
      <c r="Y719" s="38"/>
      <c r="Z719" s="38"/>
    </row>
    <row r="720" spans="1:26" ht="15.75" customHeight="1" x14ac:dyDescent="0.2">
      <c r="A720" s="8" t="s">
        <v>1383</v>
      </c>
      <c r="B720" s="1">
        <v>34.240265000000001</v>
      </c>
      <c r="C720" s="1" t="s">
        <v>1587</v>
      </c>
      <c r="D720" s="1" t="s">
        <v>1524</v>
      </c>
      <c r="E720" s="1" t="s">
        <v>2280</v>
      </c>
      <c r="F720" s="1" t="s">
        <v>1560</v>
      </c>
      <c r="G720" s="1" t="s">
        <v>2259</v>
      </c>
      <c r="H720" s="1" t="s">
        <v>2255</v>
      </c>
      <c r="I720" s="1" t="s">
        <v>2256</v>
      </c>
      <c r="J720" s="1" t="s">
        <v>2925</v>
      </c>
      <c r="M720" s="38"/>
      <c r="N720" s="38"/>
      <c r="O720" s="38"/>
      <c r="P720" s="38"/>
      <c r="Q720" s="38"/>
      <c r="R720" s="38"/>
      <c r="S720" s="38"/>
      <c r="T720" s="38"/>
      <c r="U720" s="38"/>
      <c r="V720" s="38"/>
      <c r="W720" s="38"/>
      <c r="X720" s="38"/>
      <c r="Y720" s="38"/>
      <c r="Z720" s="38"/>
    </row>
    <row r="721" spans="1:26" ht="15.75" customHeight="1" x14ac:dyDescent="0.2">
      <c r="A721" s="8" t="s">
        <v>1383</v>
      </c>
      <c r="B721" s="1">
        <v>34.240265000000001</v>
      </c>
      <c r="C721" s="1" t="s">
        <v>1587</v>
      </c>
      <c r="D721" s="1" t="s">
        <v>1524</v>
      </c>
      <c r="E721" s="1" t="s">
        <v>2280</v>
      </c>
      <c r="F721" s="1" t="s">
        <v>1560</v>
      </c>
      <c r="G721" s="1" t="s">
        <v>2254</v>
      </c>
      <c r="H721" s="1" t="s">
        <v>2255</v>
      </c>
      <c r="I721" s="1" t="s">
        <v>2256</v>
      </c>
      <c r="J721" s="1" t="s">
        <v>2352</v>
      </c>
      <c r="M721" s="38"/>
      <c r="N721" s="38"/>
      <c r="O721" s="38"/>
      <c r="P721" s="38"/>
      <c r="Q721" s="38"/>
      <c r="R721" s="38"/>
      <c r="S721" s="38"/>
      <c r="T721" s="38"/>
      <c r="U721" s="38"/>
      <c r="V721" s="38"/>
      <c r="W721" s="38"/>
      <c r="X721" s="38"/>
      <c r="Y721" s="38"/>
      <c r="Z721" s="38"/>
    </row>
    <row r="722" spans="1:26" ht="15.75" customHeight="1" x14ac:dyDescent="0.2">
      <c r="A722" s="8" t="s">
        <v>1383</v>
      </c>
      <c r="B722" s="1">
        <v>34.240265000000001</v>
      </c>
      <c r="C722" s="1" t="s">
        <v>1587</v>
      </c>
      <c r="D722" s="1" t="s">
        <v>1524</v>
      </c>
      <c r="E722" s="1" t="s">
        <v>2280</v>
      </c>
      <c r="F722" s="1" t="s">
        <v>1560</v>
      </c>
      <c r="G722" s="1" t="s">
        <v>2299</v>
      </c>
      <c r="H722" s="1" t="s">
        <v>2260</v>
      </c>
      <c r="I722" s="1" t="s">
        <v>2256</v>
      </c>
      <c r="J722" s="1" t="s">
        <v>2926</v>
      </c>
      <c r="M722" s="38"/>
      <c r="N722" s="38"/>
      <c r="O722" s="38"/>
      <c r="P722" s="38"/>
      <c r="Q722" s="38"/>
      <c r="R722" s="38"/>
      <c r="S722" s="38"/>
      <c r="T722" s="38"/>
      <c r="U722" s="38"/>
      <c r="V722" s="38"/>
      <c r="W722" s="38"/>
      <c r="X722" s="38"/>
      <c r="Y722" s="38"/>
      <c r="Z722" s="38"/>
    </row>
    <row r="723" spans="1:26" ht="15.75" customHeight="1" x14ac:dyDescent="0.2">
      <c r="A723" s="8" t="s">
        <v>1383</v>
      </c>
      <c r="B723" s="1">
        <v>34.240265000000001</v>
      </c>
      <c r="C723" s="1" t="s">
        <v>1587</v>
      </c>
      <c r="D723" s="1" t="s">
        <v>1524</v>
      </c>
      <c r="E723" s="1" t="s">
        <v>2280</v>
      </c>
      <c r="F723" s="1" t="s">
        <v>1560</v>
      </c>
      <c r="G723" s="1" t="s">
        <v>2262</v>
      </c>
      <c r="H723" s="1" t="s">
        <v>2260</v>
      </c>
      <c r="I723" s="1" t="s">
        <v>2256</v>
      </c>
      <c r="J723" s="1" t="s">
        <v>2927</v>
      </c>
      <c r="M723" s="38"/>
      <c r="N723" s="38"/>
      <c r="O723" s="38"/>
      <c r="P723" s="38"/>
      <c r="Q723" s="38"/>
      <c r="R723" s="38"/>
      <c r="S723" s="38"/>
      <c r="T723" s="38"/>
      <c r="U723" s="38"/>
      <c r="V723" s="38"/>
      <c r="W723" s="38"/>
      <c r="X723" s="38"/>
      <c r="Y723" s="38"/>
      <c r="Z723" s="38"/>
    </row>
    <row r="724" spans="1:26" ht="15.75" customHeight="1" x14ac:dyDescent="0.2">
      <c r="A724" s="8" t="s">
        <v>1383</v>
      </c>
      <c r="B724" s="1">
        <v>34.240265000000001</v>
      </c>
      <c r="C724" s="1" t="s">
        <v>1587</v>
      </c>
      <c r="D724" s="1" t="s">
        <v>1524</v>
      </c>
      <c r="E724" s="1" t="s">
        <v>2280</v>
      </c>
      <c r="F724" s="1" t="s">
        <v>1560</v>
      </c>
      <c r="G724" s="1" t="s">
        <v>2259</v>
      </c>
      <c r="H724" s="1" t="s">
        <v>2263</v>
      </c>
      <c r="I724" s="1" t="s">
        <v>2256</v>
      </c>
      <c r="J724" s="1" t="s">
        <v>2928</v>
      </c>
      <c r="M724" s="38"/>
      <c r="N724" s="38"/>
      <c r="O724" s="38"/>
      <c r="P724" s="38"/>
      <c r="Q724" s="38"/>
      <c r="R724" s="38"/>
      <c r="S724" s="38"/>
      <c r="T724" s="38"/>
      <c r="U724" s="38"/>
      <c r="V724" s="38"/>
      <c r="W724" s="38"/>
      <c r="X724" s="38"/>
      <c r="Y724" s="38"/>
      <c r="Z724" s="38"/>
    </row>
    <row r="725" spans="1:26" ht="15.75" customHeight="1" x14ac:dyDescent="0.2">
      <c r="A725" s="8" t="s">
        <v>1389</v>
      </c>
      <c r="B725" s="1">
        <v>50.303564999999999</v>
      </c>
      <c r="C725" s="1" t="s">
        <v>1587</v>
      </c>
      <c r="D725" s="1" t="s">
        <v>1524</v>
      </c>
      <c r="E725" s="1" t="s">
        <v>2280</v>
      </c>
      <c r="F725" s="1" t="s">
        <v>1528</v>
      </c>
      <c r="G725" s="1" t="s">
        <v>2344</v>
      </c>
      <c r="H725" s="1" t="s">
        <v>2255</v>
      </c>
      <c r="I725" s="1" t="s">
        <v>2274</v>
      </c>
      <c r="J725" s="1" t="s">
        <v>2929</v>
      </c>
      <c r="M725" s="38"/>
      <c r="N725" s="38"/>
      <c r="O725" s="38"/>
      <c r="P725" s="38"/>
      <c r="Q725" s="38"/>
      <c r="R725" s="38"/>
      <c r="S725" s="38"/>
      <c r="T725" s="38"/>
      <c r="U725" s="38"/>
      <c r="V725" s="38"/>
      <c r="W725" s="38"/>
      <c r="X725" s="38"/>
      <c r="Y725" s="38"/>
      <c r="Z725" s="38"/>
    </row>
    <row r="726" spans="1:26" ht="15.75" customHeight="1" x14ac:dyDescent="0.2">
      <c r="A726" s="8" t="s">
        <v>1389</v>
      </c>
      <c r="B726" s="1">
        <v>50.303564999999999</v>
      </c>
      <c r="C726" s="1" t="s">
        <v>1587</v>
      </c>
      <c r="D726" s="1" t="s">
        <v>1524</v>
      </c>
      <c r="E726" s="1" t="s">
        <v>2280</v>
      </c>
      <c r="F726" s="1" t="s">
        <v>1528</v>
      </c>
      <c r="G726" s="1" t="s">
        <v>2266</v>
      </c>
      <c r="H726" s="1" t="s">
        <v>2255</v>
      </c>
      <c r="I726" s="1" t="s">
        <v>2256</v>
      </c>
      <c r="J726" s="1" t="s">
        <v>2930</v>
      </c>
      <c r="M726" s="38"/>
      <c r="N726" s="38"/>
      <c r="O726" s="38"/>
      <c r="P726" s="38"/>
      <c r="Q726" s="38"/>
      <c r="R726" s="38"/>
      <c r="S726" s="38"/>
      <c r="T726" s="38"/>
      <c r="U726" s="38"/>
      <c r="V726" s="38"/>
      <c r="W726" s="38"/>
      <c r="X726" s="38"/>
      <c r="Y726" s="38"/>
      <c r="Z726" s="38"/>
    </row>
    <row r="727" spans="1:26" ht="15.75" customHeight="1" x14ac:dyDescent="0.2">
      <c r="A727" s="39" t="s">
        <v>1394</v>
      </c>
      <c r="B727" s="40">
        <v>68.584570999999997</v>
      </c>
      <c r="C727" s="40" t="s">
        <v>1523</v>
      </c>
      <c r="D727" s="40" t="s">
        <v>1524</v>
      </c>
      <c r="E727" s="40" t="s">
        <v>2280</v>
      </c>
      <c r="F727" s="40" t="s">
        <v>1528</v>
      </c>
      <c r="G727" s="40" t="s">
        <v>2273</v>
      </c>
      <c r="H727" s="40" t="s">
        <v>2263</v>
      </c>
      <c r="I727" s="40" t="s">
        <v>2256</v>
      </c>
      <c r="J727" s="40" t="s">
        <v>2931</v>
      </c>
      <c r="K727" s="40"/>
      <c r="L727" s="40"/>
      <c r="M727" s="41"/>
      <c r="N727" s="41"/>
      <c r="O727" s="41"/>
      <c r="P727" s="41"/>
      <c r="Q727" s="41"/>
      <c r="R727" s="41"/>
      <c r="S727" s="41"/>
      <c r="T727" s="41"/>
      <c r="U727" s="41"/>
      <c r="V727" s="41"/>
      <c r="W727" s="41"/>
      <c r="X727" s="41"/>
      <c r="Y727" s="41"/>
      <c r="Z727" s="41"/>
    </row>
    <row r="728" spans="1:26" ht="15.75" customHeight="1" x14ac:dyDescent="0.2">
      <c r="A728" s="39" t="s">
        <v>1394</v>
      </c>
      <c r="B728" s="40">
        <v>68.584570999999997</v>
      </c>
      <c r="C728" s="40" t="s">
        <v>1523</v>
      </c>
      <c r="D728" s="40" t="s">
        <v>1524</v>
      </c>
      <c r="E728" s="40" t="s">
        <v>2280</v>
      </c>
      <c r="F728" s="40" t="s">
        <v>1528</v>
      </c>
      <c r="G728" s="40" t="s">
        <v>2399</v>
      </c>
      <c r="H728" s="40" t="s">
        <v>2263</v>
      </c>
      <c r="I728" s="40" t="s">
        <v>2256</v>
      </c>
      <c r="J728" s="40" t="s">
        <v>2932</v>
      </c>
      <c r="K728" s="40"/>
      <c r="L728" s="40"/>
      <c r="M728" s="41"/>
      <c r="N728" s="41"/>
      <c r="O728" s="41"/>
      <c r="P728" s="41"/>
      <c r="Q728" s="41"/>
      <c r="R728" s="41"/>
      <c r="S728" s="41"/>
      <c r="T728" s="41"/>
      <c r="U728" s="41"/>
      <c r="V728" s="41"/>
      <c r="W728" s="41"/>
      <c r="X728" s="41"/>
      <c r="Y728" s="41"/>
      <c r="Z728" s="41"/>
    </row>
    <row r="729" spans="1:26" ht="15.75" customHeight="1" x14ac:dyDescent="0.2">
      <c r="A729" s="8" t="s">
        <v>1398</v>
      </c>
      <c r="B729" s="1">
        <v>62.936267999999998</v>
      </c>
      <c r="C729" s="1" t="s">
        <v>1587</v>
      </c>
      <c r="D729" s="1" t="s">
        <v>1578</v>
      </c>
      <c r="E729" s="1" t="s">
        <v>2280</v>
      </c>
      <c r="F729" s="1" t="s">
        <v>1528</v>
      </c>
      <c r="G729" s="1" t="s">
        <v>2290</v>
      </c>
      <c r="H729" s="1" t="s">
        <v>2255</v>
      </c>
      <c r="I729" s="1" t="s">
        <v>2256</v>
      </c>
      <c r="J729" s="1" t="s">
        <v>2933</v>
      </c>
      <c r="M729" s="38"/>
      <c r="N729" s="38"/>
      <c r="O729" s="38"/>
      <c r="P729" s="38"/>
      <c r="Q729" s="38"/>
      <c r="R729" s="38"/>
      <c r="S729" s="38"/>
      <c r="T729" s="38"/>
      <c r="U729" s="38"/>
      <c r="V729" s="38"/>
      <c r="W729" s="38"/>
      <c r="X729" s="38"/>
      <c r="Y729" s="38"/>
      <c r="Z729" s="38"/>
    </row>
    <row r="730" spans="1:26" ht="15.75" customHeight="1" x14ac:dyDescent="0.2">
      <c r="A730" s="8" t="s">
        <v>1398</v>
      </c>
      <c r="B730" s="1">
        <v>62.936267999999998</v>
      </c>
      <c r="C730" s="1" t="s">
        <v>1587</v>
      </c>
      <c r="D730" s="1" t="s">
        <v>1578</v>
      </c>
      <c r="E730" s="1" t="s">
        <v>2280</v>
      </c>
      <c r="F730" s="1" t="s">
        <v>1528</v>
      </c>
      <c r="G730" s="1" t="s">
        <v>2266</v>
      </c>
      <c r="H730" s="1" t="s">
        <v>2255</v>
      </c>
      <c r="I730" s="1" t="s">
        <v>2256</v>
      </c>
      <c r="J730" s="1" t="s">
        <v>2934</v>
      </c>
      <c r="M730" s="38"/>
      <c r="N730" s="38"/>
      <c r="O730" s="38"/>
      <c r="P730" s="38"/>
      <c r="Q730" s="38"/>
      <c r="R730" s="38"/>
      <c r="S730" s="38"/>
      <c r="T730" s="38"/>
      <c r="U730" s="38"/>
      <c r="V730" s="38"/>
      <c r="W730" s="38"/>
      <c r="X730" s="38"/>
      <c r="Y730" s="38"/>
      <c r="Z730" s="38"/>
    </row>
    <row r="731" spans="1:26" ht="15.75" customHeight="1" x14ac:dyDescent="0.2">
      <c r="A731" s="8" t="s">
        <v>1408</v>
      </c>
      <c r="B731" s="1">
        <v>57.381055000000003</v>
      </c>
      <c r="C731" s="1" t="s">
        <v>1587</v>
      </c>
      <c r="D731" s="1" t="s">
        <v>1524</v>
      </c>
      <c r="E731" s="1" t="s">
        <v>2253</v>
      </c>
      <c r="F731" s="1" t="s">
        <v>1528</v>
      </c>
      <c r="G731" s="1" t="s">
        <v>2273</v>
      </c>
      <c r="H731" s="1" t="s">
        <v>2255</v>
      </c>
      <c r="I731" s="1" t="s">
        <v>2285</v>
      </c>
      <c r="J731" s="1" t="s">
        <v>2935</v>
      </c>
      <c r="M731" s="38"/>
      <c r="N731" s="38"/>
      <c r="O731" s="38"/>
      <c r="P731" s="38"/>
      <c r="Q731" s="38"/>
      <c r="R731" s="38"/>
      <c r="S731" s="38"/>
      <c r="T731" s="38"/>
      <c r="U731" s="38"/>
      <c r="V731" s="38"/>
      <c r="W731" s="38"/>
      <c r="X731" s="38"/>
      <c r="Y731" s="38"/>
      <c r="Z731" s="38"/>
    </row>
    <row r="732" spans="1:26" ht="15.75" customHeight="1" x14ac:dyDescent="0.2">
      <c r="A732" s="8" t="s">
        <v>1408</v>
      </c>
      <c r="B732" s="1">
        <v>57.381055000000003</v>
      </c>
      <c r="C732" s="1" t="s">
        <v>1587</v>
      </c>
      <c r="D732" s="1" t="s">
        <v>1524</v>
      </c>
      <c r="E732" s="1" t="s">
        <v>2253</v>
      </c>
      <c r="F732" s="1" t="s">
        <v>1528</v>
      </c>
      <c r="G732" s="1" t="s">
        <v>2266</v>
      </c>
      <c r="H732" s="1" t="s">
        <v>2255</v>
      </c>
      <c r="I732" s="1" t="s">
        <v>2256</v>
      </c>
      <c r="J732" s="1" t="s">
        <v>2936</v>
      </c>
      <c r="M732" s="38"/>
      <c r="N732" s="38"/>
      <c r="O732" s="38"/>
      <c r="P732" s="38"/>
      <c r="Q732" s="38"/>
      <c r="R732" s="38"/>
      <c r="S732" s="38"/>
      <c r="T732" s="38"/>
      <c r="U732" s="38"/>
      <c r="V732" s="38"/>
      <c r="W732" s="38"/>
      <c r="X732" s="38"/>
      <c r="Y732" s="38"/>
      <c r="Z732" s="38"/>
    </row>
    <row r="733" spans="1:26" ht="15.75" customHeight="1" x14ac:dyDescent="0.2">
      <c r="A733" s="8" t="s">
        <v>1408</v>
      </c>
      <c r="B733" s="1">
        <v>57.381055000000003</v>
      </c>
      <c r="C733" s="1" t="s">
        <v>1587</v>
      </c>
      <c r="D733" s="1" t="s">
        <v>1524</v>
      </c>
      <c r="E733" s="1" t="s">
        <v>2253</v>
      </c>
      <c r="F733" s="1" t="s">
        <v>1528</v>
      </c>
      <c r="G733" s="1" t="s">
        <v>2566</v>
      </c>
      <c r="H733" s="1" t="s">
        <v>2260</v>
      </c>
      <c r="I733" s="1" t="s">
        <v>2285</v>
      </c>
      <c r="J733" s="1" t="s">
        <v>2937</v>
      </c>
      <c r="M733" s="38"/>
      <c r="N733" s="38"/>
      <c r="O733" s="38"/>
      <c r="P733" s="38"/>
      <c r="Q733" s="38"/>
      <c r="R733" s="38"/>
      <c r="S733" s="38"/>
      <c r="T733" s="38"/>
      <c r="U733" s="38"/>
      <c r="V733" s="38"/>
      <c r="W733" s="38"/>
      <c r="X733" s="38"/>
      <c r="Y733" s="38"/>
      <c r="Z733" s="38"/>
    </row>
    <row r="734" spans="1:26" ht="15.75" customHeight="1" x14ac:dyDescent="0.2">
      <c r="A734" s="8" t="s">
        <v>2243</v>
      </c>
      <c r="B734" s="1">
        <v>69.471652000000006</v>
      </c>
      <c r="C734" s="1" t="s">
        <v>1587</v>
      </c>
      <c r="D734" s="1" t="s">
        <v>1524</v>
      </c>
      <c r="E734" s="1" t="s">
        <v>2280</v>
      </c>
      <c r="F734" s="1" t="s">
        <v>1528</v>
      </c>
      <c r="G734" s="1" t="s">
        <v>2259</v>
      </c>
      <c r="H734" s="1" t="s">
        <v>2255</v>
      </c>
      <c r="I734" s="1" t="s">
        <v>2256</v>
      </c>
      <c r="J734" s="1" t="s">
        <v>2938</v>
      </c>
      <c r="M734" s="38"/>
      <c r="N734" s="38"/>
      <c r="O734" s="38"/>
      <c r="P734" s="38"/>
      <c r="Q734" s="38"/>
      <c r="R734" s="38"/>
      <c r="S734" s="38"/>
      <c r="T734" s="38"/>
      <c r="U734" s="38"/>
      <c r="V734" s="38"/>
      <c r="W734" s="38"/>
      <c r="X734" s="38"/>
      <c r="Y734" s="38"/>
      <c r="Z734" s="38"/>
    </row>
    <row r="735" spans="1:26" ht="15.75" customHeight="1" x14ac:dyDescent="0.2">
      <c r="A735" s="8" t="s">
        <v>2243</v>
      </c>
      <c r="B735" s="1">
        <v>69.471652000000006</v>
      </c>
      <c r="C735" s="1" t="s">
        <v>1587</v>
      </c>
      <c r="D735" s="1" t="s">
        <v>1524</v>
      </c>
      <c r="E735" s="1" t="s">
        <v>2280</v>
      </c>
      <c r="F735" s="1" t="s">
        <v>1528</v>
      </c>
      <c r="G735" s="1" t="s">
        <v>2302</v>
      </c>
      <c r="H735" s="1" t="s">
        <v>2260</v>
      </c>
      <c r="I735" s="1" t="s">
        <v>2256</v>
      </c>
      <c r="J735" s="1" t="s">
        <v>2939</v>
      </c>
      <c r="M735" s="38"/>
      <c r="N735" s="38"/>
      <c r="O735" s="38"/>
      <c r="P735" s="38"/>
      <c r="Q735" s="38"/>
      <c r="R735" s="38"/>
      <c r="S735" s="38"/>
      <c r="T735" s="38"/>
      <c r="U735" s="38"/>
      <c r="V735" s="38"/>
      <c r="W735" s="38"/>
      <c r="X735" s="38"/>
      <c r="Y735" s="38"/>
      <c r="Z735" s="38"/>
    </row>
    <row r="736" spans="1:26" ht="15.75" customHeight="1" x14ac:dyDescent="0.2">
      <c r="A736" s="8" t="s">
        <v>2243</v>
      </c>
      <c r="B736" s="1">
        <v>69.471652000000006</v>
      </c>
      <c r="C736" s="1" t="s">
        <v>1587</v>
      </c>
      <c r="D736" s="1" t="s">
        <v>1524</v>
      </c>
      <c r="E736" s="1" t="s">
        <v>2280</v>
      </c>
      <c r="F736" s="1" t="s">
        <v>1528</v>
      </c>
      <c r="G736" s="1" t="s">
        <v>1363</v>
      </c>
      <c r="H736" s="1" t="s">
        <v>2260</v>
      </c>
      <c r="I736" s="1" t="s">
        <v>2256</v>
      </c>
      <c r="J736" s="1" t="s">
        <v>2940</v>
      </c>
      <c r="M736" s="38"/>
      <c r="N736" s="38"/>
      <c r="O736" s="38"/>
      <c r="P736" s="38"/>
      <c r="Q736" s="38"/>
      <c r="R736" s="38"/>
      <c r="S736" s="38"/>
      <c r="T736" s="38"/>
      <c r="U736" s="38"/>
      <c r="V736" s="38"/>
      <c r="W736" s="38"/>
      <c r="X736" s="38"/>
      <c r="Y736" s="38"/>
      <c r="Z736" s="38"/>
    </row>
    <row r="737" spans="1:26" ht="15.75" customHeight="1" x14ac:dyDescent="0.2">
      <c r="A737" s="8" t="s">
        <v>2243</v>
      </c>
      <c r="B737" s="1">
        <v>69.471652000000006</v>
      </c>
      <c r="C737" s="1" t="s">
        <v>1587</v>
      </c>
      <c r="D737" s="1" t="s">
        <v>1524</v>
      </c>
      <c r="E737" s="1" t="s">
        <v>2280</v>
      </c>
      <c r="F737" s="1" t="s">
        <v>1528</v>
      </c>
      <c r="G737" s="1" t="s">
        <v>1363</v>
      </c>
      <c r="H737" s="1" t="s">
        <v>2260</v>
      </c>
      <c r="I737" s="1" t="s">
        <v>2256</v>
      </c>
      <c r="J737" s="1" t="s">
        <v>2941</v>
      </c>
      <c r="M737" s="38"/>
      <c r="N737" s="38"/>
      <c r="O737" s="38"/>
      <c r="P737" s="38"/>
      <c r="Q737" s="38"/>
      <c r="R737" s="38"/>
      <c r="S737" s="38"/>
      <c r="T737" s="38"/>
      <c r="U737" s="38"/>
      <c r="V737" s="38"/>
      <c r="W737" s="38"/>
      <c r="X737" s="38"/>
      <c r="Y737" s="38"/>
      <c r="Z737" s="38"/>
    </row>
    <row r="738" spans="1:26" ht="15.75" customHeight="1" x14ac:dyDescent="0.2">
      <c r="A738" s="8" t="s">
        <v>2243</v>
      </c>
      <c r="B738" s="1">
        <v>69.471652000000006</v>
      </c>
      <c r="C738" s="1" t="s">
        <v>1587</v>
      </c>
      <c r="D738" s="1" t="s">
        <v>1524</v>
      </c>
      <c r="E738" s="1" t="s">
        <v>2280</v>
      </c>
      <c r="F738" s="1" t="s">
        <v>1528</v>
      </c>
      <c r="G738" s="1" t="s">
        <v>2262</v>
      </c>
      <c r="H738" s="1" t="s">
        <v>2260</v>
      </c>
      <c r="I738" s="1" t="s">
        <v>2256</v>
      </c>
      <c r="J738" s="1" t="s">
        <v>2942</v>
      </c>
      <c r="M738" s="38"/>
      <c r="N738" s="38"/>
      <c r="O738" s="38"/>
      <c r="P738" s="38"/>
      <c r="Q738" s="38"/>
      <c r="R738" s="38"/>
      <c r="S738" s="38"/>
      <c r="T738" s="38"/>
      <c r="U738" s="38"/>
      <c r="V738" s="38"/>
      <c r="W738" s="38"/>
      <c r="X738" s="38"/>
      <c r="Y738" s="38"/>
      <c r="Z738" s="38"/>
    </row>
    <row r="739" spans="1:26" ht="15.75" customHeight="1" x14ac:dyDescent="0.2">
      <c r="A739" s="8" t="s">
        <v>52</v>
      </c>
      <c r="J739" s="42" t="s">
        <v>2943</v>
      </c>
      <c r="M739" s="38"/>
      <c r="N739" s="38"/>
      <c r="O739" s="38"/>
      <c r="P739" s="38"/>
      <c r="Q739" s="38"/>
      <c r="R739" s="38"/>
      <c r="S739" s="38"/>
      <c r="T739" s="38"/>
      <c r="U739" s="38"/>
      <c r="V739" s="38"/>
      <c r="W739" s="38"/>
      <c r="X739" s="38"/>
      <c r="Y739" s="38"/>
      <c r="Z739" s="38"/>
    </row>
    <row r="740" spans="1:26" ht="15.75" customHeight="1" x14ac:dyDescent="0.2">
      <c r="A740" s="8" t="s">
        <v>61</v>
      </c>
      <c r="J740" s="42" t="s">
        <v>2943</v>
      </c>
      <c r="M740" s="38"/>
      <c r="N740" s="38"/>
      <c r="O740" s="38"/>
      <c r="P740" s="38"/>
      <c r="Q740" s="38"/>
      <c r="R740" s="38"/>
      <c r="S740" s="38"/>
      <c r="T740" s="38"/>
      <c r="U740" s="38"/>
      <c r="V740" s="38"/>
      <c r="W740" s="38"/>
      <c r="X740" s="38"/>
      <c r="Y740" s="38"/>
      <c r="Z740" s="38"/>
    </row>
    <row r="741" spans="1:26" ht="15.75" customHeight="1" x14ac:dyDescent="0.2">
      <c r="A741" s="8" t="s">
        <v>385</v>
      </c>
      <c r="J741" s="42" t="s">
        <v>2943</v>
      </c>
      <c r="M741" s="38"/>
      <c r="N741" s="38"/>
      <c r="O741" s="38"/>
      <c r="P741" s="38"/>
      <c r="Q741" s="38"/>
      <c r="R741" s="38"/>
      <c r="S741" s="38"/>
      <c r="T741" s="38"/>
      <c r="U741" s="38"/>
      <c r="V741" s="38"/>
      <c r="W741" s="38"/>
      <c r="X741" s="38"/>
      <c r="Y741" s="38"/>
      <c r="Z741" s="38"/>
    </row>
    <row r="742" spans="1:26" ht="15.75" customHeight="1" x14ac:dyDescent="0.2">
      <c r="A742" s="8" t="s">
        <v>471</v>
      </c>
      <c r="J742" s="42" t="s">
        <v>2943</v>
      </c>
      <c r="M742" s="38"/>
      <c r="N742" s="38"/>
      <c r="O742" s="38"/>
      <c r="P742" s="38"/>
      <c r="Q742" s="38"/>
      <c r="R742" s="38"/>
      <c r="S742" s="38"/>
      <c r="T742" s="38"/>
      <c r="U742" s="38"/>
      <c r="V742" s="38"/>
      <c r="W742" s="38"/>
      <c r="X742" s="38"/>
      <c r="Y742" s="38"/>
      <c r="Z742" s="38"/>
    </row>
    <row r="743" spans="1:26" ht="15.75" customHeight="1" x14ac:dyDescent="0.2">
      <c r="A743" s="8" t="s">
        <v>601</v>
      </c>
      <c r="J743" s="42" t="s">
        <v>2943</v>
      </c>
      <c r="M743" s="38"/>
      <c r="N743" s="38"/>
      <c r="O743" s="38"/>
      <c r="P743" s="38"/>
      <c r="Q743" s="38"/>
      <c r="R743" s="38"/>
      <c r="S743" s="38"/>
      <c r="T743" s="38"/>
      <c r="U743" s="38"/>
      <c r="V743" s="38"/>
      <c r="W743" s="38"/>
      <c r="X743" s="38"/>
      <c r="Y743" s="38"/>
      <c r="Z743" s="38"/>
    </row>
    <row r="744" spans="1:26" ht="15.75" customHeight="1" x14ac:dyDescent="0.2">
      <c r="A744" s="8" t="s">
        <v>689</v>
      </c>
      <c r="J744" s="42" t="s">
        <v>2943</v>
      </c>
      <c r="M744" s="38"/>
      <c r="N744" s="38"/>
      <c r="O744" s="38"/>
      <c r="P744" s="38"/>
      <c r="Q744" s="38"/>
      <c r="R744" s="38"/>
      <c r="S744" s="38"/>
      <c r="T744" s="38"/>
      <c r="U744" s="38"/>
      <c r="V744" s="38"/>
      <c r="W744" s="38"/>
      <c r="X744" s="38"/>
      <c r="Y744" s="38"/>
      <c r="Z744" s="38"/>
    </row>
    <row r="745" spans="1:26" ht="15.75" customHeight="1" x14ac:dyDescent="0.2">
      <c r="A745" s="8" t="s">
        <v>764</v>
      </c>
      <c r="J745" s="42" t="s">
        <v>2943</v>
      </c>
      <c r="M745" s="38"/>
      <c r="N745" s="38"/>
      <c r="O745" s="38"/>
      <c r="P745" s="38"/>
      <c r="Q745" s="38"/>
      <c r="R745" s="38"/>
      <c r="S745" s="38"/>
      <c r="T745" s="38"/>
      <c r="U745" s="38"/>
      <c r="V745" s="38"/>
      <c r="W745" s="38"/>
      <c r="X745" s="38"/>
      <c r="Y745" s="38"/>
      <c r="Z745" s="38"/>
    </row>
    <row r="746" spans="1:26" ht="15.75" customHeight="1" x14ac:dyDescent="0.2">
      <c r="A746" s="8" t="s">
        <v>779</v>
      </c>
      <c r="J746" s="42" t="s">
        <v>2943</v>
      </c>
      <c r="M746" s="38"/>
      <c r="N746" s="38"/>
      <c r="O746" s="38"/>
      <c r="P746" s="38"/>
      <c r="Q746" s="38"/>
      <c r="R746" s="38"/>
      <c r="S746" s="38"/>
      <c r="T746" s="38"/>
      <c r="U746" s="38"/>
      <c r="V746" s="38"/>
      <c r="W746" s="38"/>
      <c r="X746" s="38"/>
      <c r="Y746" s="38"/>
      <c r="Z746" s="38"/>
    </row>
    <row r="747" spans="1:26" ht="15.75" customHeight="1" x14ac:dyDescent="0.2">
      <c r="A747" s="8" t="s">
        <v>1171</v>
      </c>
      <c r="J747" s="42" t="s">
        <v>2943</v>
      </c>
      <c r="M747" s="38"/>
      <c r="N747" s="38"/>
      <c r="O747" s="38"/>
      <c r="P747" s="38"/>
      <c r="Q747" s="38"/>
      <c r="R747" s="38"/>
      <c r="S747" s="38"/>
      <c r="T747" s="38"/>
      <c r="U747" s="38"/>
      <c r="V747" s="38"/>
      <c r="W747" s="38"/>
      <c r="X747" s="38"/>
      <c r="Y747" s="38"/>
      <c r="Z747" s="38"/>
    </row>
    <row r="748" spans="1:26" ht="15.75" customHeight="1" x14ac:dyDescent="0.2">
      <c r="A748" s="8" t="s">
        <v>1235</v>
      </c>
      <c r="J748" s="42" t="s">
        <v>2943</v>
      </c>
      <c r="M748" s="38"/>
      <c r="N748" s="38"/>
      <c r="O748" s="38"/>
      <c r="P748" s="38"/>
      <c r="Q748" s="38"/>
      <c r="R748" s="38"/>
      <c r="S748" s="38"/>
      <c r="T748" s="38"/>
      <c r="U748" s="38"/>
      <c r="V748" s="38"/>
      <c r="W748" s="38"/>
      <c r="X748" s="38"/>
      <c r="Y748" s="38"/>
      <c r="Z748" s="38"/>
    </row>
    <row r="749" spans="1:26" ht="15.75" customHeight="1" x14ac:dyDescent="0.2">
      <c r="M749" s="38"/>
      <c r="N749" s="38"/>
      <c r="O749" s="38"/>
      <c r="P749" s="38"/>
      <c r="Q749" s="38"/>
      <c r="R749" s="38"/>
      <c r="S749" s="38"/>
      <c r="T749" s="38"/>
      <c r="U749" s="38"/>
      <c r="V749" s="38"/>
      <c r="W749" s="38"/>
      <c r="X749" s="38"/>
      <c r="Y749" s="38"/>
      <c r="Z749" s="38"/>
    </row>
    <row r="750" spans="1:26" ht="15.75" customHeight="1" x14ac:dyDescent="0.2">
      <c r="M750" s="38"/>
      <c r="N750" s="38"/>
      <c r="O750" s="38"/>
      <c r="P750" s="38"/>
      <c r="Q750" s="38"/>
      <c r="R750" s="38"/>
      <c r="S750" s="38"/>
      <c r="T750" s="38"/>
      <c r="U750" s="38"/>
      <c r="V750" s="38"/>
      <c r="W750" s="38"/>
      <c r="X750" s="38"/>
      <c r="Y750" s="38"/>
      <c r="Z750" s="38"/>
    </row>
    <row r="751" spans="1:26" ht="15.75" customHeight="1" x14ac:dyDescent="0.2">
      <c r="M751" s="38"/>
      <c r="N751" s="38"/>
      <c r="O751" s="38"/>
      <c r="P751" s="38"/>
      <c r="Q751" s="38"/>
      <c r="R751" s="38"/>
      <c r="S751" s="38"/>
      <c r="T751" s="38"/>
      <c r="U751" s="38"/>
      <c r="V751" s="38"/>
      <c r="W751" s="38"/>
      <c r="X751" s="38"/>
      <c r="Y751" s="38"/>
      <c r="Z751" s="38"/>
    </row>
    <row r="752" spans="1:26" ht="15.75" customHeight="1" x14ac:dyDescent="0.2">
      <c r="M752" s="38"/>
      <c r="N752" s="38"/>
      <c r="O752" s="38"/>
      <c r="P752" s="38"/>
      <c r="Q752" s="38"/>
      <c r="R752" s="38"/>
      <c r="S752" s="38"/>
      <c r="T752" s="38"/>
      <c r="U752" s="38"/>
      <c r="V752" s="38"/>
      <c r="W752" s="38"/>
      <c r="X752" s="38"/>
      <c r="Y752" s="38"/>
      <c r="Z752" s="38"/>
    </row>
    <row r="753" spans="13:26" ht="15.75" customHeight="1" x14ac:dyDescent="0.2">
      <c r="M753" s="38"/>
      <c r="N753" s="38"/>
      <c r="O753" s="38"/>
      <c r="P753" s="38"/>
      <c r="Q753" s="38"/>
      <c r="R753" s="38"/>
      <c r="S753" s="38"/>
      <c r="T753" s="38"/>
      <c r="U753" s="38"/>
      <c r="V753" s="38"/>
      <c r="W753" s="38"/>
      <c r="X753" s="38"/>
      <c r="Y753" s="38"/>
      <c r="Z753" s="38"/>
    </row>
    <row r="754" spans="13:26" ht="15.75" customHeight="1" x14ac:dyDescent="0.2"/>
    <row r="755" spans="13:26" ht="15.75" customHeight="1" x14ac:dyDescent="0.2"/>
    <row r="756" spans="13:26" ht="15.75" customHeight="1" x14ac:dyDescent="0.2"/>
    <row r="757" spans="13:26" ht="15.75" customHeight="1" x14ac:dyDescent="0.2"/>
    <row r="758" spans="13:26" ht="15.75" customHeight="1" x14ac:dyDescent="0.2"/>
    <row r="759" spans="13:26" ht="15.75" customHeight="1" x14ac:dyDescent="0.2"/>
    <row r="760" spans="13:26" ht="15.75" customHeight="1" x14ac:dyDescent="0.2"/>
    <row r="761" spans="13:26" ht="15.75" customHeight="1" x14ac:dyDescent="0.2"/>
    <row r="762" spans="13:26" ht="15.75" customHeight="1" x14ac:dyDescent="0.2"/>
    <row r="763" spans="13:26" ht="15.75" customHeight="1" x14ac:dyDescent="0.2"/>
    <row r="764" spans="13:26" ht="15.75" customHeight="1" x14ac:dyDescent="0.2"/>
    <row r="765" spans="13:26" ht="15.75" customHeight="1" x14ac:dyDescent="0.2"/>
    <row r="766" spans="13:26" ht="15.75" customHeight="1" x14ac:dyDescent="0.2"/>
    <row r="767" spans="13:26" ht="15.75" customHeight="1" x14ac:dyDescent="0.2"/>
    <row r="768" spans="13:26"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NGS Data</vt:lpstr>
      <vt:lpstr>Clinical Data</vt:lpstr>
      <vt:lpstr>NGS Mutations Organized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Kevin (Xin)</cp:lastModifiedBy>
  <dcterms:created xsi:type="dcterms:W3CDTF">2025-07-31T15:37:34Z</dcterms:created>
  <dcterms:modified xsi:type="dcterms:W3CDTF">2025-10-12T19:46:42Z</dcterms:modified>
</cp:coreProperties>
</file>