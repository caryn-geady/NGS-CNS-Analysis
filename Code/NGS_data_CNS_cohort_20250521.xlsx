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Users\t48672uhn\OneDrive - UHN\Research\CNS Kevin\"/>
    </mc:Choice>
  </mc:AlternateContent>
  <xr:revisionPtr revIDLastSave="0" documentId="8_{E8DFE1CB-F14D-4097-9885-F00C4A03F21C}" xr6:coauthVersionLast="47" xr6:coauthVersionMax="47" xr10:uidLastSave="{00000000-0000-0000-0000-000000000000}"/>
  <bookViews>
    <workbookView xWindow="5670" yWindow="1040" windowWidth="5130" windowHeight="9440" xr2:uid="{FFAC3C9D-BAE7-46FA-A848-9BC705E4FBFC}"/>
  </bookViews>
  <sheets>
    <sheet name="Glioma" sheetId="1" r:id="rId1"/>
  </sheets>
  <definedNames>
    <definedName name="_xlnm._FilterDatabase" localSheetId="0" hidden="1">Glioma!$A$1:$AM$380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9" i="1" l="1"/>
  <c r="AA40" i="1"/>
  <c r="G41" i="1" l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2" i="1" l="1"/>
  <c r="H2" i="1" s="1"/>
  <c r="G3" i="1"/>
  <c r="H3" i="1" s="1"/>
  <c r="G85" i="1"/>
  <c r="H85" i="1" s="1"/>
  <c r="G86" i="1"/>
  <c r="H86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87" i="1"/>
  <c r="H87" i="1" s="1"/>
  <c r="G10" i="1"/>
  <c r="H10" i="1" s="1"/>
  <c r="G11" i="1"/>
  <c r="H11" i="1" s="1"/>
  <c r="G12" i="1"/>
  <c r="H12" i="1" s="1"/>
  <c r="G13" i="1"/>
  <c r="H13" i="1" s="1"/>
  <c r="G88" i="1"/>
  <c r="H88" i="1" s="1"/>
  <c r="G14" i="1"/>
  <c r="H14" i="1" s="1"/>
  <c r="G15" i="1"/>
  <c r="H15" i="1" s="1"/>
  <c r="G16" i="1"/>
  <c r="H16" i="1" s="1"/>
  <c r="G17" i="1"/>
  <c r="H17" i="1" s="1"/>
  <c r="G18" i="1"/>
  <c r="H18" i="1" s="1"/>
  <c r="G89" i="1"/>
  <c r="H89" i="1" s="1"/>
  <c r="G90" i="1"/>
  <c r="H90" i="1" s="1"/>
  <c r="G19" i="1"/>
  <c r="H19" i="1" s="1"/>
  <c r="G91" i="1"/>
  <c r="H91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92" i="1"/>
  <c r="H92" i="1" s="1"/>
  <c r="G73" i="1"/>
  <c r="H73" i="1" s="1"/>
  <c r="G74" i="1"/>
  <c r="H74" i="1" s="1"/>
  <c r="G93" i="1"/>
  <c r="H93" i="1" s="1"/>
  <c r="G75" i="1"/>
  <c r="H75" i="1" s="1"/>
  <c r="G94" i="1"/>
  <c r="H94" i="1" s="1"/>
  <c r="G76" i="1"/>
  <c r="H76" i="1" s="1"/>
  <c r="G77" i="1"/>
  <c r="H77" i="1" s="1"/>
  <c r="G78" i="1"/>
  <c r="H78" i="1" s="1"/>
  <c r="G95" i="1"/>
  <c r="H95" i="1" s="1"/>
  <c r="G96" i="1"/>
  <c r="H96" i="1" s="1"/>
  <c r="G79" i="1"/>
  <c r="H79" i="1" s="1"/>
  <c r="G97" i="1"/>
  <c r="H97" i="1" s="1"/>
  <c r="G98" i="1"/>
  <c r="H98" i="1" s="1"/>
  <c r="G80" i="1"/>
  <c r="H80" i="1" s="1"/>
  <c r="G81" i="1"/>
  <c r="H81" i="1" s="1"/>
  <c r="G82" i="1"/>
  <c r="H82" i="1" s="1"/>
  <c r="G83" i="1"/>
  <c r="H83" i="1" s="1"/>
  <c r="G84" i="1"/>
  <c r="H84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99" i="1"/>
  <c r="H99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100" i="1"/>
  <c r="H100" i="1" s="1"/>
  <c r="G101" i="1"/>
  <c r="H101" i="1" s="1"/>
  <c r="G35" i="1"/>
  <c r="H35" i="1" s="1"/>
  <c r="G102" i="1"/>
  <c r="H102" i="1" s="1"/>
  <c r="G36" i="1"/>
  <c r="H36" i="1" s="1"/>
  <c r="G103" i="1"/>
  <c r="H103" i="1" s="1"/>
  <c r="G37" i="1"/>
  <c r="H37" i="1" s="1"/>
  <c r="G38" i="1"/>
  <c r="H38" i="1" s="1"/>
  <c r="G39" i="1"/>
  <c r="H39" i="1" s="1"/>
  <c r="G40" i="1"/>
  <c r="H40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293" i="1"/>
  <c r="H293" i="1" s="1"/>
  <c r="G318" i="1"/>
  <c r="H318" i="1" s="1"/>
  <c r="G294" i="1"/>
  <c r="H294" i="1" s="1"/>
  <c r="G295" i="1"/>
  <c r="H295" i="1" s="1"/>
  <c r="G56" i="1"/>
  <c r="H56" i="1" s="1"/>
  <c r="G296" i="1"/>
  <c r="H296" i="1" s="1"/>
  <c r="G57" i="1"/>
  <c r="H57" i="1" s="1"/>
  <c r="G58" i="1"/>
  <c r="H58" i="1" s="1"/>
  <c r="G297" i="1"/>
  <c r="H297" i="1" s="1"/>
  <c r="G110" i="1"/>
  <c r="H110" i="1" s="1"/>
  <c r="G111" i="1"/>
  <c r="H111" i="1" s="1"/>
  <c r="G298" i="1"/>
  <c r="H298" i="1" s="1"/>
  <c r="G112" i="1"/>
  <c r="H112" i="1" s="1"/>
  <c r="G299" i="1"/>
  <c r="H299" i="1" s="1"/>
  <c r="G300" i="1"/>
  <c r="H300" i="1" s="1"/>
  <c r="G301" i="1"/>
  <c r="H301" i="1" s="1"/>
  <c r="G302" i="1"/>
  <c r="H302" i="1" s="1"/>
  <c r="G113" i="1"/>
  <c r="H113" i="1" s="1"/>
  <c r="G114" i="1"/>
  <c r="H114" i="1" s="1"/>
  <c r="G303" i="1"/>
  <c r="H303" i="1" s="1"/>
  <c r="G304" i="1"/>
  <c r="H304" i="1" s="1"/>
  <c r="G115" i="1"/>
  <c r="H115" i="1" s="1"/>
  <c r="G116" i="1"/>
  <c r="H116" i="1" s="1"/>
  <c r="G117" i="1"/>
  <c r="H117" i="1" s="1"/>
  <c r="G118" i="1"/>
  <c r="H118" i="1" s="1"/>
  <c r="G305" i="1"/>
  <c r="H305" i="1" s="1"/>
  <c r="G319" i="1"/>
  <c r="H319" i="1" s="1"/>
  <c r="G306" i="1"/>
  <c r="H306" i="1" s="1"/>
  <c r="G119" i="1"/>
  <c r="H119" i="1" s="1"/>
  <c r="G120" i="1"/>
  <c r="H120" i="1" s="1"/>
  <c r="G320" i="1"/>
  <c r="H320" i="1" s="1"/>
  <c r="G307" i="1"/>
  <c r="H307" i="1" s="1"/>
  <c r="G321" i="1"/>
  <c r="H321" i="1" s="1"/>
  <c r="G121" i="1"/>
  <c r="H121" i="1" s="1"/>
  <c r="G122" i="1"/>
  <c r="H122" i="1" s="1"/>
  <c r="G322" i="1"/>
  <c r="H322" i="1" s="1"/>
  <c r="G323" i="1"/>
  <c r="H323" i="1" s="1"/>
  <c r="G324" i="1"/>
  <c r="H324" i="1" s="1"/>
  <c r="G325" i="1"/>
  <c r="H325" i="1" s="1"/>
  <c r="G326" i="1"/>
  <c r="H326" i="1" s="1"/>
  <c r="G123" i="1"/>
  <c r="H123" i="1" s="1"/>
  <c r="G124" i="1"/>
  <c r="H124" i="1" s="1"/>
  <c r="G308" i="1"/>
  <c r="H308" i="1" s="1"/>
  <c r="G125" i="1"/>
  <c r="H125" i="1" s="1"/>
  <c r="G126" i="1"/>
  <c r="H126" i="1" s="1"/>
  <c r="G59" i="1"/>
  <c r="H59" i="1" s="1"/>
  <c r="G327" i="1"/>
  <c r="H327" i="1" s="1"/>
  <c r="G309" i="1"/>
  <c r="H309" i="1" s="1"/>
  <c r="G127" i="1"/>
  <c r="H127" i="1" s="1"/>
  <c r="G128" i="1"/>
  <c r="H128" i="1" s="1"/>
  <c r="G328" i="1"/>
  <c r="H328" i="1" s="1"/>
  <c r="G310" i="1"/>
  <c r="H310" i="1" s="1"/>
  <c r="G129" i="1"/>
  <c r="H129" i="1" s="1"/>
  <c r="G311" i="1"/>
  <c r="H311" i="1" s="1"/>
  <c r="G312" i="1"/>
  <c r="H312" i="1" s="1"/>
  <c r="G60" i="1"/>
  <c r="H60" i="1" s="1"/>
  <c r="G130" i="1"/>
  <c r="H130" i="1" s="1"/>
  <c r="G131" i="1"/>
  <c r="H131" i="1" s="1"/>
  <c r="G132" i="1"/>
  <c r="H132" i="1" s="1"/>
  <c r="G61" i="1"/>
  <c r="H61" i="1" s="1"/>
  <c r="G313" i="1"/>
  <c r="H313" i="1" s="1"/>
  <c r="G329" i="1"/>
  <c r="H329" i="1" s="1"/>
  <c r="G330" i="1"/>
  <c r="H330" i="1" s="1"/>
  <c r="G314" i="1"/>
  <c r="H314" i="1" s="1"/>
  <c r="G315" i="1"/>
  <c r="H315" i="1" s="1"/>
  <c r="G316" i="1"/>
  <c r="H316" i="1" s="1"/>
  <c r="G133" i="1"/>
  <c r="H133" i="1" s="1"/>
  <c r="G62" i="1"/>
  <c r="H62" i="1" s="1"/>
  <c r="G134" i="1"/>
  <c r="H134" i="1" s="1"/>
  <c r="G331" i="1"/>
  <c r="H331" i="1" s="1"/>
  <c r="G332" i="1"/>
  <c r="H332" i="1" s="1"/>
  <c r="G333" i="1"/>
  <c r="H333" i="1" s="1"/>
  <c r="G135" i="1"/>
  <c r="H135" i="1" s="1"/>
  <c r="G136" i="1"/>
  <c r="H136" i="1" s="1"/>
  <c r="G137" i="1"/>
  <c r="H137" i="1" s="1"/>
  <c r="G138" i="1"/>
  <c r="H138" i="1" s="1"/>
  <c r="G334" i="1"/>
  <c r="H334" i="1" s="1"/>
  <c r="G139" i="1"/>
  <c r="H139" i="1" s="1"/>
  <c r="G140" i="1"/>
  <c r="H140" i="1" s="1"/>
  <c r="G335" i="1"/>
  <c r="H335" i="1" s="1"/>
  <c r="G317" i="1"/>
  <c r="H317" i="1" s="1"/>
  <c r="G336" i="1"/>
  <c r="H336" i="1" s="1"/>
  <c r="G141" i="1"/>
  <c r="H141" i="1" s="1"/>
  <c r="G142" i="1"/>
  <c r="H142" i="1" s="1"/>
  <c r="G63" i="1"/>
  <c r="H63" i="1" s="1"/>
  <c r="G337" i="1"/>
  <c r="H337" i="1" s="1"/>
  <c r="G143" i="1"/>
  <c r="H143" i="1" s="1"/>
  <c r="G144" i="1"/>
  <c r="H144" i="1" s="1"/>
  <c r="G145" i="1"/>
  <c r="H145" i="1" s="1"/>
  <c r="G146" i="1"/>
  <c r="H146" i="1" s="1"/>
  <c r="G338" i="1"/>
  <c r="H338" i="1" s="1"/>
  <c r="G147" i="1"/>
  <c r="H147" i="1" s="1"/>
  <c r="G148" i="1"/>
  <c r="H148" i="1" s="1"/>
  <c r="G64" i="1"/>
  <c r="H64" i="1" s="1"/>
  <c r="G149" i="1"/>
  <c r="H149" i="1" s="1"/>
  <c r="G339" i="1"/>
  <c r="H339" i="1" s="1"/>
  <c r="G340" i="1"/>
  <c r="H340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341" i="1"/>
  <c r="H341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342" i="1"/>
  <c r="H342" i="1" s="1"/>
  <c r="G343" i="1"/>
  <c r="H343" i="1" s="1"/>
  <c r="G170" i="1"/>
  <c r="H170" i="1" s="1"/>
  <c r="G171" i="1"/>
  <c r="H171" i="1" s="1"/>
  <c r="G172" i="1"/>
  <c r="H172" i="1" s="1"/>
  <c r="G173" i="1"/>
  <c r="H173" i="1" s="1"/>
  <c r="G344" i="1"/>
  <c r="H344" i="1" s="1"/>
  <c r="G345" i="1"/>
  <c r="H345" i="1" s="1"/>
  <c r="G346" i="1"/>
  <c r="H346" i="1" s="1"/>
  <c r="G174" i="1"/>
  <c r="H174" i="1" s="1"/>
  <c r="G347" i="1"/>
  <c r="H347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348" i="1"/>
  <c r="H348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349" i="1"/>
  <c r="H349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350" i="1"/>
  <c r="H350" i="1" s="1"/>
  <c r="G196" i="1"/>
  <c r="H196" i="1" s="1"/>
  <c r="G197" i="1"/>
  <c r="H197" i="1" s="1"/>
  <c r="G198" i="1"/>
  <c r="H198" i="1" s="1"/>
  <c r="G351" i="1"/>
  <c r="H351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352" i="1"/>
  <c r="H352" i="1" s="1"/>
  <c r="G208" i="1"/>
  <c r="H208" i="1" s="1"/>
  <c r="G353" i="1"/>
  <c r="H353" i="1" s="1"/>
  <c r="G209" i="1"/>
  <c r="H209" i="1" s="1"/>
  <c r="G210" i="1"/>
  <c r="H210" i="1" s="1"/>
  <c r="G211" i="1"/>
  <c r="H211" i="1" s="1"/>
  <c r="G212" i="1"/>
  <c r="H212" i="1" s="1"/>
  <c r="G354" i="1"/>
  <c r="H354" i="1" s="1"/>
  <c r="G355" i="1"/>
  <c r="H355" i="1" s="1"/>
  <c r="G213" i="1"/>
  <c r="H213" i="1" s="1"/>
  <c r="G214" i="1"/>
  <c r="H214" i="1" s="1"/>
  <c r="G215" i="1"/>
  <c r="H215" i="1" s="1"/>
  <c r="G216" i="1"/>
  <c r="H216" i="1" s="1"/>
  <c r="G356" i="1"/>
  <c r="H356" i="1" s="1"/>
  <c r="G357" i="1"/>
  <c r="H357" i="1" s="1"/>
  <c r="G217" i="1"/>
  <c r="H217" i="1" s="1"/>
  <c r="G358" i="1"/>
  <c r="H358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359" i="1"/>
  <c r="H359" i="1" s="1"/>
  <c r="G360" i="1"/>
  <c r="H360" i="1" s="1"/>
  <c r="G361" i="1"/>
  <c r="H361" i="1" s="1"/>
  <c r="G362" i="1"/>
  <c r="H362" i="1" s="1"/>
  <c r="G228" i="1"/>
  <c r="H228" i="1" s="1"/>
  <c r="G363" i="1"/>
  <c r="H363" i="1" s="1"/>
  <c r="G229" i="1"/>
  <c r="H229" i="1" s="1"/>
  <c r="G364" i="1"/>
  <c r="H364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365" i="1"/>
  <c r="H365" i="1" s="1"/>
  <c r="G236" i="1"/>
  <c r="H236" i="1" s="1"/>
  <c r="G366" i="1"/>
  <c r="H36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367" i="1"/>
  <c r="H367" i="1" s="1"/>
  <c r="G244" i="1"/>
  <c r="H244" i="1" s="1"/>
  <c r="G368" i="1"/>
  <c r="H368" i="1" s="1"/>
  <c r="G245" i="1"/>
  <c r="H245" i="1" s="1"/>
  <c r="G369" i="1"/>
  <c r="H369" i="1" s="1"/>
  <c r="G246" i="1"/>
  <c r="H246" i="1" s="1"/>
  <c r="G247" i="1"/>
  <c r="H247" i="1" s="1"/>
  <c r="G248" i="1"/>
  <c r="H248" i="1" s="1"/>
  <c r="G249" i="1"/>
  <c r="H249" i="1" s="1"/>
  <c r="G370" i="1"/>
  <c r="H370" i="1" s="1"/>
  <c r="G371" i="1"/>
  <c r="H371" i="1" s="1"/>
  <c r="G250" i="1"/>
  <c r="H250" i="1" s="1"/>
  <c r="G372" i="1"/>
  <c r="H372" i="1" s="1"/>
  <c r="G251" i="1"/>
  <c r="H251" i="1" s="1"/>
  <c r="G373" i="1"/>
  <c r="H373" i="1" s="1"/>
  <c r="G374" i="1"/>
  <c r="H374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375" i="1"/>
  <c r="H375" i="1" s="1"/>
  <c r="G261" i="1"/>
  <c r="H261" i="1" s="1"/>
  <c r="G262" i="1"/>
  <c r="H262" i="1" s="1"/>
  <c r="G263" i="1"/>
  <c r="H263" i="1" s="1"/>
  <c r="G264" i="1"/>
  <c r="H264" i="1" s="1"/>
  <c r="G265" i="1"/>
  <c r="H265" i="1" s="1"/>
  <c r="G376" i="1"/>
  <c r="H376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377" i="1"/>
  <c r="H377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378" i="1"/>
  <c r="H378" i="1" s="1"/>
  <c r="G282" i="1"/>
  <c r="H282" i="1" s="1"/>
  <c r="G283" i="1"/>
  <c r="H283" i="1" s="1"/>
  <c r="G379" i="1"/>
  <c r="H379" i="1" s="1"/>
  <c r="G380" i="1"/>
  <c r="H380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</calcChain>
</file>

<file path=xl/sharedStrings.xml><?xml version="1.0" encoding="utf-8"?>
<sst xmlns="http://schemas.openxmlformats.org/spreadsheetml/2006/main" count="3891" uniqueCount="1344">
  <si>
    <t>S#</t>
  </si>
  <si>
    <t>Database_ID</t>
  </si>
  <si>
    <t>Chart complete</t>
  </si>
  <si>
    <t>MRN</t>
  </si>
  <si>
    <t>Sex</t>
  </si>
  <si>
    <t>Age_onset</t>
  </si>
  <si>
    <t>Age_dx/sx</t>
  </si>
  <si>
    <t>&lt;40</t>
  </si>
  <si>
    <t>LEAT</t>
  </si>
  <si>
    <t>Diffuse</t>
  </si>
  <si>
    <t>Date Sx</t>
  </si>
  <si>
    <t>DOB</t>
  </si>
  <si>
    <t>Location</t>
  </si>
  <si>
    <t>Histology</t>
  </si>
  <si>
    <t>Recurrent?</t>
  </si>
  <si>
    <t>Notes</t>
  </si>
  <si>
    <t>MGMT</t>
  </si>
  <si>
    <t>H3 K27M</t>
  </si>
  <si>
    <t>IDH IHC</t>
  </si>
  <si>
    <t>BRAF IHC</t>
  </si>
  <si>
    <t>ATRX IHC</t>
  </si>
  <si>
    <t>TP53 IHC</t>
  </si>
  <si>
    <t>MMR IHC</t>
  </si>
  <si>
    <t>1p/19q FISH</t>
  </si>
  <si>
    <t>CDKN2A FISH</t>
  </si>
  <si>
    <t>EGFR FISH</t>
  </si>
  <si>
    <t>PTEN FISH</t>
  </si>
  <si>
    <t>OCAv3  Variant 1</t>
  </si>
  <si>
    <t>OCAv3  Variant 2</t>
  </si>
  <si>
    <t>OCAv3  Variant 3</t>
  </si>
  <si>
    <t>OCAv3  Variant 4</t>
  </si>
  <si>
    <t>OCAv3  Variant 5</t>
  </si>
  <si>
    <t>OCAv3  Variant 6</t>
  </si>
  <si>
    <t>OCAv3  Variant 7</t>
  </si>
  <si>
    <t>OCAv3  Variant 8</t>
  </si>
  <si>
    <t>OCAv3  Variant 9</t>
  </si>
  <si>
    <t>OCAv3  Variant 10</t>
  </si>
  <si>
    <t>OCAv3  Variant 11</t>
  </si>
  <si>
    <t>OCAv3  Variant 12</t>
  </si>
  <si>
    <t>S19-53627</t>
  </si>
  <si>
    <t>C19-029</t>
  </si>
  <si>
    <t>Suprasellar</t>
  </si>
  <si>
    <t>EVN</t>
  </si>
  <si>
    <t>Yes</t>
  </si>
  <si>
    <t>S21-36523</t>
  </si>
  <si>
    <t>C21-049</t>
  </si>
  <si>
    <t>Parietal</t>
  </si>
  <si>
    <t>GBM</t>
  </si>
  <si>
    <t>No</t>
  </si>
  <si>
    <t>Negative</t>
  </si>
  <si>
    <t>No data</t>
  </si>
  <si>
    <t>II-TP53: p.(Met169SerfsTer3)</t>
  </si>
  <si>
    <t>III-HNF1A amp</t>
  </si>
  <si>
    <t>S22-307</t>
  </si>
  <si>
    <t>C22-001</t>
  </si>
  <si>
    <t>Frontal</t>
  </si>
  <si>
    <t>NEGATIVE FOR IDH1 by Sanger, No NGS data</t>
  </si>
  <si>
    <t>S22-671</t>
  </si>
  <si>
    <t>C22-002</t>
  </si>
  <si>
    <t>Oncomine start</t>
  </si>
  <si>
    <t>Positive (2016)</t>
  </si>
  <si>
    <t>Wild Type</t>
  </si>
  <si>
    <t>wild-type</t>
  </si>
  <si>
    <t>PMS2 mut</t>
  </si>
  <si>
    <t>NEGATIVE</t>
  </si>
  <si>
    <t>S22-1164</t>
  </si>
  <si>
    <t>C22-003</t>
  </si>
  <si>
    <t>Negative (2015)</t>
  </si>
  <si>
    <t>S22-1584</t>
  </si>
  <si>
    <t>C22-004</t>
  </si>
  <si>
    <t>A/2</t>
  </si>
  <si>
    <t>Positive</t>
  </si>
  <si>
    <t>mutated</t>
  </si>
  <si>
    <t>I-IDH1: p.Arg132Leu</t>
  </si>
  <si>
    <t>II-ATRX: p.Lys1479Asnfs*6</t>
  </si>
  <si>
    <t>III-TP53: p.Arg158His</t>
  </si>
  <si>
    <t>III-TP53: p.Cys277Tyr</t>
  </si>
  <si>
    <t>S22-1942</t>
  </si>
  <si>
    <t>C22-005</t>
  </si>
  <si>
    <t>O/2</t>
  </si>
  <si>
    <t>CO-DELETION (~34%): nuc ish(TP73x1,ABL2x2)[68/200]/(TP73,ABL2)x1[63/200]/(TP73x1,ABL2x3)[10/200]/ (TP73x0,ABL2x2)[26/200],(ZNF443x2,GLTSCR1x1)[78/200]</t>
  </si>
  <si>
    <t xml:space="preserve">I-TERTp: c.-124C&gt;T </t>
  </si>
  <si>
    <t>I-IDH1: p.Arg132His</t>
  </si>
  <si>
    <t>III-CTNNB1: p.Gly34Glu</t>
  </si>
  <si>
    <t>III-PIK3CA: p.Leu540Pro</t>
  </si>
  <si>
    <t>S22-2052</t>
  </si>
  <si>
    <t>C22-006</t>
  </si>
  <si>
    <t>Negative for CDKN2A homozygous deletion (Oncoscan SNP microarray)</t>
  </si>
  <si>
    <t>S22-4473</t>
  </si>
  <si>
    <t>C22-008</t>
  </si>
  <si>
    <t>Brainstem</t>
  </si>
  <si>
    <t>A/3</t>
  </si>
  <si>
    <t>I-Fusion: EGFR Exons 1-8</t>
  </si>
  <si>
    <t>I-H3F3A: p.Lys28Met</t>
  </si>
  <si>
    <t>III-TP53: p.Ser241Thr</t>
  </si>
  <si>
    <t>III-TP53: p.Val73Ala</t>
  </si>
  <si>
    <t>III-NTRK: p.Glu314Lys</t>
  </si>
  <si>
    <t>S22-4684</t>
  </si>
  <si>
    <t>C22-009</t>
  </si>
  <si>
    <t>Cerebellar</t>
  </si>
  <si>
    <t>LGG/O</t>
  </si>
  <si>
    <t>II-PIK3CA: p.Glu545Lys</t>
  </si>
  <si>
    <t>II-FGFR1: p.Asn577Lys</t>
  </si>
  <si>
    <t>III- NF1: p.Leu549Pro</t>
  </si>
  <si>
    <t>S22-4984</t>
  </si>
  <si>
    <t>C22-010</t>
  </si>
  <si>
    <t>Temporal</t>
  </si>
  <si>
    <t>equivocal</t>
  </si>
  <si>
    <t>I-EGFR amp</t>
  </si>
  <si>
    <t>I-PTEN: p.Tyr88*</t>
  </si>
  <si>
    <t>II-BRAF: p.Val600Glu</t>
  </si>
  <si>
    <t>II-EGFR: p.Gly598Val</t>
  </si>
  <si>
    <t>S22-9215</t>
  </si>
  <si>
    <t>C22-011</t>
  </si>
  <si>
    <t>II-CDK4 amp</t>
  </si>
  <si>
    <t>II-MDM4 amp</t>
  </si>
  <si>
    <t>S22-10269</t>
  </si>
  <si>
    <t>C22-013</t>
  </si>
  <si>
    <t>I- IDH2: p.Arg172Met</t>
  </si>
  <si>
    <t>I- ATRX: p.Gln2168*</t>
  </si>
  <si>
    <t>II-TP53: p.Tyr220Cys</t>
  </si>
  <si>
    <t>S22-10383</t>
  </si>
  <si>
    <t>C22-014</t>
  </si>
  <si>
    <t>II-EGFR: p.Ala289Val</t>
  </si>
  <si>
    <t>III-PTEN: p.Asn48Thr</t>
  </si>
  <si>
    <t>S22-11652</t>
  </si>
  <si>
    <t>C22-015</t>
  </si>
  <si>
    <t>II- TP53: p.Gln165*</t>
  </si>
  <si>
    <t>II- PDGFRA amp</t>
  </si>
  <si>
    <t>III- ATRX: p.Arg2164Gly</t>
  </si>
  <si>
    <t>S22-11863</t>
  </si>
  <si>
    <t>C22-016</t>
  </si>
  <si>
    <t>30 (cl)</t>
  </si>
  <si>
    <t>LGG/A</t>
  </si>
  <si>
    <t>S22-12583</t>
  </si>
  <si>
    <t>C22-017</t>
  </si>
  <si>
    <t>I:ATRX: p.Arg444*</t>
  </si>
  <si>
    <t>III-TP53: p.Asn239Asp</t>
  </si>
  <si>
    <t>S22-12942</t>
  </si>
  <si>
    <t>C22-020</t>
  </si>
  <si>
    <t>Thalamic</t>
  </si>
  <si>
    <t xml:space="preserve">II-TP53: p.Arg273His </t>
  </si>
  <si>
    <t>II-PDGFRA amp</t>
  </si>
  <si>
    <t>S22-28458</t>
  </si>
  <si>
    <t>C22-049</t>
  </si>
  <si>
    <t>CO-DELETION (~20%): nuc ish(TP73x1,ABL2x2)[49/200],(ZNF443x2,GLTSCR1x1)[39/200]</t>
  </si>
  <si>
    <t>DELETION HET: nuc ish(CDKN2A,D9Z1)x1[73/200]</t>
  </si>
  <si>
    <t>II-TP53: p.His193Arg</t>
  </si>
  <si>
    <t>S22-28915</t>
  </si>
  <si>
    <t>C22-050</t>
  </si>
  <si>
    <t>I-ATRX: p.Thr918Metfs*52</t>
  </si>
  <si>
    <t>II- TP53: p.Tyr236Cys</t>
  </si>
  <si>
    <t>III- CDKN2A: p.His83Arg</t>
  </si>
  <si>
    <t>S22-29529</t>
  </si>
  <si>
    <t>C22-051</t>
  </si>
  <si>
    <t>O/3</t>
  </si>
  <si>
    <t>I-IDH1: p.Arg132Cys</t>
  </si>
  <si>
    <t>S22-30162</t>
  </si>
  <si>
    <t>C22-052</t>
  </si>
  <si>
    <t>ABNORMAL NO CO-DELETION (30-50%): nuc ish(TP73x2~3,ABL2x1~3)[61/200]/(TP73x4~8,ABL2x1~5)[35/200],(ZNF443x3~4,GLTSCR1x1~2)[56/200]</t>
  </si>
  <si>
    <t>GAIN, nuc ish (CKDN2Ax3,D9Z1x2)[12/200]</t>
  </si>
  <si>
    <t>II-TP53: p.His178_Ser183del</t>
  </si>
  <si>
    <t>S22-31777</t>
  </si>
  <si>
    <t>C22-053</t>
  </si>
  <si>
    <t>Occipital</t>
  </si>
  <si>
    <t>MSH6 mut</t>
  </si>
  <si>
    <t>Normal Result</t>
  </si>
  <si>
    <t>+10</t>
  </si>
  <si>
    <t>II-NF1: p.Glu1192*</t>
  </si>
  <si>
    <t>II-NF1: p.Arg2450*</t>
  </si>
  <si>
    <t>II-PIK3CA:p.Thr1025Ala</t>
  </si>
  <si>
    <t>II-POLE: p.Pro286Arg</t>
  </si>
  <si>
    <t>II-TP53: p.Phe113Leu</t>
  </si>
  <si>
    <t>III- (x 22) ALK, ATRX, EGFR, FGFR2, MDM4, MET, NF1, PDGFRA, POLE, RB1</t>
  </si>
  <si>
    <t>S22-33204</t>
  </si>
  <si>
    <t>C22-054</t>
  </si>
  <si>
    <t>TRISOMY 9:  nuc ish(CDKN2A,D9Z1)x3[41/200]</t>
  </si>
  <si>
    <t>II-TP53: c.673-2_673-1delAG</t>
  </si>
  <si>
    <t>S22-33867</t>
  </si>
  <si>
    <t>C22-055</t>
  </si>
  <si>
    <t>PA</t>
  </si>
  <si>
    <t>DELETION HET: nuc ish(CDKN2A,D9Z1)x1[89/200]</t>
  </si>
  <si>
    <t>I-Fusion KIAA1549 Exon 15 -BRAF Exon 9</t>
  </si>
  <si>
    <t>III-MYC: p.(Asp173Asn)</t>
  </si>
  <si>
    <t>S22-34719</t>
  </si>
  <si>
    <t>C22-057</t>
  </si>
  <si>
    <t>ABNORMAL WITH CO-DELETION: nuc ish(TP73x1,ABL2x3)[29/200]/(TP73x2,ABL2x3)[57/200]/(TP73x2,ABL2x4)[40/200],(ZNF443x3,GLTSCR1x1)[23/200]/(ZNF443x3,GLTSCR1x2)[51/200]/(ZNF443x4,GLTSCR1x2)[32/200]</t>
  </si>
  <si>
    <t>S22-34763</t>
  </si>
  <si>
    <t>C22-058</t>
  </si>
  <si>
    <t>I-BRAF: p.Leu485Phe</t>
  </si>
  <si>
    <t>S22-34833</t>
  </si>
  <si>
    <t>C22-059</t>
  </si>
  <si>
    <t>ABNORMAL WITH CO-DELETION  (~20%) : nuc ish(TP73x1,ABL2x2)[53/200]/(TP73x1,ABL2x3)[15/200]/(TP73x2,ABL2x3)[34/200],(ZNF443x2,GLTSCR1x1)[40/200]/ (ZNF443x3,GLTSCR1x1)[14/200]/(ZNF443x3,GLTSCR1x2)[53/200]</t>
  </si>
  <si>
    <t xml:space="preserve">DELETION HET: nuc ish(CDKN2Ax1,D9Z1x2)[40/200] </t>
  </si>
  <si>
    <t>S22-34941</t>
  </si>
  <si>
    <t>C22-060</t>
  </si>
  <si>
    <t>17 (cl)</t>
  </si>
  <si>
    <t>DNET</t>
  </si>
  <si>
    <t>I- Fusion FGFR1 (Exon 17) - TACC1 (Exon 7)</t>
  </si>
  <si>
    <t>S22-35419</t>
  </si>
  <si>
    <t>C22-061</t>
  </si>
  <si>
    <t>Inconclusive</t>
  </si>
  <si>
    <t>CO-DELETION (~24-34%): nuc ish(TP73x1,ABL2x2)[48/200],(ZNF443x2,GLTSCR1x1)[68/200]</t>
  </si>
  <si>
    <t>DELETION HOMO: nuc ish(CDKN2Ax0,D9Z1x1)[42/200]/(CDKN2Ax0,D9Z1x2)[45/200]</t>
  </si>
  <si>
    <t>II-PIK3CA:p.(Glu110del)</t>
  </si>
  <si>
    <t>S22-36067</t>
  </si>
  <si>
    <t>C22-062</t>
  </si>
  <si>
    <t>Frontal (multifocal)</t>
  </si>
  <si>
    <t>amplification</t>
  </si>
  <si>
    <t>II-EGFR: p.(Gly598Val)</t>
  </si>
  <si>
    <t>S22-36314</t>
  </si>
  <si>
    <t>C22-063</t>
  </si>
  <si>
    <t>18 (cl)</t>
  </si>
  <si>
    <t>DELETION HOMO: nuc ish(CDKN2Ax0,D9Z1x2)[86/200]/(CDKN2Ax0,D9Z1x1)[64/200]/(CDKN2Ax0,D9Z1x3)[8/200]</t>
  </si>
  <si>
    <t>S22-36979</t>
  </si>
  <si>
    <t>C22-064</t>
  </si>
  <si>
    <t>II-NF1:p.(Trp336*)</t>
  </si>
  <si>
    <t>II-NF1:p.(Trp426*)</t>
  </si>
  <si>
    <t>II-NF1:p.(Trp1559*)</t>
  </si>
  <si>
    <t>II-PIK3CA:p.(Glu542Val)</t>
  </si>
  <si>
    <t>III-HRAS: p.(Cys51Tyr)</t>
  </si>
  <si>
    <t>III-NF1:p.(Ala2441Thr)</t>
  </si>
  <si>
    <t>S22-39560</t>
  </si>
  <si>
    <t>C22-067</t>
  </si>
  <si>
    <t>II-CDK6 amp</t>
  </si>
  <si>
    <t>II-TP53:p.(Arg342*)</t>
  </si>
  <si>
    <t>S22-39825</t>
  </si>
  <si>
    <t>C22-069</t>
  </si>
  <si>
    <t>II-NF1:c.888+1G&gt;A p.(?)</t>
  </si>
  <si>
    <t>II-PIK3CA:p.(Gln546Pro)</t>
  </si>
  <si>
    <t>S22-41886</t>
  </si>
  <si>
    <t>C22-071</t>
  </si>
  <si>
    <t>SC</t>
  </si>
  <si>
    <t>I-H3F3A:p.(Lys28Met)</t>
  </si>
  <si>
    <t>II-TP53:p.(Arg248Trp)</t>
  </si>
  <si>
    <t>S22-41911</t>
  </si>
  <si>
    <t>C22-072</t>
  </si>
  <si>
    <t>II-NF1:p.(Tyr2285Thrfs*5)</t>
  </si>
  <si>
    <t>S22-41984</t>
  </si>
  <si>
    <t>C22-073</t>
  </si>
  <si>
    <t>I-CDKN2A Deletion Copy number: 0.5</t>
  </si>
  <si>
    <t>II-Fusion  GOPC Exon 4 - ROS1 Exon 36</t>
  </si>
  <si>
    <t>S22-41992</t>
  </si>
  <si>
    <t>C22-074</t>
  </si>
  <si>
    <t>gain, no amplification</t>
  </si>
  <si>
    <t>II-NF1:p.(Tyr489Cys)</t>
  </si>
  <si>
    <t>S22-43027</t>
  </si>
  <si>
    <t>C22-076</t>
  </si>
  <si>
    <t>I- Fusion EGFR Exon 1 -  EGFR Exon 8</t>
  </si>
  <si>
    <t>I-PTEN: p.Pro213Leufs*8</t>
  </si>
  <si>
    <t>II-TP53: p.Arg158Gly</t>
  </si>
  <si>
    <t>II-TP53: c.783-1G&gt;A</t>
  </si>
  <si>
    <t>S22-44235</t>
  </si>
  <si>
    <t>C22-078</t>
  </si>
  <si>
    <t>I-CDKN2A Deletion Copy number: 0.2</t>
  </si>
  <si>
    <t>S22-44692</t>
  </si>
  <si>
    <t>C22-079</t>
  </si>
  <si>
    <t xml:space="preserve">No </t>
  </si>
  <si>
    <t>DELETIO HET, MONOMSOMY 9: nuc ish(CDKN2Ax1,D9Z1x2)[33/200]/(CDKN2A,D9Z1)x1[89/200]</t>
  </si>
  <si>
    <t>II-KRAS: p.(Gln61Lys)</t>
  </si>
  <si>
    <t>S22-46883</t>
  </si>
  <si>
    <t>C22-081</t>
  </si>
  <si>
    <t>I-PTEN:p.(Leu152Gln)</t>
  </si>
  <si>
    <t>II-EGFR:p.(Gly719Ala)</t>
  </si>
  <si>
    <t>II-TP53: p.Pro142His</t>
  </si>
  <si>
    <t>III-EGFR:p.(Trp880*)</t>
  </si>
  <si>
    <t>S22-47245</t>
  </si>
  <si>
    <t>C22-082</t>
  </si>
  <si>
    <t>+7</t>
  </si>
  <si>
    <t>-10</t>
  </si>
  <si>
    <t>II-PIK3CA: p.Gln546Lys</t>
  </si>
  <si>
    <t>S22-47345</t>
  </si>
  <si>
    <t>C22-083</t>
  </si>
  <si>
    <t xml:space="preserve">DELETION HOMO low levels: nuc ish(CDKN2Ax0,D9Z1x1)[17/200] </t>
  </si>
  <si>
    <t>S22-47959</t>
  </si>
  <si>
    <t>C22-084</t>
  </si>
  <si>
    <t>II-MSH6: p.Ser602*</t>
  </si>
  <si>
    <t>II-EGFR: p.Gly719Val</t>
  </si>
  <si>
    <t>II-PIK3CA: p.His1047Arg</t>
  </si>
  <si>
    <t>II-TP53: p.Gly105Val</t>
  </si>
  <si>
    <t>III- (x 9) ATRX, BRAF, CDK4, EGFR, FGFR2, FGFR3, MYC, NF1, NTRK1, NTRK2, NTRK3, PDGFRA, POLE</t>
  </si>
  <si>
    <t>S22-47986</t>
  </si>
  <si>
    <t>C22-085</t>
  </si>
  <si>
    <t>I-CDKN2A Deletion Copy number: 0.3</t>
  </si>
  <si>
    <t>I-PTEN:p.(Arg173His)</t>
  </si>
  <si>
    <t>II-TP53:p.(Ser241Tyr)</t>
  </si>
  <si>
    <t>S22-48283</t>
  </si>
  <si>
    <t>C22-086</t>
  </si>
  <si>
    <t>II-FGFR1: p.(Lys686_Lys687delinsIleGlu)</t>
  </si>
  <si>
    <t>S22-49203</t>
  </si>
  <si>
    <t>C22-087</t>
  </si>
  <si>
    <t>S22-51168</t>
  </si>
  <si>
    <t>C22-088</t>
  </si>
  <si>
    <t>PXA/2</t>
  </si>
  <si>
    <t>DELETION HET: nuc ish (CDKN2Ax1,D9Z1x2)[88/200]</t>
  </si>
  <si>
    <t>S22-51992</t>
  </si>
  <si>
    <t>C22-090</t>
  </si>
  <si>
    <t>I-ATRX:p.(Tyr1847Serfs*13)</t>
  </si>
  <si>
    <t>I-IDH1:p.(Arg132Gly)</t>
  </si>
  <si>
    <t>II-TP53:p.(Arg273Cys)</t>
  </si>
  <si>
    <t>S22-52119</t>
  </si>
  <si>
    <t>C22-091</t>
  </si>
  <si>
    <t>II-KRAS: p.Gln61His</t>
  </si>
  <si>
    <t>II-NF1: p.Ile1641Leufs*2</t>
  </si>
  <si>
    <t xml:space="preserve">II-NF1: c.5610-1G&gt;A p.? </t>
  </si>
  <si>
    <t>S22-53100</t>
  </si>
  <si>
    <t>C22-093</t>
  </si>
  <si>
    <t>Frontal, Thal</t>
  </si>
  <si>
    <t>II-TP53:p.(Thr2409Lysfs*9)</t>
  </si>
  <si>
    <t>S23-923</t>
  </si>
  <si>
    <t>C23-001</t>
  </si>
  <si>
    <t>Hamilton</t>
  </si>
  <si>
    <t>CO-DELETION (36%): nuc ish(TP73x1,ABL2x2)[72/200]/(TP73x2,ABL2x3~4)[24/200],(ZNF443x2,GLTSCR1x1)[74/200]/(ZNF443x3~4,GLTSCR1x2)[40/200]</t>
  </si>
  <si>
    <t>DELETION HET: nuc ish(CDKN2A,D9Z1)x1[86/200]</t>
  </si>
  <si>
    <t>I-IDH1:p.Arg132His</t>
  </si>
  <si>
    <t>S23-3151</t>
  </si>
  <si>
    <t>C23-007</t>
  </si>
  <si>
    <t>S23-5450</t>
  </si>
  <si>
    <t>C23-009</t>
  </si>
  <si>
    <t>S23-5452</t>
  </si>
  <si>
    <t>C23-010</t>
  </si>
  <si>
    <t>S23-22341</t>
  </si>
  <si>
    <t>C23-048</t>
  </si>
  <si>
    <t>S23-25458</t>
  </si>
  <si>
    <t>C23-058</t>
  </si>
  <si>
    <t>S23-29765</t>
  </si>
  <si>
    <t>C23-062</t>
  </si>
  <si>
    <t>Chris-Done</t>
  </si>
  <si>
    <t>CO-DELETION (~58.5%): nuc ish(TP73x1,ABL2x2)[44/200]/(TP73x2,ABL2x3)[18/200]/
(TP73x1,ABL2x3)[31/200]/(TP73x2,ABL2x4)[38/200],
(ZNF443x3,GLTSCR1x2)[59/200]/(ZNF443x3,GLTSCR1x1)[13/200]/
(ZNF443x4,GLTSCR1x2)[34/200]/(ZNF443x4,GLTSCR1x1)[11/200]</t>
  </si>
  <si>
    <t>S23-34345</t>
  </si>
  <si>
    <t>C23-070</t>
  </si>
  <si>
    <t>II- Fusion FGFR3 Exon 17 -  TACC3 Exon 11</t>
  </si>
  <si>
    <t>II-NF1: p.(Gln400*)</t>
  </si>
  <si>
    <t>II-PTEN: p.(Tyr65*)</t>
  </si>
  <si>
    <t>II-PTPN11: p.(Tyr63Cys)</t>
  </si>
  <si>
    <t>S23-39038</t>
  </si>
  <si>
    <t>C23-087</t>
  </si>
  <si>
    <t>S23-42892</t>
  </si>
  <si>
    <t>C23-096</t>
  </si>
  <si>
    <t>S22-13423</t>
  </si>
  <si>
    <t>C22-022</t>
  </si>
  <si>
    <t>S22-15462</t>
  </si>
  <si>
    <t>C22-023</t>
  </si>
  <si>
    <t>S22-16520</t>
  </si>
  <si>
    <t>C22-024</t>
  </si>
  <si>
    <t>ABNORMAL: polisomy</t>
  </si>
  <si>
    <t>II-PTEN: c.1026+1G&gt;A p.(?)</t>
  </si>
  <si>
    <t>II-TP53: p.(Ala79Serfs*69)</t>
  </si>
  <si>
    <t>S22-17115</t>
  </si>
  <si>
    <t>C22-025</t>
  </si>
  <si>
    <t>DELETION HOMO: nuc ish(CDKN2Ax0,D9Z1x2)[118/200]/(CDKN2Ax0,D9Z1x1)[56/200]</t>
  </si>
  <si>
    <t>deletion</t>
  </si>
  <si>
    <t>S22-17493</t>
  </si>
  <si>
    <t>C22-026</t>
  </si>
  <si>
    <t>II-TP53: p.(Val173Gly)</t>
  </si>
  <si>
    <t>III-ATRX: p.(Arg1803His)</t>
  </si>
  <si>
    <t>S22-18510</t>
  </si>
  <si>
    <t>C22-027</t>
  </si>
  <si>
    <t>CO-DELETION (~68%):nuc ish(TP73x1,ABL2x2)[81/200]/(TP73x0,ABL2x1~2)[55/200],(ZNF443x2,GLTSCR1x1)[123/200]/
(ZNF443x2,GLTSCR1x0)[19/200]</t>
  </si>
  <si>
    <t>I-IDH1: p.(Arg132His)</t>
  </si>
  <si>
    <t>III-FGFR1: p.(Thr174Arg</t>
  </si>
  <si>
    <t>S22-18774</t>
  </si>
  <si>
    <t>C22-028</t>
  </si>
  <si>
    <t>I-Fusion FGFR3 Exon 17 :: TACC3 Exon 11</t>
  </si>
  <si>
    <t>I-FGFR3 amp</t>
  </si>
  <si>
    <t>S22-18950</t>
  </si>
  <si>
    <t>C22-029</t>
  </si>
  <si>
    <t>II-TP53: p.(Cys277Trpfs*27)</t>
  </si>
  <si>
    <t>S22-19219</t>
  </si>
  <si>
    <t>C22-031</t>
  </si>
  <si>
    <t>20 (cl)</t>
  </si>
  <si>
    <t>CO-DELETION (~21%):nuc ish(TP73x1,ABL2x2)[54/200],(ZNF443x2,GLTSCR1x1)[42/200]</t>
  </si>
  <si>
    <t>DELETION HOMO low levels: nuc ish(CDKN2A,D9Z1)x1[100/200](CDKN2Ax0,D9Z1x1)[15/200]</t>
  </si>
  <si>
    <t>S22-19443</t>
  </si>
  <si>
    <t>C22-032</t>
  </si>
  <si>
    <t>I-ATRX: c.5698-1G&gt;C p.(?)</t>
  </si>
  <si>
    <t>I-IDH1: p.(Arg132Cys)</t>
  </si>
  <si>
    <t>II-TP53: p.(Arg273Cys)</t>
  </si>
  <si>
    <t>S22-19767</t>
  </si>
  <si>
    <t>C22-034</t>
  </si>
  <si>
    <t>DELETION HOMO: nuc ish(CDKN2Ax0,D9Z1x1)[16/200]/(CDKN2Ax0,D9Z1x2)[18/200]/(CDKN2Ax0,D9Z1x3~4)[18/200]/
(CDKN2A dimx1,D9Z1x1)[14/200]/(CDKN2A dimx1~2,D9Z1x2)[14/200]/(CDKN2A dimx1~2,D9Z1x3~4)[24/200]</t>
  </si>
  <si>
    <t>I-ATRX: p.(Ser1324*)</t>
  </si>
  <si>
    <t>II-PIK3CA: p.(Glu545Lys)</t>
  </si>
  <si>
    <t>II-TP53: p.(Pro191del)</t>
  </si>
  <si>
    <t>II-TP53: p.(Gln331*)</t>
  </si>
  <si>
    <t>S22-20387</t>
  </si>
  <si>
    <t>C22-036</t>
  </si>
  <si>
    <t>TB00161672</t>
  </si>
  <si>
    <t>Thunder Bay</t>
  </si>
  <si>
    <t>S22-20684</t>
  </si>
  <si>
    <t>C22-037</t>
  </si>
  <si>
    <t>II-TP53: p.(Arg196Gln)</t>
  </si>
  <si>
    <t>III-EGFR: p.(Gly588Ser)</t>
  </si>
  <si>
    <t>S22-20887</t>
  </si>
  <si>
    <t>C22-038</t>
  </si>
  <si>
    <t>NO NOTES ON EPIC</t>
  </si>
  <si>
    <t>S22-22428</t>
  </si>
  <si>
    <t>C22-041</t>
  </si>
  <si>
    <t>S22-25357</t>
  </si>
  <si>
    <t>C22-044</t>
  </si>
  <si>
    <t>Saskatoon</t>
  </si>
  <si>
    <t>S22-27218</t>
  </si>
  <si>
    <t>C22-045</t>
  </si>
  <si>
    <t>S22-27431</t>
  </si>
  <si>
    <t>C22-046</t>
  </si>
  <si>
    <t>42 (cl)</t>
  </si>
  <si>
    <t>DLGNT</t>
  </si>
  <si>
    <t>CO-DELETION (~18.5%):nuc ish(TP73x1,ABL2x2)[59/200]/(TP73x1,ABL2x3)[92/200],(ZNF443x2,GLTSCR1x1)[37/200]</t>
  </si>
  <si>
    <t>I-Fusion KIAA1549 Exon 14 :: BRAF Exon 9</t>
  </si>
  <si>
    <t>S22-27558</t>
  </si>
  <si>
    <t>C22-047</t>
  </si>
  <si>
    <t>S22-28334</t>
  </si>
  <si>
    <t>C22-048</t>
  </si>
  <si>
    <t>II-Fusion PTPRZ1 Exon 1 - MET Exon 2</t>
  </si>
  <si>
    <t>II-ATRX: p.(Asp470Valfs*43)</t>
  </si>
  <si>
    <t>II-TP53: p.(Arg175His)</t>
  </si>
  <si>
    <t>S21-48286</t>
  </si>
  <si>
    <t>C21-066</t>
  </si>
  <si>
    <t>S21-49714 / S23-15757</t>
  </si>
  <si>
    <t>C21-067</t>
  </si>
  <si>
    <t>S22-3597 / S24-30806</t>
  </si>
  <si>
    <t>C22-007</t>
  </si>
  <si>
    <t>S22-9661 / S22-47244</t>
  </si>
  <si>
    <t>C22-012</t>
  </si>
  <si>
    <t>DELETION HOMO: nuc ish(CDKN2Ax0,D9Z1x1)[56/200]/(CDKN2Ax0,D9Z1x2)[111/200]</t>
  </si>
  <si>
    <t>II-PTEN: p.(Tyr68Cys)</t>
  </si>
  <si>
    <t>III-EGFR: p.(Leu907Phe)</t>
  </si>
  <si>
    <t>S22-13737</t>
  </si>
  <si>
    <t>C22-018</t>
  </si>
  <si>
    <t>Temporal (gliomatosis -bithalamic, cerebellar, brainstem)</t>
  </si>
  <si>
    <t>SBK S22-5493</t>
  </si>
  <si>
    <t>S22-12691 / S22-50463</t>
  </si>
  <si>
    <t>C22-019</t>
  </si>
  <si>
    <t>DELETION HOMO: nuc ish(CDKN2Ax0,D9Z1x1)[61/200]</t>
  </si>
  <si>
    <t>III-BRAF: p.(Asn581His)</t>
  </si>
  <si>
    <t>S22-13194</t>
  </si>
  <si>
    <t>C22-021</t>
  </si>
  <si>
    <t>23 (cl)</t>
  </si>
  <si>
    <t>CO-DELETION (~44.5%):nuc ish(TP73x1,ABL2x2)[89/200]/(TP73,ABL2)x1[68/200]/(TP73x0,ABL2x2)[17/200]/(TP73x0,ABL2x1)[12/200],
(ZNF443x2,GLTSCR1x1)[110/200]/(ZNF443x2,GLTSCR1x0)[19/200]/(ZNF443x1,GLTSCR1x0)[17/200]</t>
  </si>
  <si>
    <t>S22-19126</t>
  </si>
  <si>
    <t>C22-030</t>
  </si>
  <si>
    <t>S22-19552</t>
  </si>
  <si>
    <t>C22-033</t>
  </si>
  <si>
    <t>S22-20122</t>
  </si>
  <si>
    <t>C22-035</t>
  </si>
  <si>
    <t>GG</t>
  </si>
  <si>
    <t>I-Fusion KIAA1549 Exon 9 :: BRAF Exon 9</t>
  </si>
  <si>
    <t>S22-21109</t>
  </si>
  <si>
    <t>C22-039</t>
  </si>
  <si>
    <t>CO-DELETION (~43.5%): nuc ish(TP73x1,ABL2x2)[87/200]/(TP73,ABL2)x1[64/200]/(TP73x0,ABL2x1)[17/200]/(TP73x0,ABL2x2)[14/200],
(ZNF443x2,GLTSCR1x1)[115/200]/(ZNF443,GLTSCR1)x1[62/200]/(ZNF443x2,GLTSCR1x0)[8/200]</t>
  </si>
  <si>
    <t>S22-22258</t>
  </si>
  <si>
    <t>C22-040</t>
  </si>
  <si>
    <t>EPE/2</t>
  </si>
  <si>
    <t>S22-24067 / R22-2061 / S24-27598</t>
  </si>
  <si>
    <t>C22-042</t>
  </si>
  <si>
    <t>II-NF1:p.(Lys1749Argfs*7)</t>
  </si>
  <si>
    <t>II-NF1: p.(Arg1970Leufs*8)</t>
  </si>
  <si>
    <t>II-PIK3CA: p.(Arg108His)</t>
  </si>
  <si>
    <t>II-TP53:p.(Arg175His)</t>
  </si>
  <si>
    <t>II-TP53: p.(Arg273His)</t>
  </si>
  <si>
    <t>S22-25178 / S24-8628</t>
  </si>
  <si>
    <t>C22-043</t>
  </si>
  <si>
    <t>II-TP53: c.993+1G&gt;A p.(?)</t>
  </si>
  <si>
    <t>III-PIK3CA amp</t>
  </si>
  <si>
    <t>S22-34515 / S23-59648</t>
  </si>
  <si>
    <t>C22-056</t>
  </si>
  <si>
    <t>II-RB1: c.2520+3_2520+6delGAGT p.(?)</t>
  </si>
  <si>
    <t>II-TP53: c.559+1G&gt;A p.(?)</t>
  </si>
  <si>
    <t>III-ATRX: p.(Thr387Ala)</t>
  </si>
  <si>
    <t>III-ATRX: p.(Gln2183del)</t>
  </si>
  <si>
    <t>III-NTRK1:</t>
  </si>
  <si>
    <t>S22-37208</t>
  </si>
  <si>
    <t>C22-065</t>
  </si>
  <si>
    <t>25 (cl)</t>
  </si>
  <si>
    <t>4V</t>
  </si>
  <si>
    <t>III-MYCN: p.(Ser289Cys)</t>
  </si>
  <si>
    <t>S22-37756</t>
  </si>
  <si>
    <t>C22-066</t>
  </si>
  <si>
    <t>4 (cl)</t>
  </si>
  <si>
    <t>S22-39488 / S23-7513</t>
  </si>
  <si>
    <t>C22-068</t>
  </si>
  <si>
    <t>Kat</t>
  </si>
  <si>
    <t>II-Fusion:  MET Exon 13 -  MET Exon 15</t>
  </si>
  <si>
    <t>II-MET amp</t>
  </si>
  <si>
    <t>II-PTEN: p.(Ser10Asn)</t>
  </si>
  <si>
    <t>II-TP53: p.(Cys176Phe)</t>
  </si>
  <si>
    <t>II-TP53: p.(Glu285Lys)</t>
  </si>
  <si>
    <t>S22-41459</t>
  </si>
  <si>
    <t>C22-070</t>
  </si>
  <si>
    <t>S21-4869 Thunder Bay</t>
  </si>
  <si>
    <t>S22-42971</t>
  </si>
  <si>
    <t>C22-075</t>
  </si>
  <si>
    <t>S22-43453 / S23-58689</t>
  </si>
  <si>
    <t>C22-077</t>
  </si>
  <si>
    <t>II-PIK3CA:p.(Glu545Lys)</t>
  </si>
  <si>
    <t>II-RB1:c.138-1G&gt;A p.(?)</t>
  </si>
  <si>
    <t>II-TP53:p.(Thr18Ile)</t>
  </si>
  <si>
    <t>II-TP53:p.(Glu258Gly)</t>
  </si>
  <si>
    <t>III-MSH6:p.(Met662Ile)</t>
  </si>
  <si>
    <t>III-MSH2:p.(Ser124Phe)</t>
  </si>
  <si>
    <t>III-MET:p.(Glu1138Lys)</t>
  </si>
  <si>
    <t>III-BRAF: p.(Ile554Thr)</t>
  </si>
  <si>
    <t>S22-45746</t>
  </si>
  <si>
    <t>C22-080</t>
  </si>
  <si>
    <t>positive</t>
  </si>
  <si>
    <t>CO-DELETION (~39%):nuc ish(TP73x1,ABL2x2)[78/200],(ZNF443x2,GLTSCR1x1)[113/200]</t>
  </si>
  <si>
    <t>S22-51810</t>
  </si>
  <si>
    <t>C22-089</t>
  </si>
  <si>
    <t>CO-DELETION (~17.5%):nuc ish(TP73x1,ABL2x2)[53/200]/(TP73x2,ABL2x3)[23/200]/(TP73x1,ABL2x3)[13/200]/(TP73x2,ABL2x4)[14/200]/
(TP73x1,ABL2x4)[14/200],(ZNF443x2,GLTSCR1x1)[35/200]/(ZNF443x3,GLTSCR1x2)[42/200]/
(ZNF443x3,GLTSCR1x1)[14/200]/(ZNF443x4,GLTSCR1x2)[4/200]</t>
  </si>
  <si>
    <t>S22-52929</t>
  </si>
  <si>
    <t>C22-092</t>
  </si>
  <si>
    <t>S23-1685</t>
  </si>
  <si>
    <t>C23-002</t>
  </si>
  <si>
    <t>S23-6507</t>
  </si>
  <si>
    <t>C23-012</t>
  </si>
  <si>
    <t>Indeterminate</t>
  </si>
  <si>
    <t>CO-DELETION (~24%): nuc ish(TP73x1,ABL2x2)[49/200]/(TP73x1~2,ABL2x3)[27/200],
(ZNF443x2,GLTSCR1x1)[56/200]/(ZNF443x3,GLTSCR1x1~2)[19/200]
(ZNF443x4,GLTSCR1x2)[34/200]/(ZNF443x4,GLTSCR1x1)[11/200]</t>
  </si>
  <si>
    <t>S23-6529</t>
  </si>
  <si>
    <t>C23-013</t>
  </si>
  <si>
    <t>CO-DELETION (~38.5%):nuc ish(TP73x1,ABL2x2)[77/200]/(TP73,ABL2)x1[81/200],(ZNF443x2,GLTSCR1x1)[92/200]/
(ZNF443,GLTSCR1)x1[53/200]</t>
  </si>
  <si>
    <t>S23-8285</t>
  </si>
  <si>
    <t>C23-015</t>
  </si>
  <si>
    <t>CO-DELETION (~56%):nuc ish(TP73x1,ABL2x2)[112/200],
(ZNF443x2,GLTSCR1x1)[124/200]/(ZNF443x2,GLTSCR1x0)[15/200]/
(ZNF443x1,GLTSCR1x0)[12/200]</t>
  </si>
  <si>
    <t>S23-10811</t>
  </si>
  <si>
    <t>C23-020</t>
  </si>
  <si>
    <t>S23-10874</t>
  </si>
  <si>
    <t>C23-021</t>
  </si>
  <si>
    <t>MVNT</t>
  </si>
  <si>
    <t>Trillium</t>
  </si>
  <si>
    <t>S23-11769</t>
  </si>
  <si>
    <t>C23-024</t>
  </si>
  <si>
    <t>St Mikes</t>
  </si>
  <si>
    <t>S23-13284</t>
  </si>
  <si>
    <t>C23-025</t>
  </si>
  <si>
    <t>CO-DELETION (~31.5%):nuc ish(TP73x1,ABL2x2)[63/200],(ZNF443x2,GLTSCR1x1)[66/200]</t>
  </si>
  <si>
    <t>DELETION HOMO: nuc ish(CDKN2Ax0,D9Z1x1)[12/200]/(CDKN2A,D9Z1)x1[70/200]</t>
  </si>
  <si>
    <t>S23-14419</t>
  </si>
  <si>
    <t>C23-026</t>
  </si>
  <si>
    <t>S23-15241</t>
  </si>
  <si>
    <t>C23-027</t>
  </si>
  <si>
    <t>CO-DELETION (~52%):nuc ish(TP73x1,ABL2x2)[104/200],(ZNF443x2,GLTSCR1x1)[142/200]</t>
  </si>
  <si>
    <t>S23-17419</t>
  </si>
  <si>
    <t>C23-031</t>
  </si>
  <si>
    <t>S23-17961</t>
  </si>
  <si>
    <t>C23-032</t>
  </si>
  <si>
    <t>S23-19807</t>
  </si>
  <si>
    <t>C23-036</t>
  </si>
  <si>
    <t>S23-19953</t>
  </si>
  <si>
    <t>C23-037</t>
  </si>
  <si>
    <t>S23-21176</t>
  </si>
  <si>
    <t>C23-043</t>
  </si>
  <si>
    <t>S23-21741</t>
  </si>
  <si>
    <t>C23-044</t>
  </si>
  <si>
    <t>S23-22169</t>
  </si>
  <si>
    <t>C23-046</t>
  </si>
  <si>
    <t>S23-22343</t>
  </si>
  <si>
    <t>C23-047</t>
  </si>
  <si>
    <t>S23-24177</t>
  </si>
  <si>
    <t>C23-051</t>
  </si>
  <si>
    <t>S23-24178</t>
  </si>
  <si>
    <t>C23-052</t>
  </si>
  <si>
    <t>S23-24651</t>
  </si>
  <si>
    <t>C23-055</t>
  </si>
  <si>
    <t>ABNORMAL: NO CO-DELETION: nuc ish(TP73,ABL2)x3~4[8/200]/(TP73,ABL2)x3~4[14/200],(ZNF443,GLTSCR1)x3[9/200]/
(ZNF443x3,GLTSCR1x1)[12/200]/(ZNF443x3,GLTSCR1x2)[55/200]</t>
  </si>
  <si>
    <t>S23-26655</t>
  </si>
  <si>
    <t>C23-059</t>
  </si>
  <si>
    <t>S23-27309</t>
  </si>
  <si>
    <t>C23-060</t>
  </si>
  <si>
    <t>S23-28552 / S24-4453</t>
  </si>
  <si>
    <t>C23-061</t>
  </si>
  <si>
    <t>S23-33943</t>
  </si>
  <si>
    <t>C23-069</t>
  </si>
  <si>
    <t>S23-34806</t>
  </si>
  <si>
    <t>C23-071</t>
  </si>
  <si>
    <t>S23-36089</t>
  </si>
  <si>
    <t>C23-075</t>
  </si>
  <si>
    <t>CO-DELETION (~21%):nuc ish(TP73x1,ABL2x2)[60/200]/(TP73x2,ABL2x3)[15/200]/(TP73x1,ABL2x3)[15/200]/(TP73x2,ABL2x4)[14/200],
(ZNF443x2,GLTSCR1x1)[42/200]/(ZNF443x3,GLTSCR1x2)[34/200]/(ZNF443x3,GLTSCR1x1)[12/200]/
(ZNF443x4,GLTSCR1x2)[20/200]</t>
  </si>
  <si>
    <t>S23-35993</t>
  </si>
  <si>
    <t>C23-076</t>
  </si>
  <si>
    <t>S23-36002</t>
  </si>
  <si>
    <t>C23-077</t>
  </si>
  <si>
    <t>S23-36874</t>
  </si>
  <si>
    <t>C23-078</t>
  </si>
  <si>
    <t>S23-37295</t>
  </si>
  <si>
    <t>C23-080</t>
  </si>
  <si>
    <t>S23-37298</t>
  </si>
  <si>
    <t>C23-081</t>
  </si>
  <si>
    <t>S23-38025</t>
  </si>
  <si>
    <t>C23-085</t>
  </si>
  <si>
    <t>DELETION HOMO low levels: nuc ish(CDKN2A,D9Z1)x1[96/200]/(CDKN2Ax0,D9Z1x1)[17/200]</t>
  </si>
  <si>
    <t>S23-38028</t>
  </si>
  <si>
    <t>C23-086</t>
  </si>
  <si>
    <t>CO-DELETION (2011)</t>
  </si>
  <si>
    <t>S23-41321</t>
  </si>
  <si>
    <t>C23-089</t>
  </si>
  <si>
    <t>S23-41481</t>
  </si>
  <si>
    <t>C23-090</t>
  </si>
  <si>
    <t>S23-42206</t>
  </si>
  <si>
    <t>C23-091</t>
  </si>
  <si>
    <t>S23-42217</t>
  </si>
  <si>
    <t>C23-092</t>
  </si>
  <si>
    <t>S23-42888</t>
  </si>
  <si>
    <t>C23-094</t>
  </si>
  <si>
    <t>S23-42890</t>
  </si>
  <si>
    <t>C23-095</t>
  </si>
  <si>
    <t>S23-42896</t>
  </si>
  <si>
    <t>C23-097</t>
  </si>
  <si>
    <t>S23-44661</t>
  </si>
  <si>
    <t>C23-100</t>
  </si>
  <si>
    <t>S23-44762</t>
  </si>
  <si>
    <t>C23-101</t>
  </si>
  <si>
    <t>S23-45894</t>
  </si>
  <si>
    <t>C23-102</t>
  </si>
  <si>
    <t>S23-45999</t>
  </si>
  <si>
    <t>C23-103</t>
  </si>
  <si>
    <t>S23-46003</t>
  </si>
  <si>
    <t>C23-104</t>
  </si>
  <si>
    <t>S23-46007</t>
  </si>
  <si>
    <t>C23-105</t>
  </si>
  <si>
    <t>S23-46009</t>
  </si>
  <si>
    <t>C23-106</t>
  </si>
  <si>
    <t>S23-46730</t>
  </si>
  <si>
    <t>C23-107</t>
  </si>
  <si>
    <t>S23-47341</t>
  </si>
  <si>
    <t>C23-108</t>
  </si>
  <si>
    <t>S23-47346</t>
  </si>
  <si>
    <t>C23-109</t>
  </si>
  <si>
    <t>S23-47473</t>
  </si>
  <si>
    <t>C23-110</t>
  </si>
  <si>
    <t>S23-47474</t>
  </si>
  <si>
    <t>C23-111</t>
  </si>
  <si>
    <t>S23-47671</t>
  </si>
  <si>
    <t>C23-112</t>
  </si>
  <si>
    <t>S23-48091</t>
  </si>
  <si>
    <t>C23-113</t>
  </si>
  <si>
    <t>S23-48707</t>
  </si>
  <si>
    <t>C23-115</t>
  </si>
  <si>
    <t>S23-49053</t>
  </si>
  <si>
    <t>C23-116</t>
  </si>
  <si>
    <t>CO-DELETION (~30%):nuc ish(TP73x1,ABL2x2)[69/200]/(TP73,ABL2)x1[63/200],(ZNF443x2,GLTSCR1x1)[60/200]/
(ZNF443x3,GLTSCR1x1~2)[50/200]</t>
  </si>
  <si>
    <t>DELETION HOMO: nuc ish(CDKN2Ax0,D9Z1x1)[15/200]/(CDKN2Ax0,D9Z1x2)[11/200]/(CDKN2Ax1,D9Z1x2)[37/200]</t>
  </si>
  <si>
    <t>S23-49390</t>
  </si>
  <si>
    <t>C23-117</t>
  </si>
  <si>
    <t>S23-50041</t>
  </si>
  <si>
    <t>C23-118</t>
  </si>
  <si>
    <t>CO-DELETION (~18.5%): nuc ish(TP73x1,ABL2x2)[36/200]/(TP73x1~2,ABL2x3)[61/200]/(TP73x2,ABL2x4)[60/200],
(ZNF443x2,GLTSCR1x1)[41/200]/(ZNF443x3,GLTSCR1x2)[56/200]/(ZNF443x4,GLTSCR1x2)[58/200]</t>
  </si>
  <si>
    <t>S23-50070 / S23-51147</t>
  </si>
  <si>
    <t>C23-119</t>
  </si>
  <si>
    <t>S23-50076</t>
  </si>
  <si>
    <t>C23-120</t>
  </si>
  <si>
    <t>S23-51149</t>
  </si>
  <si>
    <t>C23-123</t>
  </si>
  <si>
    <t>S23-51444</t>
  </si>
  <si>
    <t>C23-124</t>
  </si>
  <si>
    <t>S23-51498</t>
  </si>
  <si>
    <t>C23-125</t>
  </si>
  <si>
    <t>CO-DELETION (~50.5%): nuc ish(TP73x1,ABL2x2)[67/200]/(TP73x2,ABL2x3)[17/200]/(TP73x1,ABL2x3)[11/200]/
(TP73x2,ABL2x4)[6/200],(ZNF443x2,GLTSCR1x1)[85/200]/(ZNF443x3,GLTSCR1x2)[11/200]/
(ZNF443x3,GLTSCR1x1)[9/200]/(ZNF443x4,GLTSCR1x2)[6/200]</t>
  </si>
  <si>
    <t>S23-51633</t>
  </si>
  <si>
    <t>C23-126</t>
  </si>
  <si>
    <t>S23-52224</t>
  </si>
  <si>
    <t>C23-130</t>
  </si>
  <si>
    <t>S23-54350</t>
  </si>
  <si>
    <t>C23-132</t>
  </si>
  <si>
    <t>S23-54889</t>
  </si>
  <si>
    <t>C23-133</t>
  </si>
  <si>
    <t>S23-54893</t>
  </si>
  <si>
    <t>C23-134</t>
  </si>
  <si>
    <t>PXA/3</t>
  </si>
  <si>
    <t>S23-55234</t>
  </si>
  <si>
    <t>C23-135</t>
  </si>
  <si>
    <t>S23-55376</t>
  </si>
  <si>
    <t>C23-136</t>
  </si>
  <si>
    <t>S23-56069</t>
  </si>
  <si>
    <t>C23-137</t>
  </si>
  <si>
    <t xml:space="preserve">St Mikes </t>
  </si>
  <si>
    <t>S23-56085</t>
  </si>
  <si>
    <t>C23-138</t>
  </si>
  <si>
    <t>S23-56389</t>
  </si>
  <si>
    <t>C23-139</t>
  </si>
  <si>
    <t>S23-57047</t>
  </si>
  <si>
    <t>C23-141</t>
  </si>
  <si>
    <t>S23-57852</t>
  </si>
  <si>
    <t>C23-142</t>
  </si>
  <si>
    <t>S23-57876</t>
  </si>
  <si>
    <t>C23-143</t>
  </si>
  <si>
    <t>CBM</t>
  </si>
  <si>
    <t>S23-57883</t>
  </si>
  <si>
    <t>C23-144</t>
  </si>
  <si>
    <t>S23-57885</t>
  </si>
  <si>
    <t>C23-145</t>
  </si>
  <si>
    <t>S23-57887</t>
  </si>
  <si>
    <t>C23-146</t>
  </si>
  <si>
    <t>S23-58460</t>
  </si>
  <si>
    <t>C23-148</t>
  </si>
  <si>
    <t>S23-59399</t>
  </si>
  <si>
    <t>C23-149</t>
  </si>
  <si>
    <t>CO-DELETION (~53.5%): nuc ish(TP73x1,ABL2x2)[115/200],(ZNF443x2,GLTSCR1x1)[107/200]</t>
  </si>
  <si>
    <t>S23-59491</t>
  </si>
  <si>
    <t>C23-150</t>
  </si>
  <si>
    <t>S23-60014</t>
  </si>
  <si>
    <t>C23-151</t>
  </si>
  <si>
    <t>CO-DELETION (2010)</t>
  </si>
  <si>
    <t>S23-60065</t>
  </si>
  <si>
    <t>C23-152</t>
  </si>
  <si>
    <t>S23-60217</t>
  </si>
  <si>
    <t>C23-153</t>
  </si>
  <si>
    <t>S23-60441</t>
  </si>
  <si>
    <t>C23-154</t>
  </si>
  <si>
    <t>S23-61064</t>
  </si>
  <si>
    <t>C23-156</t>
  </si>
  <si>
    <t>S23-61117</t>
  </si>
  <si>
    <t>C23-157</t>
  </si>
  <si>
    <t>S23-61121</t>
  </si>
  <si>
    <t>C23-158</t>
  </si>
  <si>
    <t>S23-62251</t>
  </si>
  <si>
    <t>C23-160</t>
  </si>
  <si>
    <t>S23-62521</t>
  </si>
  <si>
    <t>C23-161</t>
  </si>
  <si>
    <t>S23-62522</t>
  </si>
  <si>
    <t>C23-162</t>
  </si>
  <si>
    <t>S23-62553</t>
  </si>
  <si>
    <t>C23-163</t>
  </si>
  <si>
    <t>S23-62555</t>
  </si>
  <si>
    <t>C23-164</t>
  </si>
  <si>
    <t>S23-62556</t>
  </si>
  <si>
    <t>C23-165</t>
  </si>
  <si>
    <t>S23-63476</t>
  </si>
  <si>
    <t>C23-166</t>
  </si>
  <si>
    <t>LV</t>
  </si>
  <si>
    <t>S23-63479</t>
  </si>
  <si>
    <t>C23-167</t>
  </si>
  <si>
    <t>S23-63482</t>
  </si>
  <si>
    <t>C23-168</t>
  </si>
  <si>
    <t>S23-63673</t>
  </si>
  <si>
    <t>C23-170</t>
  </si>
  <si>
    <t>S23-64128</t>
  </si>
  <si>
    <t>C23-172</t>
  </si>
  <si>
    <t>EPE/3</t>
  </si>
  <si>
    <t>S23-64132</t>
  </si>
  <si>
    <t>C23-173</t>
  </si>
  <si>
    <t>S23-64399</t>
  </si>
  <si>
    <t>C23-174</t>
  </si>
  <si>
    <t>S23-64716</t>
  </si>
  <si>
    <t>C23-175</t>
  </si>
  <si>
    <t>S24-1354</t>
  </si>
  <si>
    <t>C24-003</t>
  </si>
  <si>
    <t>S24-2413</t>
  </si>
  <si>
    <t>C24-004</t>
  </si>
  <si>
    <t>S24-2420 / S24-18637</t>
  </si>
  <si>
    <t>C24-005</t>
  </si>
  <si>
    <t>Hamilton/UHN</t>
  </si>
  <si>
    <t>S24-2903</t>
  </si>
  <si>
    <t>C24-006</t>
  </si>
  <si>
    <t>M</t>
  </si>
  <si>
    <t>S24-4451</t>
  </si>
  <si>
    <t>C24-009</t>
  </si>
  <si>
    <t>Pineal</t>
  </si>
  <si>
    <t>S24-4479</t>
  </si>
  <si>
    <t>C24-011</t>
  </si>
  <si>
    <t>S24-4490</t>
  </si>
  <si>
    <t>C24-012</t>
  </si>
  <si>
    <t>S24-4786</t>
  </si>
  <si>
    <t>C24-013</t>
  </si>
  <si>
    <t>S24-4787</t>
  </si>
  <si>
    <t>C24-014</t>
  </si>
  <si>
    <t>S24-4788</t>
  </si>
  <si>
    <t>C24-015</t>
  </si>
  <si>
    <t>S24-5675</t>
  </si>
  <si>
    <t>C24-016</t>
  </si>
  <si>
    <t>S24-5679</t>
  </si>
  <si>
    <t>C24-017</t>
  </si>
  <si>
    <t>S24-6529</t>
  </si>
  <si>
    <t>C24-018</t>
  </si>
  <si>
    <t>S24-6995</t>
  </si>
  <si>
    <t>C24-019</t>
  </si>
  <si>
    <t>S24-6997</t>
  </si>
  <si>
    <t>C24-020</t>
  </si>
  <si>
    <t>S24-8091</t>
  </si>
  <si>
    <t>C24-025</t>
  </si>
  <si>
    <t>S24-9093</t>
  </si>
  <si>
    <t>C24-027</t>
  </si>
  <si>
    <t>S24-9774</t>
  </si>
  <si>
    <t>C24-029</t>
  </si>
  <si>
    <t>S24-10711</t>
  </si>
  <si>
    <t>C24-030</t>
  </si>
  <si>
    <t>S24-10715</t>
  </si>
  <si>
    <t>C24-031</t>
  </si>
  <si>
    <t>S24-10716</t>
  </si>
  <si>
    <t>C24-032</t>
  </si>
  <si>
    <t>S24-11095</t>
  </si>
  <si>
    <t>C24-033</t>
  </si>
  <si>
    <t>S24-11719</t>
  </si>
  <si>
    <t>C24-034</t>
  </si>
  <si>
    <t>S24-11682</t>
  </si>
  <si>
    <t>C24-036</t>
  </si>
  <si>
    <t>S24-13400</t>
  </si>
  <si>
    <t>C24-038</t>
  </si>
  <si>
    <t>S24-13401</t>
  </si>
  <si>
    <t>C24-039</t>
  </si>
  <si>
    <t>F</t>
  </si>
  <si>
    <t>S24-13596</t>
  </si>
  <si>
    <t>C24-040</t>
  </si>
  <si>
    <t>S24-15302</t>
  </si>
  <si>
    <t>C24-041</t>
  </si>
  <si>
    <t>S24-15303</t>
  </si>
  <si>
    <t>C24-042</t>
  </si>
  <si>
    <t>S24-15304</t>
  </si>
  <si>
    <t>C24-043</t>
  </si>
  <si>
    <t>S24-15660</t>
  </si>
  <si>
    <t>C24-044</t>
  </si>
  <si>
    <t>S24-16051</t>
  </si>
  <si>
    <t>C24-046</t>
  </si>
  <si>
    <t>S24-16759</t>
  </si>
  <si>
    <t>C24-048</t>
  </si>
  <si>
    <t>S24-17352</t>
  </si>
  <si>
    <t>C24-050</t>
  </si>
  <si>
    <t>S24-17391</t>
  </si>
  <si>
    <t>C24-051</t>
  </si>
  <si>
    <t>S24-17403</t>
  </si>
  <si>
    <t>C24-052</t>
  </si>
  <si>
    <t>S24-17833</t>
  </si>
  <si>
    <t>C24-053</t>
  </si>
  <si>
    <t>S24-18728</t>
  </si>
  <si>
    <t>C24-056</t>
  </si>
  <si>
    <t>S24-21105</t>
  </si>
  <si>
    <t>C24-058</t>
  </si>
  <si>
    <t xml:space="preserve">Temporal </t>
  </si>
  <si>
    <t>S24-22075</t>
  </si>
  <si>
    <t>C24-061</t>
  </si>
  <si>
    <t>S24-22079</t>
  </si>
  <si>
    <t>C24-062</t>
  </si>
  <si>
    <t>S24-22082</t>
  </si>
  <si>
    <t>C24-063</t>
  </si>
  <si>
    <t>S24-22085</t>
  </si>
  <si>
    <t>C24-064</t>
  </si>
  <si>
    <t>S24-22087</t>
  </si>
  <si>
    <t>C24-065</t>
  </si>
  <si>
    <t>S24-22090</t>
  </si>
  <si>
    <t>C24-066</t>
  </si>
  <si>
    <t>S24-22125</t>
  </si>
  <si>
    <t>C24-067</t>
  </si>
  <si>
    <t>S24-22407</t>
  </si>
  <si>
    <t>C24-068</t>
  </si>
  <si>
    <t>S24-22488</t>
  </si>
  <si>
    <t>C24-069</t>
  </si>
  <si>
    <t>S24-22685</t>
  </si>
  <si>
    <t>C24-071</t>
  </si>
  <si>
    <t>S24-22690</t>
  </si>
  <si>
    <t>C24-072</t>
  </si>
  <si>
    <t>S24-22697</t>
  </si>
  <si>
    <t>C24-073</t>
  </si>
  <si>
    <t>S24-22959</t>
  </si>
  <si>
    <t>C24-074</t>
  </si>
  <si>
    <t>S24-22961</t>
  </si>
  <si>
    <t>C24-075</t>
  </si>
  <si>
    <t>S24-23609</t>
  </si>
  <si>
    <t>C24-077</t>
  </si>
  <si>
    <t>S24-24449</t>
  </si>
  <si>
    <t>C24-078</t>
  </si>
  <si>
    <t>S24-24996</t>
  </si>
  <si>
    <t>C24-079</t>
  </si>
  <si>
    <t>S24-25024</t>
  </si>
  <si>
    <t>C24-080</t>
  </si>
  <si>
    <t>S24-25028</t>
  </si>
  <si>
    <t>C24-081</t>
  </si>
  <si>
    <t>S24-25030</t>
  </si>
  <si>
    <t>C24-082</t>
  </si>
  <si>
    <t>S24-25032</t>
  </si>
  <si>
    <t>C24-083</t>
  </si>
  <si>
    <t>AB</t>
  </si>
  <si>
    <t>S24-25595</t>
  </si>
  <si>
    <t>C24-084</t>
  </si>
  <si>
    <t>S24-25739</t>
  </si>
  <si>
    <t>C24-085</t>
  </si>
  <si>
    <t>S24-26250</t>
  </si>
  <si>
    <t>C24-087</t>
  </si>
  <si>
    <t>S24-26253</t>
  </si>
  <si>
    <t>C24-088</t>
  </si>
  <si>
    <t>S24-26563</t>
  </si>
  <si>
    <t>C24-089</t>
  </si>
  <si>
    <t>S24-26564</t>
  </si>
  <si>
    <t>C24-090</t>
  </si>
  <si>
    <t>S26-26570</t>
  </si>
  <si>
    <t>C24-091</t>
  </si>
  <si>
    <t>S24-27131</t>
  </si>
  <si>
    <t>C24-092</t>
  </si>
  <si>
    <t>S24-27580</t>
  </si>
  <si>
    <t>C24-093</t>
  </si>
  <si>
    <t>S24-28180</t>
  </si>
  <si>
    <t>C24-095</t>
  </si>
  <si>
    <t>Hamilton 17:SG2879 "DNET"</t>
  </si>
  <si>
    <t>S24-28258</t>
  </si>
  <si>
    <t>C24-096</t>
  </si>
  <si>
    <t>S24-28394</t>
  </si>
  <si>
    <t>C24-099</t>
  </si>
  <si>
    <t>S24-28642</t>
  </si>
  <si>
    <t>C24-100</t>
  </si>
  <si>
    <t>S24-28645</t>
  </si>
  <si>
    <t>C24-101</t>
  </si>
  <si>
    <t>S24-29095</t>
  </si>
  <si>
    <t>C24-102</t>
  </si>
  <si>
    <t>S24-29098</t>
  </si>
  <si>
    <t>C24-103</t>
  </si>
  <si>
    <t>S24-29101</t>
  </si>
  <si>
    <t>C24-104</t>
  </si>
  <si>
    <t>S24-29567</t>
  </si>
  <si>
    <t>C24-105</t>
  </si>
  <si>
    <t>S24-29580</t>
  </si>
  <si>
    <t>C24-106</t>
  </si>
  <si>
    <t>S22-9661</t>
  </si>
  <si>
    <t>S23-2118</t>
  </si>
  <si>
    <t>C23-003</t>
  </si>
  <si>
    <t>_0696576</t>
  </si>
  <si>
    <t>ABNORMAL, MONOSOMY 9:  nuc ish(CDKN2A,D9Z1)x1[86/200]</t>
  </si>
  <si>
    <t>S23-2578</t>
  </si>
  <si>
    <t>C23-005</t>
  </si>
  <si>
    <t>I-CDKN2A Copy number loss: 0.3</t>
  </si>
  <si>
    <t>I-CDKN2B Copy number loss: 0.3</t>
  </si>
  <si>
    <t>I-EGFR amplification Copy number gain: 35.3</t>
  </si>
  <si>
    <t>II-CDK6 Copy number gain: 14.2</t>
  </si>
  <si>
    <t>III-EGFR: p.Cys591Tyr</t>
  </si>
  <si>
    <t>S23-2872</t>
  </si>
  <si>
    <t>C23-006</t>
  </si>
  <si>
    <t>I- Fusion KIAA1549 Exon 16 - BRAF Exon 9</t>
  </si>
  <si>
    <t>S23-3418</t>
  </si>
  <si>
    <t>C23-008</t>
  </si>
  <si>
    <t>II-CDK4 Amplification Copy number: 21.8</t>
  </si>
  <si>
    <t>II-FGFR3: p.(Lys687Glu)</t>
  </si>
  <si>
    <t>II-MDM2 Amplification Copy number: 28.3</t>
  </si>
  <si>
    <t>S23-5791</t>
  </si>
  <si>
    <t>C23-011</t>
  </si>
  <si>
    <t>nuc ish(EGFR,D7Z1)x3[19/60],(D10Z1x1~3,PTENx3)[71/200]/(D10Z1x2~4,PTENx4)[26/200]</t>
  </si>
  <si>
    <t>II-CDK4 Amplification Copy number: 15.3</t>
  </si>
  <si>
    <t>II-PIK3CA: p.(Glu542Lys)</t>
  </si>
  <si>
    <t>III-TP53:p.(Gln165del)</t>
  </si>
  <si>
    <t>S23-7103</t>
  </si>
  <si>
    <t>C23-014</t>
  </si>
  <si>
    <t>II-CDK4 Amplification Copy number: 9.8</t>
  </si>
  <si>
    <t>II-MDM2 Amplification Copy number: 38.5</t>
  </si>
  <si>
    <t>S23-8529</t>
  </si>
  <si>
    <t>C23-016</t>
  </si>
  <si>
    <t>II-TP53: p.Glu56Lysfs*67</t>
  </si>
  <si>
    <t>II-TP53: p.Val217Gly</t>
  </si>
  <si>
    <t>S23-8658</t>
  </si>
  <si>
    <t>C23-017</t>
  </si>
  <si>
    <t>DELETION HOMO: nuc ish(CDKN2Ax1,D9Z1x2~3)[74/200]/(CDKN2Ax0,D9Z1x2)[30/200]/(CDKN2Ax0,D9Z1x1)[11/200]/ (CDKN2Ax0,D9Z1x3)[7/200]</t>
  </si>
  <si>
    <t>S23-9293</t>
  </si>
  <si>
    <t>C23-018</t>
  </si>
  <si>
    <t>S23-9977</t>
  </si>
  <si>
    <t>C23-019</t>
  </si>
  <si>
    <t>I-PTEN: p.Arg130Thrfs*50</t>
  </si>
  <si>
    <t>S23-11401</t>
  </si>
  <si>
    <t>C23-022</t>
  </si>
  <si>
    <t>II-CDKN2A: p.His83Tyr</t>
  </si>
  <si>
    <t>II-TP53: p.Gly266Arg</t>
  </si>
  <si>
    <t>III-FRGFR1: p.Gly368Glu</t>
  </si>
  <si>
    <t>III- MSH6: p.Asp439Asn</t>
  </si>
  <si>
    <t>III- SMARCB1: p.Lys364del</t>
  </si>
  <si>
    <t>S23-11659</t>
  </si>
  <si>
    <t>C23-023</t>
  </si>
  <si>
    <t>II-EGFR: p.Ala289Thr</t>
  </si>
  <si>
    <t>S23-15866</t>
  </si>
  <si>
    <t>C23-028</t>
  </si>
  <si>
    <t>I-Fusion EGFR Exon 1 -  EGFR Exon 8</t>
  </si>
  <si>
    <t>I-EGFR Amplification Copy number: 68.5</t>
  </si>
  <si>
    <t>I-PTEN: c.209+1G&gt;A p.(?)</t>
  </si>
  <si>
    <t>II-TERT Amplification Copy number: 12.9</t>
  </si>
  <si>
    <t>II-TP53: p.Arg174_Pro177delinsGly</t>
  </si>
  <si>
    <t>S23-17037</t>
  </si>
  <si>
    <t>C23-030</t>
  </si>
  <si>
    <t>I-PTEN: p.(Cys136_Ala137del)</t>
  </si>
  <si>
    <t>II- CDKN2A: p.(Pro81Leu)</t>
  </si>
  <si>
    <t>II- TP53: c.782+1G&gt;A p.(?)</t>
  </si>
  <si>
    <t>S23-18455</t>
  </si>
  <si>
    <t>C23-034</t>
  </si>
  <si>
    <t>S23-22137</t>
  </si>
  <si>
    <t>C23-045</t>
  </si>
  <si>
    <t>ABNORMAL, NO DELETION: nuc ish(CDKN2Ax1,D9Z1x2)[42/200]/(CDKN2Ax2,D9Z1x3)[28/200]/(CDKN2Ax1,D9Z1x3)[14/200]</t>
  </si>
  <si>
    <t>I-ATRX: p.(Tyr341*)</t>
  </si>
  <si>
    <t>II-PDGFRA Amplification Copy number: 13.0</t>
  </si>
  <si>
    <t>II-TP53: p.(Ala161Asp)</t>
  </si>
  <si>
    <t>S23-24147</t>
  </si>
  <si>
    <t>C23-050</t>
  </si>
  <si>
    <t>ABNORMAL: NO CO-DELETION: nuc ish(TP73x0~2,ABL2x3)[72/200]/(TP73x1~2,ABL2x4)[35/200],(ZNF443x3,GLTSCR1x1~2)[56/200]/(ZNF443x4,GLTSCR1x1~2)[46/200]</t>
  </si>
  <si>
    <t xml:space="preserve">IAB-TERTp: c.-124C&gt;T </t>
  </si>
  <si>
    <t>IAB-IDH1:p.Arg132His</t>
  </si>
  <si>
    <t>IIB: PTEN: p.(Gly129Glu)</t>
  </si>
  <si>
    <t>IIAB-MSH6: p.(Glu992Gly)</t>
  </si>
  <si>
    <t>IIIA-MET: p.(Pro239Ser)</t>
  </si>
  <si>
    <t>IIIA-PMS2: p.(Asp502Asn)</t>
  </si>
  <si>
    <t>IIIB-MSH6: p.(Pro408Ser)</t>
  </si>
  <si>
    <t>IIIB-MSH6: p.(Glu992Gly)</t>
  </si>
  <si>
    <t>IIIB-POLE: p.(Asp89Asn)</t>
  </si>
  <si>
    <t>IIIB-POLE: p.(Val1609Met)</t>
  </si>
  <si>
    <t>S23-24650</t>
  </si>
  <si>
    <t>C23-054</t>
  </si>
  <si>
    <t>19 (cl)</t>
  </si>
  <si>
    <t>S23-25231</t>
  </si>
  <si>
    <t>C23-056</t>
  </si>
  <si>
    <t>DELETION HOMO: nuc ish(CDKN2Ax0,D9Z1x2)[63/200]/(CDKN2Ax0,D9Z1x3)[44/200]/(CDKN2Ax0,D9Z1x4)[28/200]/  (CDKN2Ax0,D9Z1x1)[17/200]/(CDKN2Ax0,D9Z1x5)[11/200]</t>
  </si>
  <si>
    <t>I-CDKN2A Copy number loss: 0.1</t>
  </si>
  <si>
    <t>I-CDKN2B Copy number loss: 0.1</t>
  </si>
  <si>
    <t>I-MSH6: p.(Lys1358Aspfs*2)</t>
  </si>
  <si>
    <t>I-PTEN: c.209+2T&gt;C p.(?)</t>
  </si>
  <si>
    <t>II-FGFR3: p.(Ala391Val)</t>
  </si>
  <si>
    <t>II-MLH1: c.676C&gt;T p.(?)</t>
  </si>
  <si>
    <t>II-PDGFRA Amplification Copy number: 22.2</t>
  </si>
  <si>
    <t>II-PIK3CA: p.(His1047Arg)</t>
  </si>
  <si>
    <t>III-PTEN: p.(Ala126Thr)</t>
  </si>
  <si>
    <t>III-MET:  p.(Gly1137Arg)</t>
  </si>
  <si>
    <t>S23-25394</t>
  </si>
  <si>
    <t>C23-057</t>
  </si>
  <si>
    <t>III-ATRX:  p.(Ser1980Pro)</t>
  </si>
  <si>
    <t>III-RB1: p.(Met300Thr)</t>
  </si>
  <si>
    <t>III-TERT: p.(Thr292Met)</t>
  </si>
  <si>
    <t>S23-29861</t>
  </si>
  <si>
    <t>C23-063</t>
  </si>
  <si>
    <t>ABNORMAL, MONOSOMY 9: nuc ish(CDKN2A,D9Z1)x1[79//200]</t>
  </si>
  <si>
    <t xml:space="preserve">I-ATRX: p.(Arg2111*) </t>
  </si>
  <si>
    <t>II-TP53: p.(Val157Phe)</t>
  </si>
  <si>
    <t>S23-31231</t>
  </si>
  <si>
    <t>C23-066</t>
  </si>
  <si>
    <t>I-PTEN: p.(Thr319*)</t>
  </si>
  <si>
    <t>II-TP53: p.Arg248Trp</t>
  </si>
  <si>
    <t>II-TP53: c.75-2A&gt;G p.(?)</t>
  </si>
  <si>
    <t>S23-31478</t>
  </si>
  <si>
    <t>C23-067</t>
  </si>
  <si>
    <t>I-EGFR amplification Copy number gain: 22.8</t>
  </si>
  <si>
    <t>II-TP53: p.(Trp146*)</t>
  </si>
  <si>
    <t>S23-31737</t>
  </si>
  <si>
    <t>C23-068</t>
  </si>
  <si>
    <t>II-Fusion FGFR3 Exon 17 - TACC3 Exon 11</t>
  </si>
  <si>
    <t>II-NF1: c.1198C&gt;T p.(Gln400*)</t>
  </si>
  <si>
    <t>II-PTEN:c.195C&gt;G p.(Tyr65*)</t>
  </si>
  <si>
    <t>II:PTPN11:c.188A&gt;G p.(Tyr63Cys)</t>
  </si>
  <si>
    <t>S23-37944</t>
  </si>
  <si>
    <t>C23-083</t>
  </si>
  <si>
    <t>II-MSH2: c.1511-1G&gt;A p.(?)</t>
  </si>
  <si>
    <t>II-TP53: c.818G&gt;A p.(Arg273His)</t>
  </si>
  <si>
    <t>III-MDM2: c.500G&gt;A p.(Arg167Lys)</t>
  </si>
  <si>
    <t>III-NF1: c.757G&gt;A p.(Val253Met)</t>
  </si>
  <si>
    <t>III-RB1: c.1934C&gt;T p.(Thr645Ile)</t>
  </si>
  <si>
    <t>S23-2366 / S24-5802</t>
  </si>
  <si>
    <t>C23-004</t>
  </si>
  <si>
    <t>Oncomine update</t>
  </si>
  <si>
    <t>I-MLH1: p.(Ser184*)</t>
  </si>
  <si>
    <t>III-PMS2:  p.(Ile590Thr)</t>
  </si>
  <si>
    <t>III-TERT: p.(Gly300Asp)</t>
  </si>
  <si>
    <t xml:space="preserve">III-POLE: p.(Ser554Asn) </t>
  </si>
  <si>
    <t>S23-16969</t>
  </si>
  <si>
    <t>C23-029</t>
  </si>
  <si>
    <t>EGFR amp: nuc ish(EGFR amp,D7Z1x3~6)[60],(D10Z1,PTEN)x2[200]</t>
  </si>
  <si>
    <t>NORMAL</t>
  </si>
  <si>
    <t>I-CDKN2A Copy number loss: 0.2</t>
  </si>
  <si>
    <t>I-CDKN2B Copy number loss: 0.2</t>
  </si>
  <si>
    <t>I-ATRX: p.(Val1430*)</t>
  </si>
  <si>
    <t>II-PIK3CA: p.(Glu542Val)</t>
  </si>
  <si>
    <t>S23-18270 / S23-63799</t>
  </si>
  <si>
    <t>C23-033</t>
  </si>
  <si>
    <t>I-CDKN2B Copy number loss: 0.4</t>
  </si>
  <si>
    <t>II-EGFR: p.(Ala289Val)</t>
  </si>
  <si>
    <t>II-MDM4 Amplification Copy number: 37.4</t>
  </si>
  <si>
    <t>S23-19384</t>
  </si>
  <si>
    <t>C23-035</t>
  </si>
  <si>
    <t>DELETION: nuc ish(EGFR,D7Z1)x2[60],(D10Z1,PTEN)x1[146/200]</t>
  </si>
  <si>
    <t>I- Fusion FGFR1 Exon 17 -  TACC1 Exon 10</t>
  </si>
  <si>
    <t>S23-19815</t>
  </si>
  <si>
    <t>C23-038</t>
  </si>
  <si>
    <t>DELETION HOMO: nuc ish(CDKN2Ax0,D9Z1x1)[28/200]/(CDKN2Ax0,D9Z1x2)[23/200]/(CDKN2Ax0,D9Z1x3)[5/200]</t>
  </si>
  <si>
    <t>II-FGFR1: p.(Lys687Glu)</t>
  </si>
  <si>
    <t>S23-20181</t>
  </si>
  <si>
    <t>C23-039</t>
  </si>
  <si>
    <t>II- CDK4 Amplification Copy number: 19.1</t>
  </si>
  <si>
    <t>S23-20523</t>
  </si>
  <si>
    <t>C23-040</t>
  </si>
  <si>
    <t>I-PTEN: c.209+1G&gt;C p.(?)</t>
  </si>
  <si>
    <t>II-CDK4 Amplification Copy number: 61.5</t>
  </si>
  <si>
    <t>II-MDM2 Amplification Copy number: 102.6</t>
  </si>
  <si>
    <t>III-MET: p.(Arg988Cys)</t>
  </si>
  <si>
    <t>S23-20741</t>
  </si>
  <si>
    <t>C23-041</t>
  </si>
  <si>
    <t>I-EGFR Amplification Copy number: 92.0</t>
  </si>
  <si>
    <t>II-CDK6 Amplification Copy number: 5.0</t>
  </si>
  <si>
    <t>II-MDM4 Amplification Copy number: 25.6</t>
  </si>
  <si>
    <t>S23-21118</t>
  </si>
  <si>
    <t>C23-042</t>
  </si>
  <si>
    <t>W</t>
  </si>
  <si>
    <t>II-PTEN: p.(Tyr65Ter)</t>
  </si>
  <si>
    <t xml:space="preserve">II-FGFR3: p.(Gly380Arg) </t>
  </si>
  <si>
    <t>S23-24047</t>
  </si>
  <si>
    <t>C23-049</t>
  </si>
  <si>
    <t>I-PTEN: p.(Gly36Arg)</t>
  </si>
  <si>
    <t>S23-24383</t>
  </si>
  <si>
    <t>C23-053</t>
  </si>
  <si>
    <t>I-EGFR Amplification Copy number: 257.7</t>
  </si>
  <si>
    <t>II-NF1: p.(Glu1458Lysfs*11)</t>
  </si>
  <si>
    <t>S23-29891</t>
  </si>
  <si>
    <t>C23-064</t>
  </si>
  <si>
    <t>I-H3F3A: p.(Lys28Met)</t>
  </si>
  <si>
    <t>S23-30233</t>
  </si>
  <si>
    <t>C23-065</t>
  </si>
  <si>
    <t>I-EGFR Amplification Copy number: 40.8</t>
  </si>
  <si>
    <t>II-CDK4 Amplification Copy number: 76.7</t>
  </si>
  <si>
    <t>II-MDM2 Amplification Copy number: 86.0</t>
  </si>
  <si>
    <t>II-PTEN: p.(Met134Ile)</t>
  </si>
  <si>
    <t>II-PTPN11: p.(Gly60Val)</t>
  </si>
  <si>
    <t>S23-35364</t>
  </si>
  <si>
    <t>C23-072</t>
  </si>
  <si>
    <t>S23-35398</t>
  </si>
  <si>
    <t>C23-073</t>
  </si>
  <si>
    <t>II-TP53:  p.(Arg282Trp)</t>
  </si>
  <si>
    <t>III-MSH6: p.(Leu147Arg)</t>
  </si>
  <si>
    <t>S23-35840</t>
  </si>
  <si>
    <t>C23-074</t>
  </si>
  <si>
    <t>II-CDK4 Amplification Copy number: 63.6</t>
  </si>
  <si>
    <t>II-MDM2 Amplification Copy number: 64.6</t>
  </si>
  <si>
    <t>II-PDGFRA Amplification Copy number: 65.8</t>
  </si>
  <si>
    <t>III-MSH6: p.(Phe1103Ile)</t>
  </si>
  <si>
    <t>S23-37269</t>
  </si>
  <si>
    <t>C23-079</t>
  </si>
  <si>
    <t>I-ATRX: c.371-1G&gt;A p.(?)</t>
  </si>
  <si>
    <t>I-PTEN:  c.253+1G&gt;A p.(?)</t>
  </si>
  <si>
    <t>II-MSH6: p.(Thr1219Ile)</t>
  </si>
  <si>
    <t>II-PDGFRA: p.(Pro577Ser)</t>
  </si>
  <si>
    <t>II-TP53: c.375G&gt;A p.(?)</t>
  </si>
  <si>
    <t>III-MDM2: p.(Glu346Lys)</t>
  </si>
  <si>
    <t>III-MSH6: p.(Pro389Ser)</t>
  </si>
  <si>
    <t xml:space="preserve">III-NTRK1: p.(Gly219Arg) </t>
  </si>
  <si>
    <t>III-NTRK3: p.(Gly504Ser)</t>
  </si>
  <si>
    <t>III-POLE: p.(Gln1243*)</t>
  </si>
  <si>
    <t>S23-37561</t>
  </si>
  <si>
    <t>C23-082</t>
  </si>
  <si>
    <t>I-EGFR Amplification Copy number: 43.8</t>
  </si>
  <si>
    <t>S23-38023</t>
  </si>
  <si>
    <t>C23-084</t>
  </si>
  <si>
    <t>RGNT</t>
  </si>
  <si>
    <t>ABNORMAL, MONOSOMY 9: nuc ish(CDKN2A,D9Z1)x1[70/200]</t>
  </si>
  <si>
    <t>II-PIK3CA: p.(Arg88Gln)</t>
  </si>
  <si>
    <t>II-FGFR1: p.(Asn577Lys)</t>
  </si>
  <si>
    <t>S23-40968</t>
  </si>
  <si>
    <t>C23-088</t>
  </si>
  <si>
    <t>II-MET: p.(Asp1246His)</t>
  </si>
  <si>
    <t>II-PIK3CA: p.(His1047Leu)</t>
  </si>
  <si>
    <t>III-HIFN1A: p.(Arg114His)</t>
  </si>
  <si>
    <t>S23-42873</t>
  </si>
  <si>
    <t>C23-093</t>
  </si>
  <si>
    <t>ABNORMAL, MONOSOMY 9: nuc ish(CDKN2A,D9Z1)x1[77/200]</t>
  </si>
  <si>
    <t>I-BRAF: p.(Val600Glu)</t>
  </si>
  <si>
    <t>S23-44193</t>
  </si>
  <si>
    <t>C23-098</t>
  </si>
  <si>
    <t>II-TP53:  p.(Arg248Gln)</t>
  </si>
  <si>
    <t>S23-44475</t>
  </si>
  <si>
    <t>C23-099</t>
  </si>
  <si>
    <t>I-CDKN2B Deletion Copy number: 0.3</t>
  </si>
  <si>
    <t>II-EGFR:  p.(Leu861Arg)</t>
  </si>
  <si>
    <t>III-NF1: p.(Cys1016Phe)</t>
  </si>
  <si>
    <t>S23-48429</t>
  </si>
  <si>
    <t>C23-114</t>
  </si>
  <si>
    <t>CO-DELETION, WITH ABNORMAL PATTERNS: nuc ish(TP73x1,ABL2x2)[51/200]/(TP73x1,ABL2x3~4)[37/200]/(TP73x2,ABL2x3~4[68/200],(ZNF443x2,GLTSCR1x1)[45/200]/(ZNF443x3,GLTSCR1x1)[19/200]/(ZNF443x3~4,GLTSCR1x2)[77/200]</t>
  </si>
  <si>
    <t>I-IDH2: p.(Arg172Lys)</t>
  </si>
  <si>
    <t>S23-50394</t>
  </si>
  <si>
    <t>C23-121</t>
  </si>
  <si>
    <t>III-EGFR: p.(Gly598Val)</t>
  </si>
  <si>
    <t>S23-50606</t>
  </si>
  <si>
    <t>C23-122</t>
  </si>
  <si>
    <t>I-EGFR Amplification Copy number: 4.9</t>
  </si>
  <si>
    <t>S23-51685</t>
  </si>
  <si>
    <t>C23-127</t>
  </si>
  <si>
    <t>10 (cl)</t>
  </si>
  <si>
    <t>II-NF1: p.(Phe1031Trpfs*7)</t>
  </si>
  <si>
    <t>S23-51941</t>
  </si>
  <si>
    <t>C23-128</t>
  </si>
  <si>
    <t>II-FGFR3: p.(Lys687Asp)</t>
  </si>
  <si>
    <t>III-PMS2: p.(Gly528Ser)</t>
  </si>
  <si>
    <t>S23-51968</t>
  </si>
  <si>
    <t>C23-129</t>
  </si>
  <si>
    <t>II-CDK4 Amplification Copy number: 21.4</t>
  </si>
  <si>
    <t>II-PDGFRA Amplification Copy number: 26.3</t>
  </si>
  <si>
    <t>II-TP53: p.(Met237Val)</t>
  </si>
  <si>
    <t>S23-52744</t>
  </si>
  <si>
    <t>C23-131</t>
  </si>
  <si>
    <t>I-EGFR Amplification Copy number: 43.6</t>
  </si>
  <si>
    <t>II-EGFR:  p.(Gly719Asp)</t>
  </si>
  <si>
    <t>II-PTEN: p.(Ala34Gly)</t>
  </si>
  <si>
    <t>S23-56661</t>
  </si>
  <si>
    <t>C23-140</t>
  </si>
  <si>
    <t>II-PDGFRA Amplification Copy number: 5.6</t>
  </si>
  <si>
    <t>II-TP53: p.(Gln317*)</t>
  </si>
  <si>
    <t>II-TP53: p.(Val157Gly)</t>
  </si>
  <si>
    <t>S23-58062</t>
  </si>
  <si>
    <t>C23-147</t>
  </si>
  <si>
    <t>ABNORMAL NO EGFR AMP: nuc ish(EGFR,D7Z1)x3[26/120],(D10Z1,PTEN)x1[89/200]</t>
  </si>
  <si>
    <t>PTEN DEL</t>
  </si>
  <si>
    <t>II-PDGFRA Amplification Copy number: 9.9</t>
  </si>
  <si>
    <t>II-PTEN:  p.(Lys237*)</t>
  </si>
  <si>
    <t>S23-60779</t>
  </si>
  <si>
    <t>C23-155</t>
  </si>
  <si>
    <t>II-FGFR1: p.(Asn577Ser)</t>
  </si>
  <si>
    <t>S23-61565</t>
  </si>
  <si>
    <t>C23-159</t>
  </si>
  <si>
    <t>I- Fusion FGFR1 Exon 17 -  TACC1 Exon 7</t>
  </si>
  <si>
    <t>S23-63574</t>
  </si>
  <si>
    <t>C23-169</t>
  </si>
  <si>
    <t>EGFR amp: nuc ish(EGFRx15~20,D7Z1x2~3)[60],(D10Z1,PTEN)x1[149/200]</t>
  </si>
  <si>
    <t>III-PIK3CA: p.(Arg4*)</t>
  </si>
  <si>
    <t>S23-63881</t>
  </si>
  <si>
    <t>C23-171</t>
  </si>
  <si>
    <t>II-TP53:p.(Thr155Ile)</t>
  </si>
  <si>
    <t>III-ATRX: p.(Arg2178Gln)</t>
  </si>
  <si>
    <t>III-KRAS: p.(Glu63del)</t>
  </si>
  <si>
    <t>S24-477</t>
  </si>
  <si>
    <t>C24-001</t>
  </si>
  <si>
    <t>ABNORMAL, MONOSOMY 9:nuc ish(CDKN2A,D9Z1)x1[85/200]</t>
  </si>
  <si>
    <t>I-ATRX: p.(Lys1166Glufs*8)</t>
  </si>
  <si>
    <t>S24-519</t>
  </si>
  <si>
    <t>C24-002</t>
  </si>
  <si>
    <t>I-ATRX: p.(Gln1224*)</t>
  </si>
  <si>
    <t>II-NF1: p.(Gln2263*)</t>
  </si>
  <si>
    <t>II-TP53: c.920-1G&gt;A p.(?)</t>
  </si>
  <si>
    <t>III-ATRX x1, BRAFx1,  MLH1x1, MSH6x1, NF1x3, NTRK2x1, POLEx1, PIK3CA1x1, PTPN11x1, RB1x1, SMARCB1x3, TP53x1</t>
  </si>
  <si>
    <t>S24-3119</t>
  </si>
  <si>
    <t>C24-007</t>
  </si>
  <si>
    <t>DELETION HOMO: nuc ish(CDKN2Ax0,D9Z1x1)[104/200]/(CDKN2Ax0,D9Z1x2)[15/200]</t>
  </si>
  <si>
    <t>I-BRAF: c.1799T&gt;A p.(Val600Glu)</t>
  </si>
  <si>
    <t>S24-4186</t>
  </si>
  <si>
    <t>C24-008</t>
  </si>
  <si>
    <t>S24-4471</t>
  </si>
  <si>
    <t>C24-010</t>
  </si>
  <si>
    <t>I-EGFR Amplification Copy number: 9.6</t>
  </si>
  <si>
    <t>II-CDK6 Amplification Copy number: 6.8</t>
  </si>
  <si>
    <t>II-TP53: p.(Arg110Leu)</t>
  </si>
  <si>
    <t>II-TP53: c.559+4A&gt;T p.(?)</t>
  </si>
  <si>
    <t>S24-7272</t>
  </si>
  <si>
    <t>C24-021</t>
  </si>
  <si>
    <t xml:space="preserve">CO-DELETION WITH ABNORMAL PATTERNS: nuc ish(TP73x1,ABL2x2)[86/200]/(TP73,ABL2)x1[67/200],(ZNF443x2,GLTSCR1x1)[110/200]/(ZNF443,GLTSCR1)x1[67/200]    </t>
  </si>
  <si>
    <t>II-KRAS: p.(Gly12Ala)</t>
  </si>
  <si>
    <t>S24-7624</t>
  </si>
  <si>
    <t>C24-022</t>
  </si>
  <si>
    <t>I-MLH1: p.(Ala681Thr)</t>
  </si>
  <si>
    <t>S24-7939 / S24-24215</t>
  </si>
  <si>
    <t>C24-023</t>
  </si>
  <si>
    <t>S24-8059</t>
  </si>
  <si>
    <t>C24-024</t>
  </si>
  <si>
    <t>S24-9086/S24-9203</t>
  </si>
  <si>
    <t>C24-026</t>
  </si>
  <si>
    <t>II-TP53: p.(Arg248Gln)</t>
  </si>
  <si>
    <t>II-TP53: p.(Leu257Val)</t>
  </si>
  <si>
    <t>S24-9139</t>
  </si>
  <si>
    <t>C24-028</t>
  </si>
  <si>
    <t>I-Fusion KIAA1549 Exon 9 -BRAF Exon 9</t>
  </si>
  <si>
    <t>S24-11743</t>
  </si>
  <si>
    <t>C24-035</t>
  </si>
  <si>
    <t>I-EGFR Amplification Copy number: 54.6</t>
  </si>
  <si>
    <t>II-CDK4 Amplification Copy number: 27.7</t>
  </si>
  <si>
    <t>II-MDM2 Amplification Copy number: 57.5</t>
  </si>
  <si>
    <t>S24-13382</t>
  </si>
  <si>
    <t>C24-037</t>
  </si>
  <si>
    <t>II-NF1: p.(Gln963Ter)</t>
  </si>
  <si>
    <t>III-NF1: p.(Leu529Arg)</t>
  </si>
  <si>
    <t>S24-15802</t>
  </si>
  <si>
    <t>C24-045</t>
  </si>
  <si>
    <t>I- Fusion EGFR Exon 1 :: EGFR Exon 8</t>
  </si>
  <si>
    <t xml:space="preserve">I-TERTp: c.-146C&gt;T </t>
  </si>
  <si>
    <t>II-BRAF: p.(Gly464Glu)</t>
  </si>
  <si>
    <t>II-EGFR Amplification Copy number: 12.5</t>
  </si>
  <si>
    <t>II-KRAS: p.(Thr50Ile)</t>
  </si>
  <si>
    <t>II-MDM4 Amplification Copy number: 14.9</t>
  </si>
  <si>
    <t>II-MSH6:c.3172+1G&gt;A p.(?)</t>
  </si>
  <si>
    <t>III-MSH6:  p.(Gly1069Glu)</t>
  </si>
  <si>
    <t>S24-16252</t>
  </si>
  <si>
    <t>C24-047</t>
  </si>
  <si>
    <t>I-EGFR Amplification Copy number: 6.4</t>
  </si>
  <si>
    <t xml:space="preserve">II-EGFR: p.(Ala289Val) </t>
  </si>
  <si>
    <t>II-TP53:  p.(His179Tyr)</t>
  </si>
  <si>
    <t>II-TP53:p.(Ser241Phe)</t>
  </si>
  <si>
    <t>III-ATRX: p.(Asn2140Ser)</t>
  </si>
  <si>
    <t>S24-16984</t>
  </si>
  <si>
    <t>C24-049</t>
  </si>
  <si>
    <t>S24-18485</t>
  </si>
  <si>
    <t>C24-054</t>
  </si>
  <si>
    <t>LOW DELETION HOMO: nuc ish(CDKN2Ax0,D9Z1x1)[12/200]/(CDKN2Ax0,D9Z1x2)[12/200]/(CDKN2A,D9Z1)x3~4[68/200]</t>
  </si>
  <si>
    <t>I-ATRX: p.(Leu413Lysfs*20)</t>
  </si>
  <si>
    <t>I-IDH1: p.(Arg132Ser)</t>
  </si>
  <si>
    <t>S24-18543</t>
  </si>
  <si>
    <t>C24-055</t>
  </si>
  <si>
    <t>DELETION HOMO: nuc ish(CDKN2Ax0,D9Z1x1)[77/200]/(CDKN2Ax0,D9Z1x2)[87/200]/(CDKN2Ax0,D9Z1x3)[15/200]</t>
  </si>
  <si>
    <t>S24-18856</t>
  </si>
  <si>
    <t>C24-057</t>
  </si>
  <si>
    <t>II-MSH2: p.(Leu270Pro)</t>
  </si>
  <si>
    <t>NF1: p.(Arg1968*)</t>
  </si>
  <si>
    <t>II-TP53: p.(Arg248Trp)</t>
  </si>
  <si>
    <t>III-ATRX: p.(Arg2079Gln)</t>
  </si>
  <si>
    <t>S24-21333</t>
  </si>
  <si>
    <t>C24-059</t>
  </si>
  <si>
    <t>S24-21529</t>
  </si>
  <si>
    <t>C24-060</t>
  </si>
  <si>
    <t>S24-22558</t>
  </si>
  <si>
    <t>C24-070</t>
  </si>
  <si>
    <t>S24-23494</t>
  </si>
  <si>
    <t>C24-076</t>
  </si>
  <si>
    <t>S24-26012</t>
  </si>
  <si>
    <t>C24-086</t>
  </si>
  <si>
    <t>S24-27768</t>
  </si>
  <si>
    <t>C24-094</t>
  </si>
  <si>
    <t>S24-28297</t>
  </si>
  <si>
    <t>C24-097</t>
  </si>
  <si>
    <t>S24-28301</t>
  </si>
  <si>
    <t>C24-098</t>
  </si>
  <si>
    <t>S22-7192</t>
  </si>
  <si>
    <t>S22-9974</t>
  </si>
  <si>
    <t>S22-8756</t>
  </si>
  <si>
    <t>S22-5095</t>
  </si>
  <si>
    <t>S22-8722</t>
  </si>
  <si>
    <t>S22-12691</t>
  </si>
  <si>
    <t>S22-11953</t>
  </si>
  <si>
    <t>S22-12754</t>
  </si>
  <si>
    <t>S22-12724</t>
  </si>
  <si>
    <t>S22-21414</t>
  </si>
  <si>
    <t>S22-20298</t>
  </si>
  <si>
    <t>S22-24067</t>
  </si>
  <si>
    <t>S22-25178</t>
  </si>
  <si>
    <t>S22-10983</t>
  </si>
  <si>
    <t>S22-34515</t>
  </si>
  <si>
    <t>S22-34581</t>
  </si>
  <si>
    <t>S22-36148/S21-23866</t>
  </si>
  <si>
    <t>S22-39231</t>
  </si>
  <si>
    <t>S22-39007</t>
  </si>
  <si>
    <t>S22-43453</t>
  </si>
  <si>
    <t>S22-40163</t>
  </si>
  <si>
    <t>S17-30682</t>
  </si>
  <si>
    <t>S22-44152</t>
  </si>
  <si>
    <t>S22-50236</t>
  </si>
  <si>
    <t>S22-52959</t>
  </si>
  <si>
    <t>S23-21</t>
  </si>
  <si>
    <t>S23-18270</t>
  </si>
  <si>
    <t>S23-392</t>
  </si>
  <si>
    <t>S22-36148</t>
  </si>
  <si>
    <t>S23-2366</t>
  </si>
  <si>
    <t>S22-51175</t>
  </si>
  <si>
    <t>S18-40952</t>
  </si>
  <si>
    <t>S22-39488</t>
  </si>
  <si>
    <t>S23-26</t>
  </si>
  <si>
    <t>S22-32736</t>
  </si>
  <si>
    <t>S23-28552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</si>
</sst>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16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sz val="11"/>
      <color rgb="FF9C6500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sz val="10"/>
      <name val="Arial"/>
      <family val="2"/>
    </font>
    <font>
      <sz val="11"/>
      <color theme="0" tint="-0.499984740745262"/>
      <name val="Aptos Narrow"/>
      <family val="2"/>
      <scheme val="minor"/>
    </font>
    <font>
      <i/>
      <sz val="11"/>
      <color theme="0" tint="-0.34998626667073579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8" fillId="0" borderId="0"/>
  </cellStyleXfs>
  <cellXfs count="75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4" borderId="0" xfId="0" applyFill="1" applyAlignment="1">
      <alignment horizontal="right"/>
    </xf>
    <xf numFmtId="0" fontId="0" fillId="0" borderId="0" xfId="0" applyAlignment="1">
      <alignment vertical="top"/>
    </xf>
    <xf numFmtId="0" fontId="4" fillId="0" borderId="0" xfId="0" applyFont="1"/>
    <xf numFmtId="0" fontId="7" fillId="0" borderId="0" xfId="3" applyFont="1" applyAlignment="1"/>
    <xf numFmtId="164" fontId="7" fillId="0" borderId="0" xfId="3" applyNumberFormat="1" applyFont="1" applyAlignment="1"/>
    <xf numFmtId="0" fontId="7" fillId="0" borderId="0" xfId="3" applyFont="1" applyFill="1" applyAlignment="1"/>
    <xf numFmtId="0" fontId="7" fillId="0" borderId="0" xfId="1" applyFont="1" applyFill="1" applyAlignment="1"/>
    <xf numFmtId="0" fontId="4" fillId="0" borderId="0" xfId="2" applyFont="1" applyFill="1" applyAlignment="1"/>
    <xf numFmtId="1" fontId="4" fillId="0" borderId="0" xfId="2" applyNumberFormat="1" applyFont="1" applyFill="1" applyAlignment="1"/>
    <xf numFmtId="15" fontId="4" fillId="0" borderId="0" xfId="2" applyNumberFormat="1" applyFont="1" applyFill="1" applyAlignment="1"/>
    <xf numFmtId="0" fontId="0" fillId="0" borderId="0" xfId="2" applyFont="1" applyFill="1" applyAlignment="1"/>
    <xf numFmtId="15" fontId="0" fillId="0" borderId="0" xfId="0" applyNumberFormat="1"/>
    <xf numFmtId="15" fontId="4" fillId="0" borderId="0" xfId="0" applyNumberFormat="1" applyFont="1"/>
    <xf numFmtId="0" fontId="4" fillId="0" borderId="0" xfId="1" applyFont="1" applyFill="1" applyAlignment="1"/>
    <xf numFmtId="0" fontId="4" fillId="0" borderId="0" xfId="4" applyFont="1"/>
    <xf numFmtId="0" fontId="4" fillId="0" borderId="1" xfId="2" applyFont="1" applyFill="1" applyBorder="1" applyAlignment="1"/>
    <xf numFmtId="0" fontId="0" fillId="0" borderId="1" xfId="0" applyBorder="1"/>
    <xf numFmtId="1" fontId="4" fillId="0" borderId="1" xfId="2" applyNumberFormat="1" applyFont="1" applyFill="1" applyBorder="1" applyAlignment="1"/>
    <xf numFmtId="15" fontId="0" fillId="0" borderId="1" xfId="0" applyNumberFormat="1" applyBorder="1"/>
    <xf numFmtId="0" fontId="4" fillId="0" borderId="0" xfId="2" applyFont="1" applyFill="1" applyBorder="1" applyAlignment="1"/>
    <xf numFmtId="1" fontId="4" fillId="0" borderId="0" xfId="2" applyNumberFormat="1" applyFont="1" applyFill="1" applyBorder="1" applyAlignment="1"/>
    <xf numFmtId="0" fontId="5" fillId="0" borderId="2" xfId="2" applyFont="1" applyFill="1" applyBorder="1" applyAlignment="1"/>
    <xf numFmtId="0" fontId="12" fillId="0" borderId="0" xfId="2" applyFont="1" applyFill="1" applyAlignment="1"/>
    <xf numFmtId="0" fontId="5" fillId="0" borderId="2" xfId="0" applyFont="1" applyBorder="1"/>
    <xf numFmtId="1" fontId="5" fillId="0" borderId="2" xfId="2" applyNumberFormat="1" applyFont="1" applyFill="1" applyBorder="1" applyAlignment="1"/>
    <xf numFmtId="15" fontId="5" fillId="0" borderId="2" xfId="0" applyNumberFormat="1" applyFont="1" applyBorder="1"/>
    <xf numFmtId="0" fontId="4" fillId="4" borderId="0" xfId="2" applyFont="1" applyFill="1" applyAlignment="1"/>
    <xf numFmtId="0" fontId="0" fillId="4" borderId="0" xfId="0" applyFill="1"/>
    <xf numFmtId="1" fontId="4" fillId="4" borderId="0" xfId="2" applyNumberFormat="1" applyFont="1" applyFill="1" applyAlignment="1"/>
    <xf numFmtId="0" fontId="4" fillId="4" borderId="0" xfId="0" applyFont="1" applyFill="1"/>
    <xf numFmtId="15" fontId="0" fillId="4" borderId="0" xfId="0" applyNumberFormat="1" applyFill="1"/>
    <xf numFmtId="0" fontId="5" fillId="0" borderId="0" xfId="0" applyFont="1"/>
    <xf numFmtId="0" fontId="5" fillId="0" borderId="0" xfId="2" applyFont="1" applyFill="1" applyAlignment="1"/>
    <xf numFmtId="1" fontId="5" fillId="0" borderId="0" xfId="2" applyNumberFormat="1" applyFont="1" applyFill="1" applyAlignment="1"/>
    <xf numFmtId="15" fontId="5" fillId="0" borderId="0" xfId="0" applyNumberFormat="1" applyFont="1"/>
    <xf numFmtId="15" fontId="4" fillId="4" borderId="0" xfId="0" applyNumberFormat="1" applyFont="1" applyFill="1"/>
    <xf numFmtId="0" fontId="4" fillId="4" borderId="0" xfId="2" applyFont="1" applyFill="1" applyBorder="1" applyAlignment="1"/>
    <xf numFmtId="0" fontId="8" fillId="0" borderId="0" xfId="0" applyFont="1"/>
    <xf numFmtId="0" fontId="2" fillId="0" borderId="0" xfId="0" applyFont="1"/>
    <xf numFmtId="0" fontId="10" fillId="0" borderId="0" xfId="4" applyFont="1"/>
    <xf numFmtId="0" fontId="10" fillId="0" borderId="0" xfId="0" applyFont="1"/>
    <xf numFmtId="0" fontId="10" fillId="0" borderId="0" xfId="2" applyFont="1" applyFill="1" applyAlignment="1"/>
    <xf numFmtId="1" fontId="10" fillId="0" borderId="0" xfId="2" applyNumberFormat="1" applyFont="1" applyFill="1" applyAlignment="1"/>
    <xf numFmtId="15" fontId="10" fillId="0" borderId="0" xfId="0" applyNumberFormat="1" applyFont="1"/>
    <xf numFmtId="0" fontId="10" fillId="0" borderId="0" xfId="1" applyFont="1" applyFill="1" applyAlignment="1"/>
    <xf numFmtId="15" fontId="4" fillId="0" borderId="0" xfId="1" applyNumberFormat="1" applyFont="1" applyFill="1" applyAlignment="1"/>
    <xf numFmtId="0" fontId="7" fillId="0" borderId="0" xfId="2" applyFont="1" applyFill="1" applyAlignment="1"/>
    <xf numFmtId="0" fontId="7" fillId="0" borderId="0" xfId="0" applyFont="1"/>
    <xf numFmtId="1" fontId="7" fillId="0" borderId="0" xfId="2" applyNumberFormat="1" applyFont="1" applyFill="1" applyAlignment="1"/>
    <xf numFmtId="15" fontId="7" fillId="0" borderId="0" xfId="0" applyNumberFormat="1" applyFont="1"/>
    <xf numFmtId="0" fontId="5" fillId="4" borderId="0" xfId="0" applyFont="1" applyFill="1"/>
    <xf numFmtId="0" fontId="9" fillId="0" borderId="0" xfId="0" applyFont="1"/>
    <xf numFmtId="0" fontId="8" fillId="5" borderId="0" xfId="0" applyFont="1" applyFill="1"/>
    <xf numFmtId="0" fontId="0" fillId="5" borderId="0" xfId="0" applyFill="1"/>
    <xf numFmtId="0" fontId="0" fillId="0" borderId="0" xfId="0" applyAlignment="1">
      <alignment wrapText="1"/>
    </xf>
    <xf numFmtId="0" fontId="4" fillId="0" borderId="1" xfId="0" applyFont="1" applyBorder="1"/>
    <xf numFmtId="0" fontId="0" fillId="6" borderId="0" xfId="0" applyFill="1"/>
    <xf numFmtId="0" fontId="12" fillId="6" borderId="0" xfId="2" applyFont="1" applyFill="1" applyAlignment="1"/>
    <xf numFmtId="0" fontId="4" fillId="4" borderId="1" xfId="0" applyFont="1" applyFill="1" applyBorder="1"/>
    <xf numFmtId="0" fontId="4" fillId="4" borderId="0" xfId="1" applyFont="1" applyFill="1" applyAlignment="1"/>
    <xf numFmtId="0" fontId="4" fillId="4" borderId="0" xfId="2" applyFont="1" applyFill="1" applyBorder="1" applyAlignment="1">
      <alignment vertical="center"/>
    </xf>
    <xf numFmtId="0" fontId="4" fillId="4" borderId="0" xfId="4" applyFont="1" applyFill="1"/>
    <xf numFmtId="0" fontId="4" fillId="4" borderId="1" xfId="2" applyFont="1" applyFill="1" applyBorder="1" applyAlignment="1"/>
    <xf numFmtId="0" fontId="2" fillId="0" borderId="0" xfId="2" applyFont="1" applyFill="1" applyAlignment="1">
      <alignment wrapText="1"/>
    </xf>
    <xf numFmtId="0" fontId="13" fillId="0" borderId="0" xfId="0" applyFont="1"/>
    <xf numFmtId="0" fontId="14" fillId="4" borderId="0" xfId="0" applyFont="1" applyFill="1"/>
    <xf numFmtId="0" fontId="15" fillId="0" borderId="0" xfId="2" applyFont="1" applyFill="1" applyAlignment="1"/>
    <xf numFmtId="0" fontId="14" fillId="4" borderId="0" xfId="2" applyFont="1" applyFill="1" applyAlignment="1"/>
    <xf numFmtId="15" fontId="14" fillId="4" borderId="0" xfId="0" applyNumberFormat="1" applyFont="1" applyFill="1"/>
    <xf numFmtId="0" fontId="14" fillId="0" borderId="0" xfId="0" applyFont="1"/>
  </cellXfs>
  <cellStyles count="5">
    <cellStyle name="Bad" xfId="1" builtinId="27"/>
    <cellStyle name="Explanatory Text" xfId="3" builtinId="53"/>
    <cellStyle name="Neutral" xfId="2" builtinId="28"/>
    <cellStyle name="Normal" xfId="0" builtinId="0"/>
    <cellStyle name="Normal 2 2" xfId="4" xr:uid="{1C7113A8-7446-46A3-8571-287BC89ED2E6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6483-45B4-47A7-ACF2-143448A1DCDD}">
  <dimension ref="A1:AO592"/>
  <sheetViews>
    <sheetView tabSelected="1" zoomScale="110" zoomScaleNormal="110" workbookViewId="0">
      <pane ySplit="1" topLeftCell="A297" activePane="bottomLeft" state="frozen"/>
      <selection pane="bottomLeft" activeCell="A314" sqref="A314:XFD314"/>
    </sheetView>
  </sheetViews>
  <sheetFormatPr defaultColWidth="8.85546875" defaultRowHeight="15" customHeight="1"/>
  <cols>
    <col min="1" max="1" width="17.7109375" customWidth="1"/>
    <col min="2" max="2" width="15.28515625" customWidth="1"/>
    <col min="3" max="3" width="15.28515625" hidden="1" customWidth="1"/>
    <col min="4" max="4" width="9.28515625" customWidth="1"/>
    <col min="5" max="5" width="3.28515625" hidden="1" customWidth="1"/>
    <col min="6" max="6" width="4.28515625" hidden="1" customWidth="1"/>
    <col min="7" max="7" width="5.140625" hidden="1" customWidth="1"/>
    <col min="8" max="8" width="6.5703125" hidden="1" customWidth="1"/>
    <col min="9" max="9" width="7.85546875" hidden="1" customWidth="1"/>
    <col min="10" max="10" width="7" hidden="1" customWidth="1"/>
    <col min="11" max="11" width="11" hidden="1" customWidth="1"/>
    <col min="12" max="12" width="11.140625" hidden="1" customWidth="1"/>
    <col min="13" max="13" width="12.140625" hidden="1" customWidth="1"/>
    <col min="14" max="14" width="10.28515625" hidden="1" customWidth="1"/>
    <col min="15" max="15" width="11.28515625" hidden="1" customWidth="1"/>
    <col min="16" max="16" width="8.85546875" customWidth="1"/>
    <col min="17" max="17" width="14" style="7" bestFit="1" customWidth="1"/>
    <col min="18" max="18" width="10.7109375" hidden="1" customWidth="1"/>
    <col min="19" max="19" width="10" hidden="1" customWidth="1"/>
    <col min="20" max="21" width="11.28515625" hidden="1" customWidth="1"/>
    <col min="22" max="22" width="11.140625" hidden="1" customWidth="1"/>
    <col min="23" max="23" width="10.85546875" hidden="1" customWidth="1"/>
    <col min="24" max="24" width="26.28515625" customWidth="1"/>
    <col min="25" max="25" width="33.85546875" customWidth="1"/>
    <col min="26" max="26" width="13.28515625" customWidth="1"/>
    <col min="27" max="27" width="12.28515625" bestFit="1" customWidth="1"/>
    <col min="28" max="28" width="22.5703125" bestFit="1" customWidth="1"/>
    <col min="29" max="29" width="23.28515625" customWidth="1"/>
    <col min="30" max="30" width="33.7109375" bestFit="1" customWidth="1"/>
    <col min="31" max="31" width="34.5703125" bestFit="1" customWidth="1"/>
    <col min="32" max="32" width="21.28515625" bestFit="1" customWidth="1"/>
    <col min="33" max="33" width="66.7109375" bestFit="1" customWidth="1"/>
    <col min="34" max="34" width="36.28515625" customWidth="1"/>
    <col min="35" max="35" width="21.28515625" bestFit="1" customWidth="1"/>
    <col min="36" max="36" width="17" bestFit="1" customWidth="1"/>
    <col min="37" max="39" width="18" bestFit="1" customWidth="1"/>
  </cols>
  <sheetData>
    <row r="1" spans="1:39" ht="14.1">
      <c r="A1" t="s">
        <v>0</v>
      </c>
      <c r="B1" t="s">
        <v>1</v>
      </c>
      <c r="C1" s="59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7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14.45">
      <c r="A2" s="8" t="s">
        <v>39</v>
      </c>
      <c r="B2" t="s">
        <v>40</v>
      </c>
      <c r="D2" s="8">
        <v>2416860</v>
      </c>
      <c r="E2" s="8"/>
      <c r="F2" s="8">
        <v>39</v>
      </c>
      <c r="G2" s="8">
        <f t="shared" ref="G2:G65" si="0">DATEDIF(L2,K2,"Y")</f>
        <v>41</v>
      </c>
      <c r="H2" s="8">
        <f t="shared" ref="H2:H65" si="1">IF(G2&lt;=39,1,0)</f>
        <v>0</v>
      </c>
      <c r="I2" s="8">
        <v>0</v>
      </c>
      <c r="J2" s="8">
        <v>0</v>
      </c>
      <c r="K2" s="9">
        <v>43692</v>
      </c>
      <c r="L2" s="9">
        <v>28411</v>
      </c>
      <c r="M2" s="8" t="s">
        <v>41</v>
      </c>
      <c r="N2" s="10" t="s">
        <v>42</v>
      </c>
      <c r="O2" s="8" t="s">
        <v>43</v>
      </c>
      <c r="P2" s="11"/>
    </row>
    <row r="3" spans="1:39" ht="14.1">
      <c r="A3" s="65" t="s">
        <v>44</v>
      </c>
      <c r="B3" s="4" t="s">
        <v>45</v>
      </c>
      <c r="C3" s="4"/>
      <c r="D3" s="12">
        <v>4831977</v>
      </c>
      <c r="E3" s="12"/>
      <c r="F3" s="12"/>
      <c r="G3" s="13">
        <f t="shared" si="0"/>
        <v>36</v>
      </c>
      <c r="H3" s="13">
        <f t="shared" si="1"/>
        <v>1</v>
      </c>
      <c r="I3" s="13">
        <v>0</v>
      </c>
      <c r="J3" s="13">
        <v>1</v>
      </c>
      <c r="K3" s="14">
        <v>44455</v>
      </c>
      <c r="L3" s="14">
        <v>31256</v>
      </c>
      <c r="M3" s="12" t="s">
        <v>46</v>
      </c>
      <c r="N3" s="12" t="s">
        <v>47</v>
      </c>
      <c r="O3" s="12" t="s">
        <v>48</v>
      </c>
      <c r="Q3" s="7" t="s">
        <v>49</v>
      </c>
      <c r="X3" t="s">
        <v>50</v>
      </c>
      <c r="Y3" t="s">
        <v>50</v>
      </c>
      <c r="Z3" t="s">
        <v>50</v>
      </c>
      <c r="AA3" t="s">
        <v>50</v>
      </c>
      <c r="AB3" t="s">
        <v>51</v>
      </c>
      <c r="AC3" t="s">
        <v>52</v>
      </c>
    </row>
    <row r="4" spans="1:39" ht="14.1">
      <c r="A4" s="31" t="s">
        <v>53</v>
      </c>
      <c r="B4" s="15" t="s">
        <v>54</v>
      </c>
      <c r="C4" s="15"/>
      <c r="D4">
        <v>4784434</v>
      </c>
      <c r="F4" s="12">
        <v>50</v>
      </c>
      <c r="G4" s="12">
        <f t="shared" si="0"/>
        <v>51</v>
      </c>
      <c r="H4" s="12">
        <f t="shared" si="1"/>
        <v>0</v>
      </c>
      <c r="I4" s="13">
        <v>0</v>
      </c>
      <c r="J4" s="12">
        <v>1</v>
      </c>
      <c r="K4" s="16">
        <v>44566</v>
      </c>
      <c r="L4" s="17">
        <v>25824</v>
      </c>
      <c r="M4" s="12" t="s">
        <v>55</v>
      </c>
      <c r="N4" s="12" t="s">
        <v>47</v>
      </c>
      <c r="O4" s="12" t="s">
        <v>43</v>
      </c>
      <c r="Q4" s="7" t="s">
        <v>49</v>
      </c>
      <c r="X4" t="s">
        <v>50</v>
      </c>
      <c r="Y4" t="s">
        <v>50</v>
      </c>
      <c r="Z4" t="s">
        <v>50</v>
      </c>
      <c r="AA4" t="s">
        <v>50</v>
      </c>
      <c r="AB4" t="s">
        <v>56</v>
      </c>
    </row>
    <row r="5" spans="1:39" ht="14.1">
      <c r="A5" s="31" t="s">
        <v>57</v>
      </c>
      <c r="B5" s="15" t="s">
        <v>58</v>
      </c>
      <c r="C5" s="15"/>
      <c r="D5">
        <v>2478754</v>
      </c>
      <c r="F5">
        <v>42</v>
      </c>
      <c r="G5" s="12">
        <f t="shared" si="0"/>
        <v>48</v>
      </c>
      <c r="H5" s="12">
        <f t="shared" si="1"/>
        <v>0</v>
      </c>
      <c r="I5" s="13">
        <v>0</v>
      </c>
      <c r="J5">
        <v>1</v>
      </c>
      <c r="K5" s="16">
        <v>44568</v>
      </c>
      <c r="L5" s="16">
        <v>26721</v>
      </c>
      <c r="M5" s="12" t="s">
        <v>55</v>
      </c>
      <c r="N5" t="s">
        <v>47</v>
      </c>
      <c r="O5" t="s">
        <v>43</v>
      </c>
      <c r="P5" t="s">
        <v>59</v>
      </c>
      <c r="Q5" s="7" t="s">
        <v>60</v>
      </c>
      <c r="S5" t="s">
        <v>61</v>
      </c>
      <c r="T5" t="s">
        <v>62</v>
      </c>
      <c r="U5" t="s">
        <v>62</v>
      </c>
      <c r="V5" t="s">
        <v>62</v>
      </c>
      <c r="W5" t="s">
        <v>63</v>
      </c>
      <c r="X5" t="s">
        <v>50</v>
      </c>
      <c r="Y5" t="s">
        <v>50</v>
      </c>
      <c r="Z5" t="s">
        <v>50</v>
      </c>
      <c r="AA5" t="s">
        <v>50</v>
      </c>
      <c r="AB5" t="s">
        <v>64</v>
      </c>
    </row>
    <row r="6" spans="1:39" ht="14.1">
      <c r="A6" s="31" t="s">
        <v>65</v>
      </c>
      <c r="B6" s="15" t="s">
        <v>66</v>
      </c>
      <c r="C6" s="15"/>
      <c r="D6">
        <v>4259368</v>
      </c>
      <c r="F6">
        <v>43</v>
      </c>
      <c r="G6" s="12">
        <f t="shared" si="0"/>
        <v>50</v>
      </c>
      <c r="H6" s="12">
        <f t="shared" si="1"/>
        <v>0</v>
      </c>
      <c r="I6" s="13">
        <v>0</v>
      </c>
      <c r="J6">
        <v>1</v>
      </c>
      <c r="K6" s="16">
        <v>44573</v>
      </c>
      <c r="L6" s="16">
        <v>26186</v>
      </c>
      <c r="M6" s="12" t="s">
        <v>46</v>
      </c>
      <c r="N6" t="s">
        <v>47</v>
      </c>
      <c r="O6" t="s">
        <v>43</v>
      </c>
      <c r="Q6" s="7" t="s">
        <v>67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50</v>
      </c>
      <c r="Y6" t="s">
        <v>50</v>
      </c>
      <c r="Z6" t="s">
        <v>50</v>
      </c>
      <c r="AA6" t="s">
        <v>50</v>
      </c>
      <c r="AB6" t="s">
        <v>64</v>
      </c>
    </row>
    <row r="7" spans="1:39" ht="14.1">
      <c r="A7" s="31" t="s">
        <v>68</v>
      </c>
      <c r="B7" s="15" t="s">
        <v>69</v>
      </c>
      <c r="C7" s="15"/>
      <c r="D7">
        <v>4940706</v>
      </c>
      <c r="G7" s="12">
        <f t="shared" si="0"/>
        <v>33</v>
      </c>
      <c r="H7" s="12">
        <f t="shared" si="1"/>
        <v>1</v>
      </c>
      <c r="I7" s="13">
        <v>0</v>
      </c>
      <c r="J7">
        <v>1</v>
      </c>
      <c r="K7" s="16">
        <v>44578</v>
      </c>
      <c r="L7" s="16">
        <v>32463</v>
      </c>
      <c r="M7" s="12" t="s">
        <v>55</v>
      </c>
      <c r="N7" s="18" t="s">
        <v>70</v>
      </c>
      <c r="O7" t="s">
        <v>48</v>
      </c>
      <c r="Q7" s="7" t="s">
        <v>71</v>
      </c>
      <c r="S7" t="s">
        <v>62</v>
      </c>
      <c r="T7" t="s">
        <v>62</v>
      </c>
      <c r="U7" t="s">
        <v>72</v>
      </c>
      <c r="V7" t="s">
        <v>72</v>
      </c>
      <c r="X7" t="s">
        <v>50</v>
      </c>
      <c r="Y7" t="s">
        <v>50</v>
      </c>
      <c r="Z7" t="s">
        <v>50</v>
      </c>
      <c r="AA7" t="s">
        <v>50</v>
      </c>
      <c r="AB7" t="s">
        <v>73</v>
      </c>
      <c r="AC7" t="s">
        <v>74</v>
      </c>
      <c r="AD7" t="s">
        <v>75</v>
      </c>
      <c r="AE7" t="s">
        <v>76</v>
      </c>
    </row>
    <row r="8" spans="1:39" ht="14.1">
      <c r="A8" s="31" t="s">
        <v>77</v>
      </c>
      <c r="B8" s="15" t="s">
        <v>78</v>
      </c>
      <c r="C8" s="15"/>
      <c r="D8">
        <v>4942002</v>
      </c>
      <c r="G8" s="12">
        <f t="shared" si="0"/>
        <v>52</v>
      </c>
      <c r="H8" s="12">
        <f t="shared" si="1"/>
        <v>0</v>
      </c>
      <c r="I8" s="13">
        <v>0</v>
      </c>
      <c r="J8">
        <v>1</v>
      </c>
      <c r="K8" s="16">
        <v>44580</v>
      </c>
      <c r="L8" s="16">
        <v>25552</v>
      </c>
      <c r="M8" s="12" t="s">
        <v>55</v>
      </c>
      <c r="N8" t="s">
        <v>79</v>
      </c>
      <c r="O8" t="s">
        <v>48</v>
      </c>
      <c r="Q8" s="7" t="s">
        <v>71</v>
      </c>
      <c r="S8" t="s">
        <v>72</v>
      </c>
      <c r="T8" t="s">
        <v>62</v>
      </c>
      <c r="U8" t="s">
        <v>62</v>
      </c>
      <c r="V8" t="s">
        <v>62</v>
      </c>
      <c r="X8" t="s">
        <v>80</v>
      </c>
      <c r="Y8" t="s">
        <v>50</v>
      </c>
      <c r="Z8" t="s">
        <v>50</v>
      </c>
      <c r="AA8" t="s">
        <v>50</v>
      </c>
      <c r="AB8" t="s">
        <v>81</v>
      </c>
      <c r="AC8" t="s">
        <v>82</v>
      </c>
      <c r="AD8" t="s">
        <v>83</v>
      </c>
      <c r="AE8" t="s">
        <v>84</v>
      </c>
    </row>
    <row r="9" spans="1:39" ht="14.1">
      <c r="A9" s="31" t="s">
        <v>85</v>
      </c>
      <c r="B9" s="15" t="s">
        <v>86</v>
      </c>
      <c r="C9" s="15"/>
      <c r="D9">
        <v>4913085</v>
      </c>
      <c r="G9" s="12">
        <f t="shared" si="0"/>
        <v>20</v>
      </c>
      <c r="H9" s="12">
        <f t="shared" si="1"/>
        <v>1</v>
      </c>
      <c r="I9" s="13">
        <v>0</v>
      </c>
      <c r="J9">
        <v>1</v>
      </c>
      <c r="K9" s="16">
        <v>44581</v>
      </c>
      <c r="L9" s="16">
        <v>37138</v>
      </c>
      <c r="M9" s="12" t="s">
        <v>55</v>
      </c>
      <c r="N9" s="18" t="s">
        <v>70</v>
      </c>
      <c r="O9" t="s">
        <v>48</v>
      </c>
      <c r="Q9" s="7" t="s">
        <v>71</v>
      </c>
      <c r="Y9" t="s">
        <v>87</v>
      </c>
      <c r="AB9" t="s">
        <v>50</v>
      </c>
    </row>
    <row r="10" spans="1:39" ht="14.1">
      <c r="A10" s="31" t="s">
        <v>88</v>
      </c>
      <c r="B10" s="15" t="s">
        <v>89</v>
      </c>
      <c r="C10" s="15"/>
      <c r="D10" s="12">
        <v>6266780</v>
      </c>
      <c r="E10" s="12"/>
      <c r="F10" s="12"/>
      <c r="G10" s="12">
        <f t="shared" si="0"/>
        <v>54</v>
      </c>
      <c r="H10" s="12">
        <f t="shared" si="1"/>
        <v>0</v>
      </c>
      <c r="I10" s="13">
        <v>0</v>
      </c>
      <c r="J10" s="12">
        <v>1</v>
      </c>
      <c r="K10" s="14">
        <v>44600</v>
      </c>
      <c r="L10" s="14">
        <v>24861</v>
      </c>
      <c r="M10" s="12" t="s">
        <v>90</v>
      </c>
      <c r="N10" t="s">
        <v>91</v>
      </c>
      <c r="O10" s="12" t="s">
        <v>48</v>
      </c>
      <c r="Q10" s="7" t="s">
        <v>50</v>
      </c>
      <c r="R10" t="s">
        <v>72</v>
      </c>
      <c r="S10" t="s">
        <v>62</v>
      </c>
      <c r="T10" t="s">
        <v>62</v>
      </c>
      <c r="U10" t="s">
        <v>62</v>
      </c>
      <c r="V10" t="s">
        <v>72</v>
      </c>
      <c r="W10" t="s">
        <v>62</v>
      </c>
      <c r="X10" t="s">
        <v>50</v>
      </c>
      <c r="Y10" t="s">
        <v>50</v>
      </c>
      <c r="Z10" t="s">
        <v>50</v>
      </c>
      <c r="AA10" t="s">
        <v>50</v>
      </c>
      <c r="AB10" t="s">
        <v>92</v>
      </c>
      <c r="AC10" t="s">
        <v>93</v>
      </c>
      <c r="AD10" t="s">
        <v>94</v>
      </c>
      <c r="AE10" t="s">
        <v>95</v>
      </c>
      <c r="AF10" t="s">
        <v>96</v>
      </c>
    </row>
    <row r="11" spans="1:39" ht="14.1">
      <c r="A11" s="31" t="s">
        <v>97</v>
      </c>
      <c r="B11" s="15" t="s">
        <v>98</v>
      </c>
      <c r="C11" s="15"/>
      <c r="D11" s="12">
        <v>4512311</v>
      </c>
      <c r="E11" s="12"/>
      <c r="F11" s="12"/>
      <c r="G11" s="12">
        <f t="shared" si="0"/>
        <v>62</v>
      </c>
      <c r="H11" s="12">
        <f t="shared" si="1"/>
        <v>0</v>
      </c>
      <c r="I11" s="13">
        <v>0</v>
      </c>
      <c r="J11" s="12">
        <v>0</v>
      </c>
      <c r="K11" s="14">
        <v>44601</v>
      </c>
      <c r="L11" s="14">
        <v>21747</v>
      </c>
      <c r="M11" s="12" t="s">
        <v>99</v>
      </c>
      <c r="N11" s="12" t="s">
        <v>100</v>
      </c>
      <c r="O11" s="12" t="s">
        <v>48</v>
      </c>
      <c r="Q11" s="7" t="s">
        <v>50</v>
      </c>
      <c r="S11" t="s">
        <v>62</v>
      </c>
      <c r="T11" t="s">
        <v>62</v>
      </c>
      <c r="U11" t="s">
        <v>62</v>
      </c>
      <c r="V11" t="s">
        <v>62</v>
      </c>
      <c r="X11" t="s">
        <v>50</v>
      </c>
      <c r="Y11" t="s">
        <v>50</v>
      </c>
      <c r="Z11" t="s">
        <v>50</v>
      </c>
      <c r="AA11" t="s">
        <v>50</v>
      </c>
      <c r="AB11" t="s">
        <v>101</v>
      </c>
      <c r="AC11" t="s">
        <v>102</v>
      </c>
      <c r="AD11" t="s">
        <v>103</v>
      </c>
    </row>
    <row r="12" spans="1:39" ht="14.1">
      <c r="A12" s="66" t="s">
        <v>104</v>
      </c>
      <c r="B12" s="15" t="s">
        <v>105</v>
      </c>
      <c r="C12" s="15"/>
      <c r="D12">
        <v>4947182</v>
      </c>
      <c r="G12" s="12">
        <f t="shared" si="0"/>
        <v>67</v>
      </c>
      <c r="H12" s="12">
        <f t="shared" si="1"/>
        <v>0</v>
      </c>
      <c r="I12" s="13">
        <v>0</v>
      </c>
      <c r="J12">
        <v>1</v>
      </c>
      <c r="K12" s="16">
        <v>44602</v>
      </c>
      <c r="L12" s="16">
        <v>19779</v>
      </c>
      <c r="M12" s="12" t="s">
        <v>106</v>
      </c>
      <c r="N12" t="s">
        <v>47</v>
      </c>
      <c r="O12" s="19" t="s">
        <v>48</v>
      </c>
      <c r="Q12" s="7" t="s">
        <v>49</v>
      </c>
      <c r="S12" t="s">
        <v>62</v>
      </c>
      <c r="T12" t="s">
        <v>107</v>
      </c>
      <c r="U12" t="s">
        <v>62</v>
      </c>
      <c r="V12" t="s">
        <v>62</v>
      </c>
      <c r="X12" t="s">
        <v>50</v>
      </c>
      <c r="Y12" t="s">
        <v>50</v>
      </c>
      <c r="Z12" t="s">
        <v>50</v>
      </c>
      <c r="AA12" t="s">
        <v>50</v>
      </c>
      <c r="AB12" t="s">
        <v>81</v>
      </c>
      <c r="AC12" t="s">
        <v>108</v>
      </c>
      <c r="AD12" t="s">
        <v>109</v>
      </c>
      <c r="AE12" t="s">
        <v>110</v>
      </c>
      <c r="AF12" t="s">
        <v>111</v>
      </c>
    </row>
    <row r="13" spans="1:39" ht="14.1">
      <c r="A13" s="31" t="s">
        <v>112</v>
      </c>
      <c r="B13" s="15" t="s">
        <v>113</v>
      </c>
      <c r="C13" s="15"/>
      <c r="D13">
        <v>4953396</v>
      </c>
      <c r="G13" s="12">
        <f t="shared" si="0"/>
        <v>47</v>
      </c>
      <c r="H13" s="12">
        <f t="shared" si="1"/>
        <v>0</v>
      </c>
      <c r="I13" s="13">
        <v>0</v>
      </c>
      <c r="J13">
        <v>1</v>
      </c>
      <c r="K13" s="16">
        <v>44630</v>
      </c>
      <c r="L13" s="16">
        <v>27310</v>
      </c>
      <c r="M13" s="12" t="s">
        <v>46</v>
      </c>
      <c r="N13" t="s">
        <v>47</v>
      </c>
      <c r="O13" t="s">
        <v>48</v>
      </c>
      <c r="Q13" s="7" t="s">
        <v>71</v>
      </c>
      <c r="S13" t="s">
        <v>62</v>
      </c>
      <c r="T13" t="s">
        <v>62</v>
      </c>
      <c r="U13" t="s">
        <v>62</v>
      </c>
      <c r="V13" t="s">
        <v>62</v>
      </c>
      <c r="X13" t="s">
        <v>50</v>
      </c>
      <c r="Y13" t="s">
        <v>50</v>
      </c>
      <c r="Z13" t="s">
        <v>50</v>
      </c>
      <c r="AA13" t="s">
        <v>50</v>
      </c>
      <c r="AB13" t="s">
        <v>81</v>
      </c>
      <c r="AC13" t="s">
        <v>108</v>
      </c>
      <c r="AD13" t="s">
        <v>114</v>
      </c>
      <c r="AE13" t="s">
        <v>115</v>
      </c>
    </row>
    <row r="14" spans="1:39" ht="14.1">
      <c r="A14" s="31" t="s">
        <v>116</v>
      </c>
      <c r="B14" s="15" t="s">
        <v>117</v>
      </c>
      <c r="C14" s="15"/>
      <c r="D14">
        <v>4951674</v>
      </c>
      <c r="G14" s="12">
        <f t="shared" si="0"/>
        <v>45</v>
      </c>
      <c r="H14" s="12">
        <f t="shared" si="1"/>
        <v>0</v>
      </c>
      <c r="I14" s="13">
        <v>0</v>
      </c>
      <c r="J14">
        <v>1</v>
      </c>
      <c r="K14" s="16">
        <v>44637</v>
      </c>
      <c r="L14" s="16">
        <v>28126</v>
      </c>
      <c r="M14" s="12" t="s">
        <v>106</v>
      </c>
      <c r="N14" s="18" t="s">
        <v>70</v>
      </c>
      <c r="O14" t="s">
        <v>48</v>
      </c>
      <c r="Q14" s="7" t="s">
        <v>71</v>
      </c>
      <c r="S14" t="s">
        <v>62</v>
      </c>
      <c r="U14" t="s">
        <v>72</v>
      </c>
      <c r="V14" t="s">
        <v>72</v>
      </c>
      <c r="X14" t="s">
        <v>50</v>
      </c>
      <c r="Y14" t="s">
        <v>50</v>
      </c>
      <c r="Z14" t="s">
        <v>50</v>
      </c>
      <c r="AA14" t="s">
        <v>50</v>
      </c>
      <c r="AB14" t="s">
        <v>118</v>
      </c>
      <c r="AC14" t="s">
        <v>119</v>
      </c>
      <c r="AD14" t="s">
        <v>120</v>
      </c>
    </row>
    <row r="15" spans="1:39" ht="14.1">
      <c r="A15" s="31" t="s">
        <v>121</v>
      </c>
      <c r="B15" s="15" t="s">
        <v>122</v>
      </c>
      <c r="C15" s="15"/>
      <c r="D15">
        <v>2259382</v>
      </c>
      <c r="G15" s="12">
        <f t="shared" si="0"/>
        <v>66</v>
      </c>
      <c r="H15" s="12">
        <f t="shared" si="1"/>
        <v>0</v>
      </c>
      <c r="I15" s="13">
        <v>0</v>
      </c>
      <c r="J15">
        <v>1</v>
      </c>
      <c r="K15" s="16">
        <v>44637</v>
      </c>
      <c r="L15" s="16">
        <v>20242</v>
      </c>
      <c r="M15" s="12" t="s">
        <v>46</v>
      </c>
      <c r="N15" s="18" t="s">
        <v>70</v>
      </c>
      <c r="O15" t="s">
        <v>48</v>
      </c>
      <c r="Q15" s="7" t="s">
        <v>49</v>
      </c>
      <c r="S15" t="s">
        <v>62</v>
      </c>
      <c r="T15" t="s">
        <v>62</v>
      </c>
      <c r="U15" t="s">
        <v>107</v>
      </c>
      <c r="V15" t="s">
        <v>72</v>
      </c>
      <c r="X15" t="s">
        <v>50</v>
      </c>
      <c r="Y15" t="s">
        <v>50</v>
      </c>
      <c r="Z15" t="s">
        <v>50</v>
      </c>
      <c r="AA15" t="s">
        <v>50</v>
      </c>
      <c r="AB15" t="s">
        <v>81</v>
      </c>
      <c r="AC15" t="s">
        <v>123</v>
      </c>
      <c r="AD15" t="s">
        <v>124</v>
      </c>
    </row>
    <row r="16" spans="1:39" ht="14.1">
      <c r="A16" s="31" t="s">
        <v>125</v>
      </c>
      <c r="B16" s="15" t="s">
        <v>126</v>
      </c>
      <c r="C16" s="15"/>
      <c r="D16">
        <v>2496272</v>
      </c>
      <c r="G16" s="12">
        <f t="shared" si="0"/>
        <v>41</v>
      </c>
      <c r="H16" s="12">
        <f t="shared" si="1"/>
        <v>0</v>
      </c>
      <c r="I16" s="13">
        <v>0</v>
      </c>
      <c r="J16">
        <v>1</v>
      </c>
      <c r="K16" s="16">
        <v>44645</v>
      </c>
      <c r="L16" s="16">
        <v>29509</v>
      </c>
      <c r="M16" s="12" t="s">
        <v>46</v>
      </c>
      <c r="N16" t="s">
        <v>47</v>
      </c>
      <c r="O16" t="s">
        <v>48</v>
      </c>
      <c r="Q16" s="7" t="s">
        <v>71</v>
      </c>
      <c r="S16" t="s">
        <v>72</v>
      </c>
      <c r="T16" t="s">
        <v>62</v>
      </c>
      <c r="U16" t="s">
        <v>107</v>
      </c>
      <c r="V16" t="s">
        <v>72</v>
      </c>
      <c r="W16" t="s">
        <v>62</v>
      </c>
      <c r="X16" t="s">
        <v>50</v>
      </c>
      <c r="Y16" t="s">
        <v>50</v>
      </c>
      <c r="Z16" t="s">
        <v>50</v>
      </c>
      <c r="AA16" t="s">
        <v>50</v>
      </c>
      <c r="AB16" t="s">
        <v>82</v>
      </c>
      <c r="AC16" t="s">
        <v>127</v>
      </c>
      <c r="AD16" t="s">
        <v>128</v>
      </c>
      <c r="AE16" t="s">
        <v>129</v>
      </c>
    </row>
    <row r="17" spans="1:33" ht="14.1">
      <c r="A17" s="31" t="s">
        <v>130</v>
      </c>
      <c r="B17" s="15" t="s">
        <v>131</v>
      </c>
      <c r="C17" s="15"/>
      <c r="D17">
        <v>4589297</v>
      </c>
      <c r="F17" s="1" t="s">
        <v>132</v>
      </c>
      <c r="G17" s="12">
        <f t="shared" si="0"/>
        <v>40</v>
      </c>
      <c r="H17" s="12">
        <f t="shared" si="1"/>
        <v>0</v>
      </c>
      <c r="I17" s="13">
        <v>1</v>
      </c>
      <c r="J17">
        <v>1</v>
      </c>
      <c r="K17" s="16">
        <v>44648</v>
      </c>
      <c r="L17" s="16">
        <v>29877</v>
      </c>
      <c r="M17" s="12" t="s">
        <v>106</v>
      </c>
      <c r="N17" t="s">
        <v>133</v>
      </c>
      <c r="O17" t="s">
        <v>48</v>
      </c>
      <c r="Q17" s="7" t="s">
        <v>50</v>
      </c>
      <c r="S17" t="s">
        <v>62</v>
      </c>
      <c r="T17" t="s">
        <v>72</v>
      </c>
      <c r="U17" t="s">
        <v>62</v>
      </c>
      <c r="V17" t="s">
        <v>107</v>
      </c>
      <c r="X17" t="s">
        <v>50</v>
      </c>
      <c r="Y17" t="s">
        <v>64</v>
      </c>
      <c r="Z17" t="s">
        <v>50</v>
      </c>
      <c r="AA17" t="s">
        <v>50</v>
      </c>
      <c r="AB17" t="s">
        <v>110</v>
      </c>
    </row>
    <row r="18" spans="1:33" ht="14.1">
      <c r="A18" s="31" t="s">
        <v>134</v>
      </c>
      <c r="B18" s="15" t="s">
        <v>135</v>
      </c>
      <c r="C18" s="15"/>
      <c r="D18">
        <v>4959276</v>
      </c>
      <c r="F18" s="1"/>
      <c r="G18" s="12">
        <f t="shared" si="0"/>
        <v>60</v>
      </c>
      <c r="H18" s="12">
        <f t="shared" si="1"/>
        <v>0</v>
      </c>
      <c r="I18" s="13">
        <v>0</v>
      </c>
      <c r="J18">
        <v>1</v>
      </c>
      <c r="K18" s="16">
        <v>44651</v>
      </c>
      <c r="L18" s="16">
        <v>22716</v>
      </c>
      <c r="M18" s="12" t="s">
        <v>55</v>
      </c>
      <c r="N18" t="s">
        <v>47</v>
      </c>
      <c r="O18" t="s">
        <v>48</v>
      </c>
      <c r="Q18" s="7" t="s">
        <v>71</v>
      </c>
      <c r="S18" t="s">
        <v>72</v>
      </c>
      <c r="U18" t="s">
        <v>72</v>
      </c>
      <c r="V18" t="s">
        <v>72</v>
      </c>
      <c r="X18" t="s">
        <v>50</v>
      </c>
      <c r="Y18" t="s">
        <v>50</v>
      </c>
      <c r="Z18" t="s">
        <v>50</v>
      </c>
      <c r="AA18" t="s">
        <v>50</v>
      </c>
      <c r="AB18" t="s">
        <v>136</v>
      </c>
      <c r="AC18" t="s">
        <v>82</v>
      </c>
      <c r="AD18" t="s">
        <v>137</v>
      </c>
    </row>
    <row r="19" spans="1:33" ht="14.1">
      <c r="A19" s="31" t="s">
        <v>138</v>
      </c>
      <c r="B19" s="15" t="s">
        <v>139</v>
      </c>
      <c r="C19" s="15"/>
      <c r="D19">
        <v>4211145</v>
      </c>
      <c r="G19" s="12">
        <f t="shared" si="0"/>
        <v>41</v>
      </c>
      <c r="H19" s="12">
        <f t="shared" si="1"/>
        <v>0</v>
      </c>
      <c r="I19" s="13">
        <v>0</v>
      </c>
      <c r="J19">
        <v>1</v>
      </c>
      <c r="K19" s="16">
        <v>44655</v>
      </c>
      <c r="L19" s="16">
        <v>29567</v>
      </c>
      <c r="M19" s="12" t="s">
        <v>140</v>
      </c>
      <c r="N19" t="s">
        <v>91</v>
      </c>
      <c r="O19" t="s">
        <v>48</v>
      </c>
      <c r="Q19" s="7" t="s">
        <v>49</v>
      </c>
      <c r="R19" t="s">
        <v>72</v>
      </c>
      <c r="S19" t="s">
        <v>62</v>
      </c>
      <c r="T19" t="s">
        <v>62</v>
      </c>
      <c r="U19" t="s">
        <v>62</v>
      </c>
      <c r="V19" t="s">
        <v>72</v>
      </c>
      <c r="W19" t="s">
        <v>62</v>
      </c>
      <c r="X19" t="s">
        <v>50</v>
      </c>
      <c r="Y19" t="s">
        <v>50</v>
      </c>
      <c r="Z19" t="s">
        <v>50</v>
      </c>
      <c r="AA19" t="s">
        <v>50</v>
      </c>
      <c r="AB19" t="s">
        <v>93</v>
      </c>
      <c r="AC19" t="s">
        <v>141</v>
      </c>
      <c r="AD19" t="s">
        <v>142</v>
      </c>
    </row>
    <row r="20" spans="1:33" ht="14.1">
      <c r="A20" s="31" t="s">
        <v>143</v>
      </c>
      <c r="B20" s="15" t="s">
        <v>144</v>
      </c>
      <c r="C20" s="15"/>
      <c r="D20">
        <v>4520469</v>
      </c>
      <c r="G20" s="12">
        <f t="shared" si="0"/>
        <v>26</v>
      </c>
      <c r="H20" s="12">
        <f t="shared" si="1"/>
        <v>1</v>
      </c>
      <c r="I20" s="13">
        <v>0</v>
      </c>
      <c r="J20">
        <v>1</v>
      </c>
      <c r="K20" s="16">
        <v>44762</v>
      </c>
      <c r="L20" s="16">
        <v>35227</v>
      </c>
      <c r="M20" s="12" t="s">
        <v>46</v>
      </c>
      <c r="N20" t="s">
        <v>79</v>
      </c>
      <c r="O20" t="s">
        <v>48</v>
      </c>
      <c r="Q20" s="7" t="s">
        <v>50</v>
      </c>
      <c r="S20" t="s">
        <v>72</v>
      </c>
      <c r="T20" t="s">
        <v>62</v>
      </c>
      <c r="U20" t="s">
        <v>62</v>
      </c>
      <c r="V20" t="s">
        <v>62</v>
      </c>
      <c r="X20" t="s">
        <v>145</v>
      </c>
      <c r="Y20" t="s">
        <v>146</v>
      </c>
      <c r="Z20" t="s">
        <v>50</v>
      </c>
      <c r="AA20" t="s">
        <v>50</v>
      </c>
      <c r="AB20" t="s">
        <v>82</v>
      </c>
      <c r="AC20" t="s">
        <v>147</v>
      </c>
    </row>
    <row r="21" spans="1:33" ht="14.1">
      <c r="A21" s="31" t="s">
        <v>148</v>
      </c>
      <c r="B21" s="15" t="s">
        <v>149</v>
      </c>
      <c r="C21" s="15"/>
      <c r="D21">
        <v>4598823</v>
      </c>
      <c r="G21" s="12">
        <f t="shared" si="0"/>
        <v>77</v>
      </c>
      <c r="H21" s="12">
        <f t="shared" si="1"/>
        <v>0</v>
      </c>
      <c r="I21" s="13">
        <v>0</v>
      </c>
      <c r="J21">
        <v>1</v>
      </c>
      <c r="K21" s="16">
        <v>44764</v>
      </c>
      <c r="L21" s="16">
        <v>16618</v>
      </c>
      <c r="M21" s="12" t="s">
        <v>55</v>
      </c>
      <c r="N21" t="s">
        <v>47</v>
      </c>
      <c r="O21" s="19" t="s">
        <v>48</v>
      </c>
      <c r="Q21" s="7" t="s">
        <v>71</v>
      </c>
      <c r="S21" t="s">
        <v>62</v>
      </c>
      <c r="T21" t="s">
        <v>62</v>
      </c>
      <c r="U21" t="s">
        <v>72</v>
      </c>
      <c r="V21" t="s">
        <v>72</v>
      </c>
      <c r="W21" t="s">
        <v>62</v>
      </c>
      <c r="X21" t="s">
        <v>50</v>
      </c>
      <c r="Y21" t="s">
        <v>50</v>
      </c>
      <c r="Z21" t="s">
        <v>50</v>
      </c>
      <c r="AA21" t="s">
        <v>50</v>
      </c>
      <c r="AB21" t="s">
        <v>150</v>
      </c>
      <c r="AC21" t="s">
        <v>151</v>
      </c>
      <c r="AD21" t="s">
        <v>152</v>
      </c>
    </row>
    <row r="22" spans="1:33" ht="14.1">
      <c r="A22" s="67" t="s">
        <v>153</v>
      </c>
      <c r="B22" s="15" t="s">
        <v>154</v>
      </c>
      <c r="C22" s="15"/>
      <c r="D22" s="21">
        <v>3404427</v>
      </c>
      <c r="E22" s="21"/>
      <c r="F22" s="21">
        <v>28</v>
      </c>
      <c r="G22" s="20">
        <f t="shared" si="0"/>
        <v>42</v>
      </c>
      <c r="H22" s="20">
        <f t="shared" si="1"/>
        <v>0</v>
      </c>
      <c r="I22" s="22">
        <v>0</v>
      </c>
      <c r="J22" s="21">
        <v>1</v>
      </c>
      <c r="K22" s="23">
        <v>44769</v>
      </c>
      <c r="L22" s="23">
        <v>29172</v>
      </c>
      <c r="M22" s="20" t="s">
        <v>55</v>
      </c>
      <c r="N22" s="21" t="s">
        <v>155</v>
      </c>
      <c r="O22" s="21" t="s">
        <v>43</v>
      </c>
      <c r="Q22" s="7" t="s">
        <v>71</v>
      </c>
      <c r="S22" t="s">
        <v>62</v>
      </c>
      <c r="T22" t="s">
        <v>62</v>
      </c>
      <c r="U22" t="s">
        <v>62</v>
      </c>
      <c r="V22" t="s">
        <v>62</v>
      </c>
      <c r="W22" t="s">
        <v>62</v>
      </c>
      <c r="X22" t="s">
        <v>50</v>
      </c>
      <c r="Y22" t="s">
        <v>50</v>
      </c>
      <c r="Z22" t="s">
        <v>50</v>
      </c>
      <c r="AA22" t="s">
        <v>50</v>
      </c>
      <c r="AB22" t="s">
        <v>156</v>
      </c>
      <c r="AC22" t="s">
        <v>81</v>
      </c>
    </row>
    <row r="23" spans="1:33" ht="14.1">
      <c r="A23" s="31" t="s">
        <v>157</v>
      </c>
      <c r="B23" s="15" t="s">
        <v>158</v>
      </c>
      <c r="C23" s="15"/>
      <c r="D23">
        <v>4511696</v>
      </c>
      <c r="F23">
        <v>39</v>
      </c>
      <c r="G23" s="12">
        <f t="shared" si="0"/>
        <v>46</v>
      </c>
      <c r="H23" s="12">
        <f t="shared" si="1"/>
        <v>0</v>
      </c>
      <c r="I23" s="13">
        <v>0</v>
      </c>
      <c r="J23">
        <v>1</v>
      </c>
      <c r="K23" s="16">
        <v>44775</v>
      </c>
      <c r="L23" s="16">
        <v>27750</v>
      </c>
      <c r="M23" s="12" t="s">
        <v>55</v>
      </c>
      <c r="N23" t="s">
        <v>91</v>
      </c>
      <c r="O23" t="s">
        <v>43</v>
      </c>
      <c r="Q23" s="7" t="s">
        <v>71</v>
      </c>
      <c r="S23" t="s">
        <v>72</v>
      </c>
      <c r="T23" t="s">
        <v>62</v>
      </c>
      <c r="U23" t="s">
        <v>72</v>
      </c>
      <c r="V23" t="s">
        <v>72</v>
      </c>
      <c r="X23" t="s">
        <v>159</v>
      </c>
      <c r="Y23" t="s">
        <v>160</v>
      </c>
      <c r="Z23" t="s">
        <v>50</v>
      </c>
      <c r="AA23" t="s">
        <v>50</v>
      </c>
      <c r="AB23" t="s">
        <v>82</v>
      </c>
      <c r="AC23" t="s">
        <v>161</v>
      </c>
    </row>
    <row r="24" spans="1:33" ht="14.1">
      <c r="A24" s="31" t="s">
        <v>162</v>
      </c>
      <c r="B24" s="15" t="s">
        <v>163</v>
      </c>
      <c r="C24" s="15"/>
      <c r="D24">
        <v>3835683</v>
      </c>
      <c r="G24" s="12">
        <f t="shared" si="0"/>
        <v>48</v>
      </c>
      <c r="H24" s="12">
        <f t="shared" si="1"/>
        <v>0</v>
      </c>
      <c r="I24" s="13">
        <v>0</v>
      </c>
      <c r="J24">
        <v>1</v>
      </c>
      <c r="K24" s="16">
        <v>44787</v>
      </c>
      <c r="L24" s="16">
        <v>27065</v>
      </c>
      <c r="M24" s="12" t="s">
        <v>164</v>
      </c>
      <c r="N24" t="s">
        <v>91</v>
      </c>
      <c r="O24" t="s">
        <v>48</v>
      </c>
      <c r="Q24" s="7" t="s">
        <v>50</v>
      </c>
      <c r="S24" t="s">
        <v>62</v>
      </c>
      <c r="T24" t="s">
        <v>62</v>
      </c>
      <c r="U24" t="s">
        <v>62</v>
      </c>
      <c r="V24" t="s">
        <v>62</v>
      </c>
      <c r="W24" t="s">
        <v>165</v>
      </c>
      <c r="X24" t="s">
        <v>50</v>
      </c>
      <c r="Y24" t="s">
        <v>50</v>
      </c>
      <c r="Z24" t="s">
        <v>166</v>
      </c>
      <c r="AA24" t="s">
        <v>167</v>
      </c>
      <c r="AB24" t="s">
        <v>168</v>
      </c>
      <c r="AC24" t="s">
        <v>169</v>
      </c>
      <c r="AD24" t="s">
        <v>170</v>
      </c>
      <c r="AE24" t="s">
        <v>171</v>
      </c>
      <c r="AF24" t="s">
        <v>172</v>
      </c>
      <c r="AG24" t="s">
        <v>173</v>
      </c>
    </row>
    <row r="25" spans="1:33" ht="14.1">
      <c r="A25" s="31" t="s">
        <v>174</v>
      </c>
      <c r="B25" s="15" t="s">
        <v>175</v>
      </c>
      <c r="C25" s="15"/>
      <c r="D25">
        <v>4732870</v>
      </c>
      <c r="G25" s="12">
        <f t="shared" si="0"/>
        <v>41</v>
      </c>
      <c r="H25" s="12">
        <f t="shared" si="1"/>
        <v>0</v>
      </c>
      <c r="I25" s="13">
        <v>0</v>
      </c>
      <c r="J25">
        <v>1</v>
      </c>
      <c r="K25" s="16">
        <v>44796</v>
      </c>
      <c r="L25" s="16">
        <v>29528</v>
      </c>
      <c r="M25" s="12" t="s">
        <v>164</v>
      </c>
      <c r="N25" s="18" t="s">
        <v>70</v>
      </c>
      <c r="O25" t="s">
        <v>48</v>
      </c>
      <c r="Q25" s="7" t="s">
        <v>71</v>
      </c>
      <c r="S25" t="s">
        <v>62</v>
      </c>
      <c r="T25" t="s">
        <v>62</v>
      </c>
      <c r="U25" t="s">
        <v>72</v>
      </c>
      <c r="V25" t="s">
        <v>72</v>
      </c>
      <c r="X25" t="s">
        <v>50</v>
      </c>
      <c r="Y25" t="s">
        <v>176</v>
      </c>
      <c r="Z25" t="s">
        <v>50</v>
      </c>
      <c r="AA25" t="s">
        <v>50</v>
      </c>
      <c r="AB25" t="s">
        <v>82</v>
      </c>
      <c r="AC25" t="s">
        <v>177</v>
      </c>
    </row>
    <row r="26" spans="1:33" ht="14.1">
      <c r="A26" s="31" t="s">
        <v>178</v>
      </c>
      <c r="B26" s="15" t="s">
        <v>179</v>
      </c>
      <c r="C26" s="15"/>
      <c r="D26">
        <v>4309777</v>
      </c>
      <c r="G26" s="12">
        <f t="shared" si="0"/>
        <v>24</v>
      </c>
      <c r="H26" s="12">
        <f t="shared" si="1"/>
        <v>1</v>
      </c>
      <c r="I26" s="13">
        <v>0</v>
      </c>
      <c r="J26">
        <v>0</v>
      </c>
      <c r="K26" s="16">
        <v>44802</v>
      </c>
      <c r="L26" s="16">
        <v>35673</v>
      </c>
      <c r="M26" s="12" t="s">
        <v>41</v>
      </c>
      <c r="N26" t="s">
        <v>180</v>
      </c>
      <c r="O26" t="s">
        <v>43</v>
      </c>
      <c r="Q26" s="7" t="s">
        <v>50</v>
      </c>
      <c r="S26" t="s">
        <v>62</v>
      </c>
      <c r="T26" t="s">
        <v>62</v>
      </c>
      <c r="U26" t="s">
        <v>62</v>
      </c>
      <c r="V26" t="s">
        <v>62</v>
      </c>
      <c r="X26" t="s">
        <v>50</v>
      </c>
      <c r="Y26" t="s">
        <v>181</v>
      </c>
      <c r="Z26" t="s">
        <v>50</v>
      </c>
      <c r="AA26" t="s">
        <v>50</v>
      </c>
      <c r="AB26" t="s">
        <v>182</v>
      </c>
      <c r="AC26" t="s">
        <v>183</v>
      </c>
    </row>
    <row r="27" spans="1:33" ht="14.1">
      <c r="A27" s="31" t="s">
        <v>184</v>
      </c>
      <c r="B27" s="15" t="s">
        <v>185</v>
      </c>
      <c r="C27" s="15"/>
      <c r="D27">
        <v>4803152</v>
      </c>
      <c r="G27" s="12">
        <f t="shared" si="0"/>
        <v>68</v>
      </c>
      <c r="H27" s="12">
        <f t="shared" si="1"/>
        <v>0</v>
      </c>
      <c r="I27" s="13">
        <v>0</v>
      </c>
      <c r="J27">
        <v>1</v>
      </c>
      <c r="K27" s="16">
        <v>44806</v>
      </c>
      <c r="L27" s="16">
        <v>19740</v>
      </c>
      <c r="M27" s="12" t="s">
        <v>55</v>
      </c>
      <c r="N27" t="s">
        <v>79</v>
      </c>
      <c r="O27" t="s">
        <v>48</v>
      </c>
      <c r="Q27" s="7" t="s">
        <v>50</v>
      </c>
      <c r="S27" t="s">
        <v>72</v>
      </c>
      <c r="U27" t="s">
        <v>62</v>
      </c>
      <c r="V27" t="s">
        <v>62</v>
      </c>
      <c r="X27" t="s">
        <v>186</v>
      </c>
      <c r="Y27" t="s">
        <v>50</v>
      </c>
      <c r="Z27" t="s">
        <v>50</v>
      </c>
      <c r="AA27" t="s">
        <v>50</v>
      </c>
      <c r="AB27" t="s">
        <v>81</v>
      </c>
      <c r="AC27" t="s">
        <v>82</v>
      </c>
    </row>
    <row r="28" spans="1:33" ht="14.1">
      <c r="A28" s="31" t="s">
        <v>187</v>
      </c>
      <c r="B28" s="15" t="s">
        <v>188</v>
      </c>
      <c r="C28" s="15"/>
      <c r="D28">
        <v>4961441</v>
      </c>
      <c r="G28" s="12">
        <f t="shared" si="0"/>
        <v>19</v>
      </c>
      <c r="H28" s="12">
        <f t="shared" si="1"/>
        <v>1</v>
      </c>
      <c r="I28" s="13">
        <v>0</v>
      </c>
      <c r="J28">
        <v>0</v>
      </c>
      <c r="K28" s="16">
        <v>44806</v>
      </c>
      <c r="L28" s="16">
        <v>37565</v>
      </c>
      <c r="M28" s="12" t="s">
        <v>55</v>
      </c>
      <c r="N28" t="s">
        <v>180</v>
      </c>
      <c r="O28" t="s">
        <v>48</v>
      </c>
      <c r="Q28" s="7" t="s">
        <v>50</v>
      </c>
      <c r="S28" t="s">
        <v>62</v>
      </c>
      <c r="T28" t="s">
        <v>62</v>
      </c>
      <c r="U28" t="s">
        <v>62</v>
      </c>
      <c r="V28" t="s">
        <v>62</v>
      </c>
      <c r="X28" t="s">
        <v>50</v>
      </c>
      <c r="Y28" t="s">
        <v>50</v>
      </c>
      <c r="Z28" t="s">
        <v>50</v>
      </c>
      <c r="AA28" t="s">
        <v>50</v>
      </c>
      <c r="AB28" t="s">
        <v>189</v>
      </c>
    </row>
    <row r="29" spans="1:33" ht="14.1">
      <c r="A29" s="31" t="s">
        <v>190</v>
      </c>
      <c r="B29" s="15" t="s">
        <v>191</v>
      </c>
      <c r="C29" s="15"/>
      <c r="D29">
        <v>7038895</v>
      </c>
      <c r="G29" s="12">
        <f t="shared" si="0"/>
        <v>64</v>
      </c>
      <c r="H29" s="12">
        <f t="shared" si="1"/>
        <v>0</v>
      </c>
      <c r="I29" s="13">
        <v>0</v>
      </c>
      <c r="J29">
        <v>1</v>
      </c>
      <c r="K29" s="16">
        <v>44810</v>
      </c>
      <c r="L29" s="16">
        <v>21245</v>
      </c>
      <c r="M29" s="12" t="s">
        <v>55</v>
      </c>
      <c r="N29" t="s">
        <v>155</v>
      </c>
      <c r="O29" t="s">
        <v>48</v>
      </c>
      <c r="Q29" s="7" t="s">
        <v>71</v>
      </c>
      <c r="S29" t="s">
        <v>72</v>
      </c>
      <c r="T29" t="s">
        <v>62</v>
      </c>
      <c r="U29" t="s">
        <v>62</v>
      </c>
      <c r="V29" t="s">
        <v>62</v>
      </c>
      <c r="X29" t="s">
        <v>192</v>
      </c>
      <c r="Y29" t="s">
        <v>193</v>
      </c>
      <c r="AB29" t="s">
        <v>50</v>
      </c>
    </row>
    <row r="30" spans="1:33" ht="14.1">
      <c r="A30" s="31" t="s">
        <v>194</v>
      </c>
      <c r="B30" s="15" t="s">
        <v>195</v>
      </c>
      <c r="C30" s="15"/>
      <c r="D30">
        <v>4882768</v>
      </c>
      <c r="F30" s="1" t="s">
        <v>196</v>
      </c>
      <c r="G30" s="12">
        <f t="shared" si="0"/>
        <v>20</v>
      </c>
      <c r="H30" s="12">
        <f t="shared" si="1"/>
        <v>1</v>
      </c>
      <c r="I30" s="13">
        <v>1</v>
      </c>
      <c r="J30">
        <v>1</v>
      </c>
      <c r="K30" s="16">
        <v>44810</v>
      </c>
      <c r="L30" s="16">
        <v>37317</v>
      </c>
      <c r="M30" s="12" t="s">
        <v>106</v>
      </c>
      <c r="N30" t="s">
        <v>197</v>
      </c>
      <c r="O30" t="s">
        <v>48</v>
      </c>
      <c r="Q30" s="7" t="s">
        <v>50</v>
      </c>
      <c r="S30" t="s">
        <v>62</v>
      </c>
      <c r="T30" t="s">
        <v>62</v>
      </c>
      <c r="X30" t="s">
        <v>50</v>
      </c>
      <c r="Y30" t="s">
        <v>50</v>
      </c>
      <c r="Z30" t="s">
        <v>50</v>
      </c>
      <c r="AA30" t="s">
        <v>50</v>
      </c>
      <c r="AB30" t="s">
        <v>198</v>
      </c>
    </row>
    <row r="31" spans="1:33" ht="14.1">
      <c r="A31" s="31" t="s">
        <v>199</v>
      </c>
      <c r="B31" s="15" t="s">
        <v>200</v>
      </c>
      <c r="C31" s="15"/>
      <c r="D31">
        <v>4129672</v>
      </c>
      <c r="G31" s="12">
        <f t="shared" si="0"/>
        <v>62</v>
      </c>
      <c r="H31" s="12">
        <f t="shared" si="1"/>
        <v>0</v>
      </c>
      <c r="I31" s="13">
        <v>0</v>
      </c>
      <c r="J31">
        <v>1</v>
      </c>
      <c r="K31" s="16">
        <v>44812</v>
      </c>
      <c r="L31" s="16">
        <v>21824</v>
      </c>
      <c r="M31" s="12" t="s">
        <v>55</v>
      </c>
      <c r="N31" t="s">
        <v>79</v>
      </c>
      <c r="O31" t="s">
        <v>48</v>
      </c>
      <c r="Q31" s="7" t="s">
        <v>201</v>
      </c>
      <c r="X31" t="s">
        <v>202</v>
      </c>
      <c r="Y31" t="s">
        <v>203</v>
      </c>
      <c r="Z31" t="s">
        <v>166</v>
      </c>
      <c r="AA31" t="s">
        <v>166</v>
      </c>
      <c r="AB31" t="s">
        <v>82</v>
      </c>
      <c r="AC31" t="s">
        <v>204</v>
      </c>
    </row>
    <row r="32" spans="1:33" ht="14.1">
      <c r="A32" s="31" t="s">
        <v>205</v>
      </c>
      <c r="B32" s="15" t="s">
        <v>206</v>
      </c>
      <c r="C32" s="15"/>
      <c r="D32">
        <v>4440687</v>
      </c>
      <c r="G32" s="12">
        <f t="shared" si="0"/>
        <v>49</v>
      </c>
      <c r="H32" s="12">
        <f t="shared" si="1"/>
        <v>0</v>
      </c>
      <c r="I32" s="13">
        <v>0</v>
      </c>
      <c r="J32">
        <v>1</v>
      </c>
      <c r="K32" s="16">
        <v>44817</v>
      </c>
      <c r="L32" s="16">
        <v>26746</v>
      </c>
      <c r="M32" s="12" t="s">
        <v>207</v>
      </c>
      <c r="N32" t="s">
        <v>91</v>
      </c>
      <c r="O32" t="s">
        <v>48</v>
      </c>
      <c r="Q32" s="7" t="s">
        <v>50</v>
      </c>
      <c r="X32" t="s">
        <v>50</v>
      </c>
      <c r="Y32" t="s">
        <v>50</v>
      </c>
      <c r="Z32" t="s">
        <v>208</v>
      </c>
      <c r="AA32">
        <v>-10</v>
      </c>
      <c r="AB32" t="s">
        <v>108</v>
      </c>
      <c r="AC32" t="s">
        <v>209</v>
      </c>
    </row>
    <row r="33" spans="1:34" ht="14.1">
      <c r="A33" s="31" t="s">
        <v>210</v>
      </c>
      <c r="B33" s="15" t="s">
        <v>211</v>
      </c>
      <c r="C33" s="15"/>
      <c r="D33">
        <v>4959246</v>
      </c>
      <c r="F33" s="1" t="s">
        <v>212</v>
      </c>
      <c r="G33" s="12">
        <f t="shared" si="0"/>
        <v>19</v>
      </c>
      <c r="H33" s="12">
        <f t="shared" si="1"/>
        <v>1</v>
      </c>
      <c r="I33" s="13">
        <v>1</v>
      </c>
      <c r="J33">
        <v>1</v>
      </c>
      <c r="K33" s="16">
        <v>44818</v>
      </c>
      <c r="L33" s="16">
        <v>37803</v>
      </c>
      <c r="M33" s="12" t="s">
        <v>106</v>
      </c>
      <c r="N33" t="s">
        <v>91</v>
      </c>
      <c r="O33" t="s">
        <v>48</v>
      </c>
      <c r="Q33" s="7" t="s">
        <v>49</v>
      </c>
      <c r="X33" t="s">
        <v>50</v>
      </c>
      <c r="Y33" t="s">
        <v>213</v>
      </c>
      <c r="Z33" t="s">
        <v>50</v>
      </c>
      <c r="AA33" t="s">
        <v>50</v>
      </c>
      <c r="AB33" t="s">
        <v>81</v>
      </c>
      <c r="AC33" t="s">
        <v>110</v>
      </c>
    </row>
    <row r="34" spans="1:34" ht="14.1">
      <c r="A34" s="31" t="s">
        <v>214</v>
      </c>
      <c r="B34" s="15" t="s">
        <v>215</v>
      </c>
      <c r="C34" s="15"/>
      <c r="D34">
        <v>7044771</v>
      </c>
      <c r="G34" s="12">
        <f t="shared" si="0"/>
        <v>53</v>
      </c>
      <c r="H34" s="12">
        <f t="shared" si="1"/>
        <v>0</v>
      </c>
      <c r="I34" s="13">
        <v>0</v>
      </c>
      <c r="J34">
        <v>1</v>
      </c>
      <c r="K34" s="16">
        <v>44822</v>
      </c>
      <c r="L34" s="16">
        <v>25117</v>
      </c>
      <c r="M34" s="12" t="s">
        <v>55</v>
      </c>
      <c r="N34" t="s">
        <v>47</v>
      </c>
      <c r="O34" t="s">
        <v>43</v>
      </c>
      <c r="Q34" s="7" t="s">
        <v>71</v>
      </c>
      <c r="X34" t="s">
        <v>50</v>
      </c>
      <c r="Y34" t="s">
        <v>50</v>
      </c>
      <c r="Z34" t="s">
        <v>50</v>
      </c>
      <c r="AA34" t="s">
        <v>50</v>
      </c>
      <c r="AB34" t="s">
        <v>81</v>
      </c>
      <c r="AC34" t="s">
        <v>216</v>
      </c>
      <c r="AD34" t="s">
        <v>217</v>
      </c>
      <c r="AE34" t="s">
        <v>218</v>
      </c>
      <c r="AF34" t="s">
        <v>219</v>
      </c>
      <c r="AG34" t="s">
        <v>220</v>
      </c>
      <c r="AH34" t="s">
        <v>221</v>
      </c>
    </row>
    <row r="35" spans="1:34" ht="14.1">
      <c r="A35" s="41" t="s">
        <v>222</v>
      </c>
      <c r="B35" s="15" t="s">
        <v>223</v>
      </c>
      <c r="C35" s="15"/>
      <c r="D35">
        <v>7046243</v>
      </c>
      <c r="G35" s="24">
        <f t="shared" si="0"/>
        <v>38</v>
      </c>
      <c r="H35" s="24">
        <f t="shared" si="1"/>
        <v>1</v>
      </c>
      <c r="I35" s="25">
        <v>0</v>
      </c>
      <c r="J35">
        <v>1</v>
      </c>
      <c r="K35" s="16">
        <v>44838</v>
      </c>
      <c r="L35" s="16">
        <v>30631</v>
      </c>
      <c r="M35" s="24" t="s">
        <v>46</v>
      </c>
      <c r="N35" t="s">
        <v>47</v>
      </c>
      <c r="O35" t="s">
        <v>48</v>
      </c>
      <c r="Q35" s="7" t="s">
        <v>71</v>
      </c>
      <c r="X35" t="s">
        <v>50</v>
      </c>
      <c r="Y35" t="s">
        <v>50</v>
      </c>
      <c r="Z35" t="s">
        <v>50</v>
      </c>
      <c r="AA35" t="s">
        <v>50</v>
      </c>
      <c r="AB35" t="s">
        <v>224</v>
      </c>
      <c r="AC35" t="s">
        <v>142</v>
      </c>
      <c r="AD35" t="s">
        <v>225</v>
      </c>
    </row>
    <row r="36" spans="1:34" ht="14.1">
      <c r="A36" s="31" t="s">
        <v>226</v>
      </c>
      <c r="B36" s="15" t="s">
        <v>227</v>
      </c>
      <c r="C36" s="15"/>
      <c r="D36">
        <v>4511986</v>
      </c>
      <c r="G36" s="12">
        <f t="shared" si="0"/>
        <v>55</v>
      </c>
      <c r="H36" s="12">
        <f t="shared" si="1"/>
        <v>0</v>
      </c>
      <c r="I36" s="13">
        <v>0</v>
      </c>
      <c r="J36">
        <v>1</v>
      </c>
      <c r="K36" s="16">
        <v>44839</v>
      </c>
      <c r="L36" s="16">
        <v>24747</v>
      </c>
      <c r="M36" s="12" t="s">
        <v>164</v>
      </c>
      <c r="N36" t="s">
        <v>47</v>
      </c>
      <c r="O36" t="s">
        <v>48</v>
      </c>
      <c r="Q36" s="7" t="s">
        <v>71</v>
      </c>
      <c r="R36" t="s">
        <v>50</v>
      </c>
      <c r="S36" t="s">
        <v>50</v>
      </c>
      <c r="T36" t="s">
        <v>50</v>
      </c>
      <c r="U36" t="s">
        <v>50</v>
      </c>
      <c r="X36" t="s">
        <v>50</v>
      </c>
      <c r="Y36" t="s">
        <v>50</v>
      </c>
      <c r="Z36" t="s">
        <v>50</v>
      </c>
      <c r="AA36" t="s">
        <v>50</v>
      </c>
      <c r="AB36" t="s">
        <v>81</v>
      </c>
      <c r="AC36" t="s">
        <v>228</v>
      </c>
      <c r="AD36" t="s">
        <v>229</v>
      </c>
    </row>
    <row r="37" spans="1:34" ht="14.1">
      <c r="A37" s="31" t="s">
        <v>230</v>
      </c>
      <c r="B37" s="15" t="s">
        <v>231</v>
      </c>
      <c r="C37" s="15"/>
      <c r="D37">
        <v>7059267</v>
      </c>
      <c r="G37" s="12">
        <f t="shared" si="0"/>
        <v>26</v>
      </c>
      <c r="H37" s="12">
        <f t="shared" si="1"/>
        <v>1</v>
      </c>
      <c r="I37" s="13">
        <v>0</v>
      </c>
      <c r="J37">
        <v>1</v>
      </c>
      <c r="K37" s="16">
        <v>44853</v>
      </c>
      <c r="L37" s="16">
        <v>35044</v>
      </c>
      <c r="M37" s="12" t="s">
        <v>232</v>
      </c>
      <c r="N37" t="s">
        <v>47</v>
      </c>
      <c r="O37" t="s">
        <v>48</v>
      </c>
      <c r="Q37" s="7" t="s">
        <v>50</v>
      </c>
      <c r="R37" t="s">
        <v>50</v>
      </c>
      <c r="S37" t="s">
        <v>50</v>
      </c>
      <c r="X37" t="s">
        <v>50</v>
      </c>
      <c r="Y37" t="s">
        <v>50</v>
      </c>
      <c r="Z37" t="s">
        <v>50</v>
      </c>
      <c r="AA37" t="s">
        <v>50</v>
      </c>
      <c r="AB37" t="s">
        <v>233</v>
      </c>
      <c r="AC37" t="s">
        <v>234</v>
      </c>
      <c r="AD37" t="s">
        <v>128</v>
      </c>
    </row>
    <row r="38" spans="1:34" ht="14.1">
      <c r="A38" s="31" t="s">
        <v>235</v>
      </c>
      <c r="B38" s="15" t="s">
        <v>236</v>
      </c>
      <c r="C38" s="15"/>
      <c r="D38">
        <v>4963262</v>
      </c>
      <c r="F38">
        <v>55</v>
      </c>
      <c r="G38" s="12">
        <f t="shared" si="0"/>
        <v>56</v>
      </c>
      <c r="H38" s="12">
        <f t="shared" si="1"/>
        <v>0</v>
      </c>
      <c r="I38" s="13">
        <v>0</v>
      </c>
      <c r="J38">
        <v>1</v>
      </c>
      <c r="K38" s="16">
        <v>44853</v>
      </c>
      <c r="L38" s="16">
        <v>24220</v>
      </c>
      <c r="M38" s="12" t="s">
        <v>46</v>
      </c>
      <c r="N38" t="s">
        <v>47</v>
      </c>
      <c r="O38" t="s">
        <v>43</v>
      </c>
      <c r="Q38" s="7" t="s">
        <v>50</v>
      </c>
      <c r="R38" t="s">
        <v>50</v>
      </c>
      <c r="S38" t="s">
        <v>50</v>
      </c>
      <c r="T38" t="s">
        <v>50</v>
      </c>
      <c r="U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81</v>
      </c>
      <c r="AC38" t="s">
        <v>237</v>
      </c>
    </row>
    <row r="39" spans="1:34" ht="14.1">
      <c r="A39" s="31" t="s">
        <v>238</v>
      </c>
      <c r="B39" s="15" t="s">
        <v>239</v>
      </c>
      <c r="C39" s="15"/>
      <c r="D39">
        <v>7058248</v>
      </c>
      <c r="G39" s="12">
        <f t="shared" si="0"/>
        <v>44</v>
      </c>
      <c r="H39" s="12">
        <f t="shared" si="1"/>
        <v>0</v>
      </c>
      <c r="I39" s="13">
        <v>0</v>
      </c>
      <c r="J39">
        <v>1</v>
      </c>
      <c r="K39" s="16">
        <v>44854</v>
      </c>
      <c r="L39" s="16">
        <v>28492</v>
      </c>
      <c r="M39" s="12" t="s">
        <v>164</v>
      </c>
      <c r="N39" t="s">
        <v>47</v>
      </c>
      <c r="O39" t="s">
        <v>48</v>
      </c>
      <c r="Q39" s="7" t="str">
        <f>Q40</f>
        <v>Inconclusive</v>
      </c>
      <c r="X39" t="s">
        <v>50</v>
      </c>
      <c r="Y39" t="s">
        <v>50</v>
      </c>
      <c r="Z39" t="s">
        <v>50</v>
      </c>
      <c r="AA39" t="s">
        <v>50</v>
      </c>
      <c r="AB39" t="s">
        <v>240</v>
      </c>
      <c r="AC39" t="s">
        <v>81</v>
      </c>
      <c r="AD39" t="s">
        <v>241</v>
      </c>
    </row>
    <row r="40" spans="1:34" ht="14.1">
      <c r="A40" s="31" t="s">
        <v>242</v>
      </c>
      <c r="B40" s="15" t="s">
        <v>243</v>
      </c>
      <c r="C40" s="15"/>
      <c r="D40">
        <v>7027563</v>
      </c>
      <c r="G40" s="12">
        <f t="shared" si="0"/>
        <v>55</v>
      </c>
      <c r="H40" s="12">
        <f t="shared" si="1"/>
        <v>0</v>
      </c>
      <c r="I40" s="13">
        <v>0</v>
      </c>
      <c r="J40">
        <v>1</v>
      </c>
      <c r="K40" s="16">
        <v>44854</v>
      </c>
      <c r="L40" s="16">
        <v>24568</v>
      </c>
      <c r="M40" s="12" t="s">
        <v>140</v>
      </c>
      <c r="N40" t="s">
        <v>91</v>
      </c>
      <c r="O40" t="s">
        <v>48</v>
      </c>
      <c r="Q40" s="7" t="s">
        <v>201</v>
      </c>
      <c r="X40" t="s">
        <v>50</v>
      </c>
      <c r="Y40" t="s">
        <v>64</v>
      </c>
      <c r="Z40" t="s">
        <v>244</v>
      </c>
      <c r="AA40" t="str">
        <f>AA31</f>
        <v>Normal Result</v>
      </c>
      <c r="AB40" t="s">
        <v>81</v>
      </c>
      <c r="AC40" t="s">
        <v>245</v>
      </c>
    </row>
    <row r="41" spans="1:34" ht="14.1">
      <c r="A41" s="31" t="s">
        <v>246</v>
      </c>
      <c r="B41" s="15" t="s">
        <v>247</v>
      </c>
      <c r="C41" s="15"/>
      <c r="D41">
        <v>7060087</v>
      </c>
      <c r="G41" s="12">
        <f t="shared" si="0"/>
        <v>54</v>
      </c>
      <c r="H41" s="12">
        <f t="shared" si="1"/>
        <v>0</v>
      </c>
      <c r="I41" s="13">
        <v>0</v>
      </c>
      <c r="J41">
        <v>1</v>
      </c>
      <c r="K41" s="16">
        <v>44860</v>
      </c>
      <c r="L41" s="16">
        <v>24988</v>
      </c>
      <c r="M41" s="12" t="s">
        <v>55</v>
      </c>
      <c r="N41" s="12" t="s">
        <v>47</v>
      </c>
      <c r="O41" t="s">
        <v>48</v>
      </c>
      <c r="Q41" s="7" t="s">
        <v>50</v>
      </c>
      <c r="S41" t="s">
        <v>62</v>
      </c>
      <c r="T41" t="s">
        <v>62</v>
      </c>
      <c r="U41" t="s">
        <v>62</v>
      </c>
      <c r="V41" t="s">
        <v>72</v>
      </c>
      <c r="W41" t="s">
        <v>62</v>
      </c>
      <c r="X41" t="s">
        <v>50</v>
      </c>
      <c r="Y41" t="s">
        <v>50</v>
      </c>
      <c r="Z41" t="s">
        <v>50</v>
      </c>
      <c r="AA41" t="s">
        <v>50</v>
      </c>
      <c r="AB41" t="s">
        <v>81</v>
      </c>
      <c r="AC41" t="s">
        <v>108</v>
      </c>
      <c r="AD41" t="s">
        <v>248</v>
      </c>
      <c r="AE41" t="s">
        <v>249</v>
      </c>
      <c r="AF41" t="s">
        <v>250</v>
      </c>
      <c r="AG41" t="s">
        <v>251</v>
      </c>
    </row>
    <row r="42" spans="1:34" ht="14.1">
      <c r="A42" s="31" t="s">
        <v>252</v>
      </c>
      <c r="B42" s="15" t="s">
        <v>253</v>
      </c>
      <c r="C42" s="15"/>
      <c r="D42">
        <v>3084127</v>
      </c>
      <c r="G42" s="12">
        <f t="shared" si="0"/>
        <v>67</v>
      </c>
      <c r="H42" s="12">
        <f t="shared" si="1"/>
        <v>0</v>
      </c>
      <c r="I42" s="13">
        <v>0</v>
      </c>
      <c r="J42">
        <v>0</v>
      </c>
      <c r="K42" s="16">
        <v>44868</v>
      </c>
      <c r="L42" s="16">
        <v>20233</v>
      </c>
      <c r="M42" s="12" t="s">
        <v>99</v>
      </c>
      <c r="N42" t="s">
        <v>47</v>
      </c>
      <c r="O42" t="s">
        <v>43</v>
      </c>
      <c r="Q42" s="7" t="s">
        <v>50</v>
      </c>
      <c r="X42" t="s">
        <v>50</v>
      </c>
      <c r="Y42" t="s">
        <v>50</v>
      </c>
      <c r="Z42" t="s">
        <v>50</v>
      </c>
      <c r="AA42" t="s">
        <v>50</v>
      </c>
      <c r="AB42" t="s">
        <v>254</v>
      </c>
      <c r="AC42" t="s">
        <v>128</v>
      </c>
    </row>
    <row r="43" spans="1:34" ht="14.1">
      <c r="A43" s="31" t="s">
        <v>255</v>
      </c>
      <c r="B43" s="15" t="s">
        <v>256</v>
      </c>
      <c r="C43" s="15"/>
      <c r="D43">
        <v>7067001</v>
      </c>
      <c r="G43" s="12">
        <f t="shared" si="0"/>
        <v>18</v>
      </c>
      <c r="H43" s="12">
        <f t="shared" si="1"/>
        <v>1</v>
      </c>
      <c r="I43" s="13">
        <v>0</v>
      </c>
      <c r="J43">
        <v>0</v>
      </c>
      <c r="K43" s="16">
        <v>44872</v>
      </c>
      <c r="L43" s="16">
        <v>38100</v>
      </c>
      <c r="M43" s="12" t="s">
        <v>55</v>
      </c>
      <c r="N43" t="s">
        <v>180</v>
      </c>
      <c r="O43" t="s">
        <v>257</v>
      </c>
      <c r="Q43" s="7" t="s">
        <v>50</v>
      </c>
      <c r="X43" t="s">
        <v>50</v>
      </c>
      <c r="Y43" t="s">
        <v>258</v>
      </c>
      <c r="Z43" t="s">
        <v>50</v>
      </c>
      <c r="AA43" t="s">
        <v>50</v>
      </c>
      <c r="AB43" t="s">
        <v>259</v>
      </c>
    </row>
    <row r="44" spans="1:34" ht="14.1">
      <c r="A44" s="31" t="s">
        <v>260</v>
      </c>
      <c r="B44" s="15" t="s">
        <v>261</v>
      </c>
      <c r="C44" s="15"/>
      <c r="D44">
        <v>3751474</v>
      </c>
      <c r="G44" s="12">
        <f t="shared" si="0"/>
        <v>56</v>
      </c>
      <c r="H44" s="12">
        <f t="shared" si="1"/>
        <v>0</v>
      </c>
      <c r="I44" s="13">
        <v>0</v>
      </c>
      <c r="J44">
        <v>1</v>
      </c>
      <c r="K44" s="16">
        <v>44886</v>
      </c>
      <c r="L44" s="16">
        <v>24217</v>
      </c>
      <c r="M44" s="12" t="s">
        <v>55</v>
      </c>
      <c r="N44" t="s">
        <v>47</v>
      </c>
      <c r="O44" s="19" t="s">
        <v>48</v>
      </c>
      <c r="Q44" s="7" t="s">
        <v>71</v>
      </c>
      <c r="X44" t="s">
        <v>50</v>
      </c>
      <c r="Y44" t="s">
        <v>50</v>
      </c>
      <c r="Z44" t="s">
        <v>50</v>
      </c>
      <c r="AA44" t="s">
        <v>50</v>
      </c>
      <c r="AB44" t="s">
        <v>248</v>
      </c>
      <c r="AC44" t="s">
        <v>108</v>
      </c>
      <c r="AD44" t="s">
        <v>262</v>
      </c>
      <c r="AE44" t="s">
        <v>81</v>
      </c>
      <c r="AF44" t="s">
        <v>263</v>
      </c>
      <c r="AG44" t="s">
        <v>264</v>
      </c>
      <c r="AH44" t="s">
        <v>265</v>
      </c>
    </row>
    <row r="45" spans="1:34" ht="14.1">
      <c r="A45" s="31" t="s">
        <v>266</v>
      </c>
      <c r="B45" s="15" t="s">
        <v>267</v>
      </c>
      <c r="C45" s="15"/>
      <c r="D45">
        <v>7066032</v>
      </c>
      <c r="G45" s="12">
        <f t="shared" si="0"/>
        <v>82</v>
      </c>
      <c r="H45" s="12">
        <f t="shared" si="1"/>
        <v>0</v>
      </c>
      <c r="I45" s="13">
        <v>0</v>
      </c>
      <c r="J45">
        <v>1</v>
      </c>
      <c r="K45" s="16">
        <v>44888</v>
      </c>
      <c r="L45" s="16">
        <v>14610</v>
      </c>
      <c r="M45" s="12" t="s">
        <v>55</v>
      </c>
      <c r="N45" t="s">
        <v>70</v>
      </c>
      <c r="O45" t="s">
        <v>48</v>
      </c>
      <c r="S45" t="s">
        <v>62</v>
      </c>
      <c r="T45" t="s">
        <v>62</v>
      </c>
      <c r="U45" t="s">
        <v>62</v>
      </c>
      <c r="V45" t="s">
        <v>62</v>
      </c>
      <c r="X45" t="s">
        <v>50</v>
      </c>
      <c r="Y45" t="s">
        <v>50</v>
      </c>
      <c r="Z45" t="s">
        <v>268</v>
      </c>
      <c r="AA45" t="s">
        <v>269</v>
      </c>
      <c r="AB45" t="s">
        <v>81</v>
      </c>
      <c r="AC45" t="s">
        <v>270</v>
      </c>
    </row>
    <row r="46" spans="1:34" ht="14.1">
      <c r="A46" s="31" t="s">
        <v>271</v>
      </c>
      <c r="B46" s="15" t="s">
        <v>272</v>
      </c>
      <c r="C46" s="15"/>
      <c r="D46">
        <v>7046785</v>
      </c>
      <c r="G46" s="12">
        <f t="shared" si="0"/>
        <v>29</v>
      </c>
      <c r="H46" s="12">
        <f t="shared" si="1"/>
        <v>1</v>
      </c>
      <c r="I46" s="13">
        <v>0</v>
      </c>
      <c r="J46">
        <v>1</v>
      </c>
      <c r="K46" s="16">
        <v>44888</v>
      </c>
      <c r="L46" s="16">
        <v>34072</v>
      </c>
      <c r="M46" s="12" t="s">
        <v>55</v>
      </c>
      <c r="N46" t="s">
        <v>70</v>
      </c>
      <c r="O46" t="s">
        <v>48</v>
      </c>
      <c r="Q46" s="7" t="s">
        <v>71</v>
      </c>
      <c r="S46" t="s">
        <v>72</v>
      </c>
      <c r="T46" t="s">
        <v>62</v>
      </c>
      <c r="U46" t="s">
        <v>72</v>
      </c>
      <c r="V46" t="s">
        <v>72</v>
      </c>
      <c r="X46" t="s">
        <v>50</v>
      </c>
      <c r="Y46" t="s">
        <v>273</v>
      </c>
      <c r="Z46" t="s">
        <v>50</v>
      </c>
      <c r="AA46" t="s">
        <v>50</v>
      </c>
    </row>
    <row r="47" spans="1:34" ht="14.1">
      <c r="A47" s="31" t="s">
        <v>274</v>
      </c>
      <c r="B47" s="15" t="s">
        <v>275</v>
      </c>
      <c r="C47" s="15"/>
      <c r="D47">
        <v>7074272</v>
      </c>
      <c r="G47" s="12">
        <f t="shared" si="0"/>
        <v>54</v>
      </c>
      <c r="H47" s="12">
        <f t="shared" si="1"/>
        <v>0</v>
      </c>
      <c r="I47" s="13">
        <v>0</v>
      </c>
      <c r="J47">
        <v>1</v>
      </c>
      <c r="K47" s="16">
        <v>44893</v>
      </c>
      <c r="L47" s="16">
        <v>25068</v>
      </c>
      <c r="M47" s="12" t="s">
        <v>55</v>
      </c>
      <c r="N47" t="s">
        <v>47</v>
      </c>
      <c r="O47" t="s">
        <v>48</v>
      </c>
      <c r="S47" t="s">
        <v>62</v>
      </c>
      <c r="T47" t="s">
        <v>62</v>
      </c>
      <c r="U47" t="s">
        <v>62</v>
      </c>
      <c r="V47" t="s">
        <v>72</v>
      </c>
      <c r="W47" t="s">
        <v>165</v>
      </c>
      <c r="X47" t="s">
        <v>50</v>
      </c>
      <c r="Y47" t="s">
        <v>50</v>
      </c>
      <c r="Z47" t="s">
        <v>50</v>
      </c>
      <c r="AA47" t="s">
        <v>50</v>
      </c>
      <c r="AB47" t="s">
        <v>276</v>
      </c>
      <c r="AC47" t="s">
        <v>277</v>
      </c>
      <c r="AD47" t="s">
        <v>102</v>
      </c>
      <c r="AE47" t="s">
        <v>278</v>
      </c>
      <c r="AF47" t="s">
        <v>279</v>
      </c>
      <c r="AG47" t="s">
        <v>264</v>
      </c>
      <c r="AH47" t="s">
        <v>280</v>
      </c>
    </row>
    <row r="48" spans="1:34" ht="14.1">
      <c r="A48" s="31" t="s">
        <v>281</v>
      </c>
      <c r="B48" s="15" t="s">
        <v>282</v>
      </c>
      <c r="C48" s="15"/>
      <c r="D48">
        <v>7066772</v>
      </c>
      <c r="G48" s="12">
        <f t="shared" si="0"/>
        <v>50</v>
      </c>
      <c r="H48" s="12">
        <f t="shared" si="1"/>
        <v>0</v>
      </c>
      <c r="I48" s="13">
        <v>0</v>
      </c>
      <c r="J48">
        <v>1</v>
      </c>
      <c r="K48" s="16">
        <v>44893</v>
      </c>
      <c r="L48" s="16">
        <v>26622</v>
      </c>
      <c r="M48" s="12" t="s">
        <v>55</v>
      </c>
      <c r="N48" t="s">
        <v>47</v>
      </c>
      <c r="O48" t="s">
        <v>48</v>
      </c>
      <c r="Q48" s="7" t="s">
        <v>49</v>
      </c>
      <c r="X48" t="s">
        <v>50</v>
      </c>
      <c r="Y48" t="s">
        <v>50</v>
      </c>
      <c r="Z48" t="s">
        <v>50</v>
      </c>
      <c r="AA48" t="s">
        <v>50</v>
      </c>
      <c r="AB48" t="s">
        <v>248</v>
      </c>
      <c r="AC48" t="s">
        <v>283</v>
      </c>
      <c r="AD48" t="s">
        <v>284</v>
      </c>
      <c r="AE48" t="s">
        <v>81</v>
      </c>
      <c r="AF48" t="s">
        <v>108</v>
      </c>
      <c r="AG48" t="s">
        <v>285</v>
      </c>
    </row>
    <row r="49" spans="1:32" ht="14.1">
      <c r="A49" s="31" t="s">
        <v>286</v>
      </c>
      <c r="B49" s="15" t="s">
        <v>287</v>
      </c>
      <c r="C49" s="15"/>
      <c r="D49">
        <v>4218617</v>
      </c>
      <c r="F49">
        <v>14</v>
      </c>
      <c r="G49" s="12">
        <f t="shared" si="0"/>
        <v>25</v>
      </c>
      <c r="H49" s="12">
        <f t="shared" si="1"/>
        <v>1</v>
      </c>
      <c r="I49" s="13">
        <v>1</v>
      </c>
      <c r="J49">
        <v>1</v>
      </c>
      <c r="K49" s="16">
        <v>44894</v>
      </c>
      <c r="L49" s="16">
        <v>35421</v>
      </c>
      <c r="M49" s="12" t="s">
        <v>55</v>
      </c>
      <c r="N49" t="s">
        <v>197</v>
      </c>
      <c r="O49" t="s">
        <v>43</v>
      </c>
      <c r="Q49" s="7" t="s">
        <v>50</v>
      </c>
      <c r="X49" t="s">
        <v>50</v>
      </c>
      <c r="Y49" t="s">
        <v>64</v>
      </c>
      <c r="Z49" t="s">
        <v>50</v>
      </c>
      <c r="AA49" t="s">
        <v>50</v>
      </c>
      <c r="AB49" t="s">
        <v>288</v>
      </c>
    </row>
    <row r="50" spans="1:32" ht="14.1">
      <c r="A50" s="31" t="s">
        <v>289</v>
      </c>
      <c r="B50" s="15" t="s">
        <v>290</v>
      </c>
      <c r="C50" s="15"/>
      <c r="D50">
        <v>3684515</v>
      </c>
      <c r="F50">
        <v>37</v>
      </c>
      <c r="G50" s="12">
        <f t="shared" si="0"/>
        <v>51</v>
      </c>
      <c r="H50" s="12">
        <f t="shared" si="1"/>
        <v>0</v>
      </c>
      <c r="I50" s="13">
        <v>0</v>
      </c>
      <c r="J50">
        <v>1</v>
      </c>
      <c r="K50" s="16">
        <v>44900</v>
      </c>
      <c r="L50" s="16">
        <v>26270</v>
      </c>
      <c r="M50" s="12" t="s">
        <v>55</v>
      </c>
      <c r="N50" t="s">
        <v>155</v>
      </c>
      <c r="O50" t="s">
        <v>43</v>
      </c>
      <c r="Q50" s="7" t="s">
        <v>71</v>
      </c>
      <c r="S50" t="s">
        <v>72</v>
      </c>
      <c r="T50" t="s">
        <v>62</v>
      </c>
      <c r="U50" t="s">
        <v>62</v>
      </c>
      <c r="V50" t="s">
        <v>62</v>
      </c>
      <c r="X50" t="s">
        <v>50</v>
      </c>
      <c r="Y50" t="s">
        <v>50</v>
      </c>
      <c r="Z50" t="s">
        <v>50</v>
      </c>
      <c r="AA50" t="s">
        <v>50</v>
      </c>
      <c r="AB50" t="s">
        <v>50</v>
      </c>
    </row>
    <row r="51" spans="1:32" ht="14.1">
      <c r="A51" s="31" t="s">
        <v>291</v>
      </c>
      <c r="B51" s="15" t="s">
        <v>292</v>
      </c>
      <c r="C51" s="15"/>
      <c r="D51">
        <v>4060541</v>
      </c>
      <c r="F51">
        <v>12</v>
      </c>
      <c r="G51" s="12">
        <f t="shared" si="0"/>
        <v>28</v>
      </c>
      <c r="H51" s="12">
        <f t="shared" si="1"/>
        <v>1</v>
      </c>
      <c r="I51" s="13">
        <v>1</v>
      </c>
      <c r="J51">
        <v>1</v>
      </c>
      <c r="K51" s="16">
        <v>44910</v>
      </c>
      <c r="L51" s="16">
        <v>34556</v>
      </c>
      <c r="M51" s="12" t="s">
        <v>106</v>
      </c>
      <c r="N51" t="s">
        <v>293</v>
      </c>
      <c r="O51" t="s">
        <v>48</v>
      </c>
      <c r="Q51" s="7" t="s">
        <v>49</v>
      </c>
      <c r="S51" t="s">
        <v>62</v>
      </c>
      <c r="T51" t="s">
        <v>72</v>
      </c>
      <c r="U51" t="s">
        <v>62</v>
      </c>
      <c r="V51" t="s">
        <v>62</v>
      </c>
      <c r="X51" t="s">
        <v>50</v>
      </c>
      <c r="Y51" t="s">
        <v>294</v>
      </c>
      <c r="Z51" t="s">
        <v>50</v>
      </c>
      <c r="AA51" t="s">
        <v>50</v>
      </c>
      <c r="AB51" t="s">
        <v>110</v>
      </c>
    </row>
    <row r="52" spans="1:32" ht="14.1">
      <c r="A52" s="31" t="s">
        <v>295</v>
      </c>
      <c r="B52" s="15" t="s">
        <v>296</v>
      </c>
      <c r="C52" s="15"/>
      <c r="D52">
        <v>4473174</v>
      </c>
      <c r="G52" s="12">
        <f t="shared" si="0"/>
        <v>23</v>
      </c>
      <c r="H52" s="12">
        <f t="shared" si="1"/>
        <v>1</v>
      </c>
      <c r="I52" s="13">
        <v>0</v>
      </c>
      <c r="J52">
        <v>1</v>
      </c>
      <c r="K52" s="16">
        <v>44915</v>
      </c>
      <c r="L52" s="16">
        <v>36297</v>
      </c>
      <c r="M52" s="12" t="s">
        <v>55</v>
      </c>
      <c r="N52" t="s">
        <v>70</v>
      </c>
      <c r="O52" t="s">
        <v>48</v>
      </c>
      <c r="Q52" s="7" t="s">
        <v>49</v>
      </c>
      <c r="X52" t="s">
        <v>50</v>
      </c>
      <c r="Y52" t="s">
        <v>64</v>
      </c>
      <c r="Z52" t="s">
        <v>50</v>
      </c>
      <c r="AA52" t="s">
        <v>50</v>
      </c>
      <c r="AB52" t="s">
        <v>297</v>
      </c>
      <c r="AC52" t="s">
        <v>298</v>
      </c>
      <c r="AD52" t="s">
        <v>299</v>
      </c>
    </row>
    <row r="53" spans="1:32" ht="14.1">
      <c r="A53" s="31" t="s">
        <v>300</v>
      </c>
      <c r="B53" s="15" t="s">
        <v>301</v>
      </c>
      <c r="C53" s="15"/>
      <c r="D53">
        <v>7046849</v>
      </c>
      <c r="G53" s="12">
        <f t="shared" si="0"/>
        <v>67</v>
      </c>
      <c r="H53" s="12">
        <f t="shared" si="1"/>
        <v>0</v>
      </c>
      <c r="I53" s="13">
        <v>0</v>
      </c>
      <c r="J53">
        <v>1</v>
      </c>
      <c r="K53" s="16">
        <v>44915</v>
      </c>
      <c r="L53" s="16">
        <v>20312</v>
      </c>
      <c r="M53" s="12" t="s">
        <v>55</v>
      </c>
      <c r="N53" t="s">
        <v>47</v>
      </c>
      <c r="O53" t="s">
        <v>48</v>
      </c>
      <c r="S53" t="s">
        <v>62</v>
      </c>
      <c r="T53" t="s">
        <v>62</v>
      </c>
      <c r="U53" t="s">
        <v>62</v>
      </c>
      <c r="V53" t="s">
        <v>62</v>
      </c>
      <c r="X53" t="s">
        <v>64</v>
      </c>
      <c r="Y53" t="s">
        <v>64</v>
      </c>
      <c r="Z53" t="s">
        <v>50</v>
      </c>
      <c r="AA53" t="s">
        <v>50</v>
      </c>
      <c r="AB53" t="s">
        <v>302</v>
      </c>
      <c r="AC53" t="s">
        <v>303</v>
      </c>
      <c r="AD53" t="s">
        <v>304</v>
      </c>
    </row>
    <row r="54" spans="1:32" ht="14.1">
      <c r="A54" s="41" t="s">
        <v>305</v>
      </c>
      <c r="B54" s="15" t="s">
        <v>306</v>
      </c>
      <c r="C54" s="15"/>
      <c r="D54">
        <v>3718378</v>
      </c>
      <c r="G54" s="24">
        <f t="shared" si="0"/>
        <v>52</v>
      </c>
      <c r="H54" s="24">
        <f t="shared" si="1"/>
        <v>0</v>
      </c>
      <c r="I54" s="25">
        <v>0</v>
      </c>
      <c r="J54">
        <v>1</v>
      </c>
      <c r="K54" s="16">
        <v>44925</v>
      </c>
      <c r="L54" s="16">
        <v>25688</v>
      </c>
      <c r="M54" s="24" t="s">
        <v>307</v>
      </c>
      <c r="N54" t="s">
        <v>47</v>
      </c>
      <c r="O54" t="s">
        <v>48</v>
      </c>
      <c r="Q54" s="7" t="s">
        <v>50</v>
      </c>
      <c r="X54" t="s">
        <v>50</v>
      </c>
      <c r="Y54" t="s">
        <v>50</v>
      </c>
      <c r="Z54" t="s">
        <v>50</v>
      </c>
      <c r="AA54" t="s">
        <v>50</v>
      </c>
      <c r="AB54" t="s">
        <v>81</v>
      </c>
      <c r="AC54" t="s">
        <v>254</v>
      </c>
      <c r="AD54" t="s">
        <v>308</v>
      </c>
    </row>
    <row r="55" spans="1:32" thickBot="1">
      <c r="A55" s="26" t="s">
        <v>309</v>
      </c>
      <c r="B55" s="27" t="s">
        <v>310</v>
      </c>
      <c r="C55" s="27"/>
      <c r="D55" s="28">
        <v>7091802</v>
      </c>
      <c r="E55" s="28"/>
      <c r="F55" s="28"/>
      <c r="G55" s="26">
        <f t="shared" si="0"/>
        <v>36</v>
      </c>
      <c r="H55" s="26">
        <f t="shared" si="1"/>
        <v>1</v>
      </c>
      <c r="I55" s="29">
        <v>0</v>
      </c>
      <c r="J55" s="28">
        <v>1</v>
      </c>
      <c r="K55" s="30">
        <v>44936</v>
      </c>
      <c r="L55" s="30">
        <v>31574</v>
      </c>
      <c r="M55" s="28" t="s">
        <v>46</v>
      </c>
      <c r="N55" s="28" t="s">
        <v>155</v>
      </c>
      <c r="O55" s="28" t="s">
        <v>48</v>
      </c>
      <c r="P55" s="28" t="s">
        <v>311</v>
      </c>
      <c r="X55" t="s">
        <v>312</v>
      </c>
      <c r="Y55" t="s">
        <v>313</v>
      </c>
      <c r="Z55" t="s">
        <v>50</v>
      </c>
      <c r="AA55" t="s">
        <v>50</v>
      </c>
      <c r="AB55" t="s">
        <v>314</v>
      </c>
    </row>
    <row r="56" spans="1:32" thickTop="1">
      <c r="A56" s="36" t="s">
        <v>315</v>
      </c>
      <c r="B56" s="27" t="s">
        <v>316</v>
      </c>
      <c r="C56" s="27"/>
      <c r="D56" s="36">
        <v>7096403</v>
      </c>
      <c r="E56" s="36"/>
      <c r="F56" s="36"/>
      <c r="G56" s="37">
        <f t="shared" si="0"/>
        <v>33</v>
      </c>
      <c r="H56" s="37">
        <f t="shared" si="1"/>
        <v>1</v>
      </c>
      <c r="I56" s="38">
        <v>0</v>
      </c>
      <c r="J56" s="36">
        <v>1</v>
      </c>
      <c r="K56" s="39">
        <v>44945</v>
      </c>
      <c r="L56" s="39">
        <v>32876</v>
      </c>
      <c r="M56" s="37" t="s">
        <v>55</v>
      </c>
      <c r="N56" s="36" t="s">
        <v>70</v>
      </c>
      <c r="O56" s="36" t="s">
        <v>48</v>
      </c>
      <c r="P56" s="36" t="s">
        <v>311</v>
      </c>
    </row>
    <row r="57" spans="1:32" ht="14.45">
      <c r="A57" s="36" t="s">
        <v>317</v>
      </c>
      <c r="B57" s="27" t="s">
        <v>318</v>
      </c>
      <c r="C57" s="27"/>
      <c r="D57" s="36">
        <v>7101066</v>
      </c>
      <c r="E57" s="36"/>
      <c r="F57" s="36"/>
      <c r="G57" s="37">
        <f t="shared" si="0"/>
        <v>80</v>
      </c>
      <c r="H57" s="37">
        <f t="shared" si="1"/>
        <v>0</v>
      </c>
      <c r="I57" s="38">
        <v>0</v>
      </c>
      <c r="J57" s="36">
        <v>1</v>
      </c>
      <c r="K57" s="39">
        <v>44957</v>
      </c>
      <c r="L57" s="39">
        <v>15580</v>
      </c>
      <c r="M57" s="37" t="s">
        <v>55</v>
      </c>
      <c r="N57" s="36" t="s">
        <v>70</v>
      </c>
      <c r="O57" s="36" t="s">
        <v>48</v>
      </c>
      <c r="P57" s="36" t="s">
        <v>311</v>
      </c>
    </row>
    <row r="58" spans="1:32" ht="14.45">
      <c r="A58" s="36" t="s">
        <v>319</v>
      </c>
      <c r="B58" s="27" t="s">
        <v>320</v>
      </c>
      <c r="C58" s="27"/>
      <c r="D58" s="36">
        <v>7101072</v>
      </c>
      <c r="E58" s="36"/>
      <c r="F58" s="36"/>
      <c r="G58" s="37">
        <f t="shared" si="0"/>
        <v>67</v>
      </c>
      <c r="H58" s="37">
        <f t="shared" si="1"/>
        <v>0</v>
      </c>
      <c r="I58" s="38">
        <v>0</v>
      </c>
      <c r="J58" s="36">
        <v>1</v>
      </c>
      <c r="K58" s="39">
        <v>44957</v>
      </c>
      <c r="L58" s="39">
        <v>20355</v>
      </c>
      <c r="M58" s="37" t="s">
        <v>55</v>
      </c>
      <c r="N58" s="36" t="s">
        <v>91</v>
      </c>
      <c r="O58" s="36" t="s">
        <v>48</v>
      </c>
      <c r="P58" s="36" t="s">
        <v>311</v>
      </c>
    </row>
    <row r="59" spans="1:32" ht="14.45">
      <c r="A59" s="36" t="s">
        <v>321</v>
      </c>
      <c r="B59" s="27" t="s">
        <v>322</v>
      </c>
      <c r="C59" s="27"/>
      <c r="D59" s="36">
        <v>7142023</v>
      </c>
      <c r="E59" s="36"/>
      <c r="G59" s="37">
        <f t="shared" si="0"/>
        <v>77</v>
      </c>
      <c r="H59" s="37">
        <f t="shared" si="1"/>
        <v>0</v>
      </c>
      <c r="I59" s="38">
        <v>0</v>
      </c>
      <c r="J59" s="36">
        <v>1</v>
      </c>
      <c r="K59" s="39">
        <v>45051</v>
      </c>
      <c r="L59" s="39">
        <v>16910</v>
      </c>
      <c r="M59" s="37" t="s">
        <v>164</v>
      </c>
      <c r="N59" s="36" t="s">
        <v>47</v>
      </c>
      <c r="O59" s="36" t="s">
        <v>48</v>
      </c>
      <c r="P59" s="36" t="s">
        <v>311</v>
      </c>
    </row>
    <row r="60" spans="1:32" ht="14.45">
      <c r="A60" s="36" t="s">
        <v>323</v>
      </c>
      <c r="B60" s="27" t="s">
        <v>324</v>
      </c>
      <c r="C60" s="27"/>
      <c r="D60" s="36">
        <v>7149297</v>
      </c>
      <c r="E60" s="36"/>
      <c r="F60" s="36"/>
      <c r="G60" s="37">
        <f t="shared" si="0"/>
        <v>57</v>
      </c>
      <c r="H60" s="37">
        <f t="shared" si="1"/>
        <v>0</v>
      </c>
      <c r="I60" s="36">
        <v>0</v>
      </c>
      <c r="J60" s="36">
        <v>1</v>
      </c>
      <c r="K60" s="39">
        <v>45070</v>
      </c>
      <c r="L60" s="39">
        <v>24003</v>
      </c>
      <c r="M60" s="36" t="s">
        <v>106</v>
      </c>
      <c r="N60" s="36" t="s">
        <v>91</v>
      </c>
      <c r="O60" s="36" t="s">
        <v>48</v>
      </c>
      <c r="P60" s="36" t="s">
        <v>311</v>
      </c>
    </row>
    <row r="61" spans="1:32" ht="14.45">
      <c r="A61" s="34" t="s">
        <v>325</v>
      </c>
      <c r="B61" s="27" t="s">
        <v>326</v>
      </c>
      <c r="C61" s="27" t="s">
        <v>327</v>
      </c>
      <c r="D61" s="7">
        <v>3264381</v>
      </c>
      <c r="E61" s="7"/>
      <c r="F61" s="7"/>
      <c r="G61" s="12">
        <f t="shared" si="0"/>
        <v>44</v>
      </c>
      <c r="H61" s="12">
        <f t="shared" si="1"/>
        <v>0</v>
      </c>
      <c r="I61" s="7">
        <v>0</v>
      </c>
      <c r="J61" s="7">
        <v>1</v>
      </c>
      <c r="K61" s="17">
        <v>45092</v>
      </c>
      <c r="L61" s="17">
        <v>28813</v>
      </c>
      <c r="M61" s="7" t="s">
        <v>55</v>
      </c>
      <c r="N61" s="7" t="s">
        <v>155</v>
      </c>
      <c r="O61" s="7" t="s">
        <v>43</v>
      </c>
      <c r="Q61" s="7" t="s">
        <v>71</v>
      </c>
      <c r="X61" t="s">
        <v>328</v>
      </c>
      <c r="Y61" t="s">
        <v>50</v>
      </c>
      <c r="Z61" t="s">
        <v>50</v>
      </c>
      <c r="AA61" t="s">
        <v>50</v>
      </c>
      <c r="AB61" t="s">
        <v>50</v>
      </c>
    </row>
    <row r="62" spans="1:32" ht="14.45">
      <c r="A62" s="36" t="s">
        <v>329</v>
      </c>
      <c r="B62" s="27" t="s">
        <v>330</v>
      </c>
      <c r="C62" s="27"/>
      <c r="D62" s="36">
        <v>7168803</v>
      </c>
      <c r="E62" s="36"/>
      <c r="F62" s="36"/>
      <c r="G62" s="37">
        <f t="shared" si="0"/>
        <v>49</v>
      </c>
      <c r="H62" s="37">
        <f t="shared" si="1"/>
        <v>0</v>
      </c>
      <c r="I62" s="36">
        <v>0</v>
      </c>
      <c r="J62" s="36">
        <v>1</v>
      </c>
      <c r="K62" s="39">
        <v>45117</v>
      </c>
      <c r="L62" s="39">
        <v>27027</v>
      </c>
      <c r="M62" s="36" t="s">
        <v>55</v>
      </c>
      <c r="N62" s="36" t="s">
        <v>47</v>
      </c>
      <c r="O62" s="36" t="s">
        <v>48</v>
      </c>
      <c r="P62" s="36" t="s">
        <v>311</v>
      </c>
      <c r="X62" t="s">
        <v>50</v>
      </c>
      <c r="Y62" t="s">
        <v>50</v>
      </c>
      <c r="Z62" t="s">
        <v>50</v>
      </c>
      <c r="AA62" t="s">
        <v>50</v>
      </c>
      <c r="AB62" t="s">
        <v>81</v>
      </c>
      <c r="AC62" t="s">
        <v>331</v>
      </c>
      <c r="AD62" t="s">
        <v>332</v>
      </c>
      <c r="AE62" t="s">
        <v>333</v>
      </c>
      <c r="AF62" t="s">
        <v>334</v>
      </c>
    </row>
    <row r="63" spans="1:32" ht="14.45">
      <c r="A63" s="36" t="s">
        <v>335</v>
      </c>
      <c r="B63" s="27" t="s">
        <v>336</v>
      </c>
      <c r="C63" s="27"/>
      <c r="D63" s="36">
        <v>7179440</v>
      </c>
      <c r="E63" s="36"/>
      <c r="F63" s="36"/>
      <c r="G63" s="36">
        <f t="shared" si="0"/>
        <v>66</v>
      </c>
      <c r="H63" s="36">
        <f t="shared" si="1"/>
        <v>0</v>
      </c>
      <c r="I63" s="36">
        <v>0</v>
      </c>
      <c r="J63" s="36">
        <v>1</v>
      </c>
      <c r="K63" s="39">
        <v>45142</v>
      </c>
      <c r="L63" s="39">
        <v>20916</v>
      </c>
      <c r="M63" s="36" t="s">
        <v>55</v>
      </c>
      <c r="N63" s="36" t="s">
        <v>155</v>
      </c>
      <c r="O63" s="36" t="s">
        <v>43</v>
      </c>
      <c r="P63" s="36" t="s">
        <v>311</v>
      </c>
    </row>
    <row r="64" spans="1:32" ht="14.45">
      <c r="A64" s="36" t="s">
        <v>337</v>
      </c>
      <c r="B64" s="27" t="s">
        <v>338</v>
      </c>
      <c r="C64" s="27"/>
      <c r="D64" s="36">
        <v>7189222</v>
      </c>
      <c r="E64" s="36"/>
      <c r="G64" s="36">
        <f t="shared" si="0"/>
        <v>41</v>
      </c>
      <c r="H64" s="36">
        <f t="shared" si="1"/>
        <v>0</v>
      </c>
      <c r="I64" s="36">
        <v>0</v>
      </c>
      <c r="J64" s="36">
        <v>1</v>
      </c>
      <c r="K64" s="39">
        <v>45167</v>
      </c>
      <c r="L64" s="39">
        <v>29943</v>
      </c>
      <c r="M64" s="36" t="s">
        <v>55</v>
      </c>
      <c r="N64" s="36" t="s">
        <v>47</v>
      </c>
      <c r="O64" s="36" t="s">
        <v>48</v>
      </c>
      <c r="P64" s="36" t="s">
        <v>311</v>
      </c>
    </row>
    <row r="65" spans="1:33" ht="14.45">
      <c r="A65" s="31" t="s">
        <v>339</v>
      </c>
      <c r="B65" s="15" t="s">
        <v>340</v>
      </c>
      <c r="C65" s="27" t="s">
        <v>327</v>
      </c>
      <c r="D65">
        <v>1246262</v>
      </c>
      <c r="F65" s="1"/>
      <c r="G65" s="12">
        <f t="shared" si="0"/>
        <v>57</v>
      </c>
      <c r="H65" s="12">
        <f t="shared" si="1"/>
        <v>0</v>
      </c>
      <c r="I65" s="13">
        <v>0</v>
      </c>
      <c r="J65">
        <v>1</v>
      </c>
      <c r="K65" s="16">
        <v>44657</v>
      </c>
      <c r="L65" s="16">
        <v>23559</v>
      </c>
      <c r="M65" s="12" t="s">
        <v>106</v>
      </c>
      <c r="N65" t="s">
        <v>91</v>
      </c>
      <c r="O65" t="s">
        <v>48</v>
      </c>
      <c r="Q65" s="7" t="s">
        <v>49</v>
      </c>
      <c r="X65" t="s">
        <v>50</v>
      </c>
      <c r="Y65" t="s">
        <v>50</v>
      </c>
      <c r="Z65" t="s">
        <v>50</v>
      </c>
      <c r="AA65" t="s">
        <v>50</v>
      </c>
      <c r="AB65" t="s">
        <v>81</v>
      </c>
      <c r="AC65" t="s">
        <v>248</v>
      </c>
      <c r="AD65" t="s">
        <v>108</v>
      </c>
      <c r="AE65" t="s">
        <v>114</v>
      </c>
    </row>
    <row r="66" spans="1:33" ht="14.45">
      <c r="A66" s="31" t="s">
        <v>341</v>
      </c>
      <c r="B66" s="15" t="s">
        <v>342</v>
      </c>
      <c r="C66" s="27" t="s">
        <v>327</v>
      </c>
      <c r="D66">
        <v>3379326</v>
      </c>
      <c r="F66">
        <v>16</v>
      </c>
      <c r="G66" s="12">
        <f t="shared" ref="G66:G129" si="2">DATEDIF(L66,K66,"Y")</f>
        <v>44</v>
      </c>
      <c r="H66" s="12">
        <f t="shared" ref="H66:H129" si="3">IF(G66&lt;=39,1,0)</f>
        <v>0</v>
      </c>
      <c r="I66" s="13">
        <v>1</v>
      </c>
      <c r="J66">
        <v>0</v>
      </c>
      <c r="K66" s="16">
        <v>44672</v>
      </c>
      <c r="L66" s="16">
        <v>28595</v>
      </c>
      <c r="M66" s="12" t="s">
        <v>164</v>
      </c>
      <c r="N66" t="s">
        <v>180</v>
      </c>
      <c r="O66" t="s">
        <v>43</v>
      </c>
      <c r="Q66" s="7" t="s">
        <v>49</v>
      </c>
      <c r="X66" t="s">
        <v>50</v>
      </c>
      <c r="Y66" t="s">
        <v>50</v>
      </c>
      <c r="Z66" t="s">
        <v>50</v>
      </c>
      <c r="AA66" t="s">
        <v>50</v>
      </c>
      <c r="AB66" t="s">
        <v>49</v>
      </c>
    </row>
    <row r="67" spans="1:33" ht="14.45">
      <c r="A67" s="41" t="s">
        <v>343</v>
      </c>
      <c r="B67" s="15" t="s">
        <v>344</v>
      </c>
      <c r="C67" s="27" t="s">
        <v>327</v>
      </c>
      <c r="D67">
        <v>3735490</v>
      </c>
      <c r="G67" s="24">
        <f t="shared" si="2"/>
        <v>62</v>
      </c>
      <c r="H67" s="24">
        <f t="shared" si="3"/>
        <v>0</v>
      </c>
      <c r="I67" s="25">
        <v>0</v>
      </c>
      <c r="J67">
        <v>1</v>
      </c>
      <c r="K67" s="16">
        <v>44679</v>
      </c>
      <c r="L67" s="16">
        <v>21744</v>
      </c>
      <c r="M67" s="24" t="s">
        <v>55</v>
      </c>
      <c r="N67" t="s">
        <v>91</v>
      </c>
      <c r="O67" t="s">
        <v>48</v>
      </c>
      <c r="Q67" s="7" t="s">
        <v>71</v>
      </c>
      <c r="X67" t="s">
        <v>50</v>
      </c>
      <c r="Y67" t="s">
        <v>50</v>
      </c>
      <c r="Z67" t="s">
        <v>345</v>
      </c>
      <c r="AA67" t="s">
        <v>345</v>
      </c>
      <c r="AB67" t="s">
        <v>240</v>
      </c>
      <c r="AC67" t="s">
        <v>81</v>
      </c>
      <c r="AD67" t="s">
        <v>346</v>
      </c>
      <c r="AE67" t="s">
        <v>347</v>
      </c>
    </row>
    <row r="68" spans="1:33" ht="14.45">
      <c r="A68" s="31" t="s">
        <v>348</v>
      </c>
      <c r="B68" s="15" t="s">
        <v>349</v>
      </c>
      <c r="C68" s="27" t="s">
        <v>327</v>
      </c>
      <c r="D68">
        <v>4967014</v>
      </c>
      <c r="G68" s="12">
        <f t="shared" si="2"/>
        <v>46</v>
      </c>
      <c r="H68" s="12">
        <f t="shared" si="3"/>
        <v>0</v>
      </c>
      <c r="I68" s="13">
        <v>0</v>
      </c>
      <c r="J68">
        <v>1</v>
      </c>
      <c r="K68" s="16">
        <v>44684</v>
      </c>
      <c r="L68" s="16">
        <v>27597</v>
      </c>
      <c r="M68" s="12" t="s">
        <v>55</v>
      </c>
      <c r="N68" t="s">
        <v>47</v>
      </c>
      <c r="O68" t="s">
        <v>48</v>
      </c>
      <c r="Q68" s="7" t="s">
        <v>49</v>
      </c>
      <c r="X68" t="s">
        <v>50</v>
      </c>
      <c r="Y68" t="s">
        <v>350</v>
      </c>
      <c r="Z68" t="s">
        <v>208</v>
      </c>
      <c r="AA68" t="s">
        <v>351</v>
      </c>
      <c r="AB68" t="s">
        <v>240</v>
      </c>
      <c r="AC68" t="s">
        <v>108</v>
      </c>
    </row>
    <row r="69" spans="1:33" ht="14.45">
      <c r="A69" s="31" t="s">
        <v>352</v>
      </c>
      <c r="B69" s="15" t="s">
        <v>353</v>
      </c>
      <c r="C69" s="27" t="s">
        <v>327</v>
      </c>
      <c r="D69">
        <v>3659450</v>
      </c>
      <c r="F69">
        <v>23</v>
      </c>
      <c r="G69" s="12">
        <f t="shared" si="2"/>
        <v>38</v>
      </c>
      <c r="H69" s="12">
        <f t="shared" si="3"/>
        <v>1</v>
      </c>
      <c r="I69" s="13">
        <v>0</v>
      </c>
      <c r="J69">
        <v>1</v>
      </c>
      <c r="K69" s="16">
        <v>44685</v>
      </c>
      <c r="L69" s="16">
        <v>30560</v>
      </c>
      <c r="M69" s="12" t="s">
        <v>55</v>
      </c>
      <c r="N69" t="s">
        <v>47</v>
      </c>
      <c r="O69" t="s">
        <v>43</v>
      </c>
      <c r="P69" s="43"/>
      <c r="Q69" s="7" t="s">
        <v>71</v>
      </c>
      <c r="X69" t="s">
        <v>50</v>
      </c>
      <c r="Y69" t="s">
        <v>50</v>
      </c>
      <c r="Z69" t="s">
        <v>50</v>
      </c>
      <c r="AA69" t="s">
        <v>50</v>
      </c>
      <c r="AB69" t="s">
        <v>354</v>
      </c>
      <c r="AC69" t="s">
        <v>114</v>
      </c>
      <c r="AD69" t="s">
        <v>128</v>
      </c>
      <c r="AE69" t="s">
        <v>355</v>
      </c>
    </row>
    <row r="70" spans="1:33" ht="14.45">
      <c r="A70" s="31" t="s">
        <v>356</v>
      </c>
      <c r="B70" s="15" t="s">
        <v>357</v>
      </c>
      <c r="C70" s="27" t="s">
        <v>327</v>
      </c>
      <c r="D70">
        <v>3159825</v>
      </c>
      <c r="F70">
        <v>23</v>
      </c>
      <c r="G70" s="12">
        <f t="shared" si="2"/>
        <v>42</v>
      </c>
      <c r="H70" s="12">
        <f t="shared" si="3"/>
        <v>0</v>
      </c>
      <c r="I70" s="13">
        <v>0</v>
      </c>
      <c r="J70">
        <v>1</v>
      </c>
      <c r="K70" s="16">
        <v>44692</v>
      </c>
      <c r="L70" s="16">
        <v>29198</v>
      </c>
      <c r="M70" s="12" t="s">
        <v>55</v>
      </c>
      <c r="N70" t="s">
        <v>155</v>
      </c>
      <c r="O70" t="s">
        <v>43</v>
      </c>
      <c r="Q70" s="7" t="s">
        <v>71</v>
      </c>
      <c r="X70" t="s">
        <v>358</v>
      </c>
      <c r="Y70" t="s">
        <v>50</v>
      </c>
      <c r="Z70" t="s">
        <v>50</v>
      </c>
      <c r="AA70" t="s">
        <v>50</v>
      </c>
      <c r="AB70" t="s">
        <v>81</v>
      </c>
      <c r="AC70" t="s">
        <v>359</v>
      </c>
      <c r="AD70" t="s">
        <v>360</v>
      </c>
    </row>
    <row r="71" spans="1:33" ht="14.45">
      <c r="A71" s="31" t="s">
        <v>361</v>
      </c>
      <c r="B71" s="15" t="s">
        <v>362</v>
      </c>
      <c r="C71" s="27" t="s">
        <v>327</v>
      </c>
      <c r="D71">
        <v>4968192</v>
      </c>
      <c r="G71" s="12">
        <f t="shared" si="2"/>
        <v>51</v>
      </c>
      <c r="H71" s="12">
        <f t="shared" si="3"/>
        <v>0</v>
      </c>
      <c r="I71" s="13">
        <v>0</v>
      </c>
      <c r="J71">
        <v>1</v>
      </c>
      <c r="K71" s="16">
        <v>44693</v>
      </c>
      <c r="L71" s="16">
        <v>25808</v>
      </c>
      <c r="M71" s="12" t="s">
        <v>46</v>
      </c>
      <c r="N71" t="s">
        <v>47</v>
      </c>
      <c r="O71" t="s">
        <v>48</v>
      </c>
      <c r="Q71" s="7" t="s">
        <v>71</v>
      </c>
      <c r="X71" t="s">
        <v>50</v>
      </c>
      <c r="Y71" t="s">
        <v>50</v>
      </c>
      <c r="Z71" t="s">
        <v>50</v>
      </c>
      <c r="AA71" t="s">
        <v>50</v>
      </c>
      <c r="AB71" t="s">
        <v>363</v>
      </c>
      <c r="AC71" t="s">
        <v>364</v>
      </c>
    </row>
    <row r="72" spans="1:33" ht="14.45">
      <c r="A72" s="31" t="s">
        <v>365</v>
      </c>
      <c r="B72" s="15" t="s">
        <v>366</v>
      </c>
      <c r="C72" s="27" t="s">
        <v>327</v>
      </c>
      <c r="D72">
        <v>2895153</v>
      </c>
      <c r="G72" s="12">
        <f t="shared" si="2"/>
        <v>29</v>
      </c>
      <c r="H72" s="12">
        <f t="shared" si="3"/>
        <v>1</v>
      </c>
      <c r="I72" s="13">
        <v>0</v>
      </c>
      <c r="J72">
        <v>1</v>
      </c>
      <c r="K72" s="16">
        <v>44694</v>
      </c>
      <c r="L72" s="16">
        <v>33742</v>
      </c>
      <c r="M72" s="12" t="s">
        <v>99</v>
      </c>
      <c r="N72" t="s">
        <v>47</v>
      </c>
      <c r="O72" t="s">
        <v>48</v>
      </c>
      <c r="Q72" s="7" t="s">
        <v>49</v>
      </c>
      <c r="X72" t="s">
        <v>50</v>
      </c>
      <c r="Y72" t="s">
        <v>50</v>
      </c>
      <c r="Z72" t="s">
        <v>50</v>
      </c>
      <c r="AA72" t="s">
        <v>50</v>
      </c>
      <c r="AB72" t="s">
        <v>367</v>
      </c>
    </row>
    <row r="73" spans="1:33" ht="14.45">
      <c r="A73" s="31" t="s">
        <v>368</v>
      </c>
      <c r="B73" s="15" t="s">
        <v>369</v>
      </c>
      <c r="C73" s="27" t="s">
        <v>327</v>
      </c>
      <c r="D73">
        <v>4718745</v>
      </c>
      <c r="F73" s="1" t="s">
        <v>370</v>
      </c>
      <c r="G73" s="12">
        <f t="shared" si="2"/>
        <v>22</v>
      </c>
      <c r="H73" s="12">
        <f t="shared" si="3"/>
        <v>1</v>
      </c>
      <c r="I73" s="13">
        <v>1</v>
      </c>
      <c r="J73">
        <v>1</v>
      </c>
      <c r="K73" s="16">
        <v>44697</v>
      </c>
      <c r="L73" s="16">
        <v>36512</v>
      </c>
      <c r="M73" s="12" t="s">
        <v>55</v>
      </c>
      <c r="N73" t="s">
        <v>79</v>
      </c>
      <c r="O73" t="s">
        <v>48</v>
      </c>
      <c r="Q73" s="7" t="s">
        <v>71</v>
      </c>
      <c r="X73" t="s">
        <v>371</v>
      </c>
      <c r="Y73" t="s">
        <v>372</v>
      </c>
      <c r="Z73" t="s">
        <v>50</v>
      </c>
      <c r="AA73" t="s">
        <v>50</v>
      </c>
      <c r="AB73" t="s">
        <v>50</v>
      </c>
    </row>
    <row r="74" spans="1:33" ht="14.45">
      <c r="A74" s="31" t="s">
        <v>373</v>
      </c>
      <c r="B74" s="15" t="s">
        <v>374</v>
      </c>
      <c r="C74" s="27" t="s">
        <v>327</v>
      </c>
      <c r="D74">
        <v>4262525</v>
      </c>
      <c r="F74" s="1">
        <v>25</v>
      </c>
      <c r="G74" s="12">
        <f t="shared" si="2"/>
        <v>36</v>
      </c>
      <c r="H74" s="12">
        <f t="shared" si="3"/>
        <v>1</v>
      </c>
      <c r="I74" s="13">
        <v>0</v>
      </c>
      <c r="J74">
        <v>1</v>
      </c>
      <c r="K74" s="16">
        <v>44698</v>
      </c>
      <c r="L74" s="16">
        <v>31215</v>
      </c>
      <c r="M74" s="12" t="s">
        <v>55</v>
      </c>
      <c r="N74" t="s">
        <v>47</v>
      </c>
      <c r="O74" t="s">
        <v>43</v>
      </c>
      <c r="Q74" s="7" t="s">
        <v>71</v>
      </c>
      <c r="X74" t="s">
        <v>50</v>
      </c>
      <c r="Y74" t="s">
        <v>50</v>
      </c>
      <c r="Z74" t="s">
        <v>50</v>
      </c>
      <c r="AA74" t="s">
        <v>50</v>
      </c>
      <c r="AB74" t="s">
        <v>375</v>
      </c>
      <c r="AC74" t="s">
        <v>376</v>
      </c>
      <c r="AD74" t="s">
        <v>377</v>
      </c>
    </row>
    <row r="75" spans="1:33" ht="14.45">
      <c r="A75" s="31" t="s">
        <v>378</v>
      </c>
      <c r="B75" s="15" t="s">
        <v>379</v>
      </c>
      <c r="C75" s="27" t="s">
        <v>327</v>
      </c>
      <c r="D75">
        <v>4309381</v>
      </c>
      <c r="F75">
        <v>29</v>
      </c>
      <c r="G75" s="12">
        <f t="shared" si="2"/>
        <v>35</v>
      </c>
      <c r="H75" s="12">
        <f t="shared" si="3"/>
        <v>1</v>
      </c>
      <c r="I75" s="13">
        <v>0</v>
      </c>
      <c r="J75">
        <v>1</v>
      </c>
      <c r="K75" s="16">
        <v>44700</v>
      </c>
      <c r="L75" s="16">
        <v>31906</v>
      </c>
      <c r="M75" s="12" t="s">
        <v>106</v>
      </c>
      <c r="N75" t="s">
        <v>47</v>
      </c>
      <c r="O75" t="s">
        <v>43</v>
      </c>
      <c r="Q75" s="7" t="s">
        <v>201</v>
      </c>
      <c r="X75" t="s">
        <v>50</v>
      </c>
      <c r="Y75" t="s">
        <v>380</v>
      </c>
      <c r="Z75" t="s">
        <v>50</v>
      </c>
      <c r="AA75" t="s">
        <v>50</v>
      </c>
      <c r="AB75" t="s">
        <v>283</v>
      </c>
      <c r="AC75" t="s">
        <v>381</v>
      </c>
      <c r="AD75" t="s">
        <v>359</v>
      </c>
      <c r="AE75" t="s">
        <v>382</v>
      </c>
      <c r="AF75" t="s">
        <v>383</v>
      </c>
      <c r="AG75" t="s">
        <v>384</v>
      </c>
    </row>
    <row r="76" spans="1:33" ht="14.45">
      <c r="A76" s="44" t="s">
        <v>385</v>
      </c>
      <c r="B76" s="15" t="s">
        <v>386</v>
      </c>
      <c r="C76" s="15"/>
      <c r="D76" s="45" t="s">
        <v>387</v>
      </c>
      <c r="E76" s="45"/>
      <c r="F76" s="45"/>
      <c r="G76" s="46">
        <f t="shared" si="2"/>
        <v>59</v>
      </c>
      <c r="H76" s="46">
        <f t="shared" si="3"/>
        <v>0</v>
      </c>
      <c r="I76" s="47">
        <v>0</v>
      </c>
      <c r="J76" s="45">
        <v>1</v>
      </c>
      <c r="K76" s="48">
        <v>44705</v>
      </c>
      <c r="L76" s="48">
        <v>23054</v>
      </c>
      <c r="M76" s="46" t="s">
        <v>106</v>
      </c>
      <c r="N76" s="46" t="s">
        <v>47</v>
      </c>
      <c r="O76" s="45" t="s">
        <v>48</v>
      </c>
      <c r="P76" s="45" t="s">
        <v>388</v>
      </c>
    </row>
    <row r="77" spans="1:33" ht="14.45">
      <c r="A77" s="64" t="s">
        <v>389</v>
      </c>
      <c r="B77" s="15" t="s">
        <v>390</v>
      </c>
      <c r="C77" s="27" t="s">
        <v>327</v>
      </c>
      <c r="D77">
        <v>4972288</v>
      </c>
      <c r="G77" s="12">
        <f t="shared" si="2"/>
        <v>56</v>
      </c>
      <c r="H77" s="12">
        <f t="shared" si="3"/>
        <v>0</v>
      </c>
      <c r="I77" s="13">
        <v>0</v>
      </c>
      <c r="J77">
        <v>1</v>
      </c>
      <c r="K77" s="16">
        <v>44707</v>
      </c>
      <c r="L77" s="16">
        <v>24065</v>
      </c>
      <c r="M77" s="12" t="s">
        <v>106</v>
      </c>
      <c r="N77" t="s">
        <v>47</v>
      </c>
      <c r="O77" s="19" t="s">
        <v>48</v>
      </c>
      <c r="Q77" s="7" t="s">
        <v>49</v>
      </c>
      <c r="X77" t="s">
        <v>50</v>
      </c>
      <c r="Y77" t="s">
        <v>50</v>
      </c>
      <c r="Z77" t="s">
        <v>50</v>
      </c>
      <c r="AA77" t="s">
        <v>50</v>
      </c>
      <c r="AB77" t="s">
        <v>283</v>
      </c>
      <c r="AC77" t="s">
        <v>128</v>
      </c>
      <c r="AD77" t="s">
        <v>391</v>
      </c>
      <c r="AE77" t="s">
        <v>392</v>
      </c>
    </row>
    <row r="78" spans="1:33" ht="27.95">
      <c r="A78" s="31" t="s">
        <v>393</v>
      </c>
      <c r="B78" s="15" t="s">
        <v>394</v>
      </c>
      <c r="C78" s="68" t="s">
        <v>395</v>
      </c>
      <c r="D78">
        <v>2971535</v>
      </c>
      <c r="G78" s="12">
        <f t="shared" si="2"/>
        <v>46</v>
      </c>
      <c r="H78" s="12">
        <f t="shared" si="3"/>
        <v>0</v>
      </c>
      <c r="I78" s="13">
        <v>0</v>
      </c>
      <c r="J78">
        <v>1</v>
      </c>
      <c r="K78" s="16">
        <v>44708</v>
      </c>
      <c r="L78" s="16">
        <v>27582</v>
      </c>
      <c r="M78" s="12" t="s">
        <v>46</v>
      </c>
      <c r="N78" t="s">
        <v>47</v>
      </c>
      <c r="O78" t="s">
        <v>48</v>
      </c>
      <c r="Q78" s="7" t="s">
        <v>50</v>
      </c>
      <c r="X78" t="s">
        <v>50</v>
      </c>
      <c r="Y78" t="s">
        <v>50</v>
      </c>
      <c r="Z78" t="s">
        <v>50</v>
      </c>
      <c r="AA78" t="s">
        <v>50</v>
      </c>
      <c r="AB78" t="s">
        <v>50</v>
      </c>
    </row>
    <row r="79" spans="1:33" ht="14.45">
      <c r="A79" s="31" t="s">
        <v>396</v>
      </c>
      <c r="B79" s="15" t="s">
        <v>397</v>
      </c>
      <c r="C79" s="27" t="s">
        <v>327</v>
      </c>
      <c r="D79">
        <v>4464122</v>
      </c>
      <c r="G79" s="12">
        <f t="shared" si="2"/>
        <v>78</v>
      </c>
      <c r="H79" s="12">
        <f t="shared" si="3"/>
        <v>0</v>
      </c>
      <c r="I79" s="13">
        <v>0</v>
      </c>
      <c r="J79">
        <v>1</v>
      </c>
      <c r="K79" s="16">
        <v>44719</v>
      </c>
      <c r="L79" s="16">
        <v>15961</v>
      </c>
      <c r="M79" s="12" t="s">
        <v>106</v>
      </c>
      <c r="N79" t="s">
        <v>47</v>
      </c>
      <c r="O79" s="19" t="s">
        <v>48</v>
      </c>
      <c r="Q79" s="7" t="s">
        <v>49</v>
      </c>
      <c r="X79" t="s">
        <v>50</v>
      </c>
      <c r="Y79" t="s">
        <v>64</v>
      </c>
      <c r="Z79" t="s">
        <v>64</v>
      </c>
      <c r="AA79" t="s">
        <v>64</v>
      </c>
      <c r="AB79" t="s">
        <v>81</v>
      </c>
    </row>
    <row r="80" spans="1:33" ht="14.45">
      <c r="A80" s="49" t="s">
        <v>398</v>
      </c>
      <c r="B80" s="15" t="s">
        <v>399</v>
      </c>
      <c r="C80" s="15"/>
      <c r="D80" s="45">
        <v>7010207</v>
      </c>
      <c r="E80" s="45"/>
      <c r="F80" s="45"/>
      <c r="G80" s="46">
        <f t="shared" si="2"/>
        <v>64</v>
      </c>
      <c r="H80" s="46">
        <f t="shared" si="3"/>
        <v>0</v>
      </c>
      <c r="I80" s="47">
        <v>0</v>
      </c>
      <c r="J80" s="45">
        <v>1</v>
      </c>
      <c r="K80" s="48">
        <v>44740</v>
      </c>
      <c r="L80" s="48">
        <v>21055</v>
      </c>
      <c r="M80" s="46" t="s">
        <v>106</v>
      </c>
      <c r="N80" s="45" t="s">
        <v>70</v>
      </c>
      <c r="O80" s="44" t="s">
        <v>48</v>
      </c>
      <c r="P80" s="45" t="s">
        <v>400</v>
      </c>
    </row>
    <row r="81" spans="1:41" ht="14.45">
      <c r="A81" s="31" t="s">
        <v>401</v>
      </c>
      <c r="B81" s="15" t="s">
        <v>402</v>
      </c>
      <c r="C81" s="27" t="s">
        <v>327</v>
      </c>
      <c r="D81">
        <v>4880585</v>
      </c>
      <c r="G81" s="12">
        <f t="shared" si="2"/>
        <v>68</v>
      </c>
      <c r="H81" s="12">
        <f t="shared" si="3"/>
        <v>0</v>
      </c>
      <c r="I81" s="13">
        <v>0</v>
      </c>
      <c r="J81">
        <v>1</v>
      </c>
      <c r="K81" s="16">
        <v>44754</v>
      </c>
      <c r="L81" s="16">
        <v>19699</v>
      </c>
      <c r="M81" s="12" t="s">
        <v>106</v>
      </c>
      <c r="N81" t="s">
        <v>47</v>
      </c>
      <c r="O81" s="19" t="s">
        <v>48</v>
      </c>
      <c r="Q81" s="7" t="s">
        <v>49</v>
      </c>
      <c r="X81" t="s">
        <v>50</v>
      </c>
      <c r="Y81" t="s">
        <v>50</v>
      </c>
      <c r="Z81" t="s">
        <v>208</v>
      </c>
      <c r="AA81" t="s">
        <v>351</v>
      </c>
      <c r="AB81" t="s">
        <v>363</v>
      </c>
      <c r="AC81" t="s">
        <v>81</v>
      </c>
    </row>
    <row r="82" spans="1:41" ht="14.45">
      <c r="A82" s="31" t="s">
        <v>403</v>
      </c>
      <c r="B82" s="15" t="s">
        <v>404</v>
      </c>
      <c r="C82" s="27" t="s">
        <v>327</v>
      </c>
      <c r="D82">
        <v>4843134</v>
      </c>
      <c r="F82" s="1" t="s">
        <v>405</v>
      </c>
      <c r="G82" s="12">
        <f t="shared" si="2"/>
        <v>50</v>
      </c>
      <c r="H82" s="12">
        <f t="shared" si="3"/>
        <v>0</v>
      </c>
      <c r="I82" s="13">
        <v>0</v>
      </c>
      <c r="J82">
        <v>1</v>
      </c>
      <c r="K82" s="16">
        <v>44755</v>
      </c>
      <c r="L82" s="16">
        <v>26421</v>
      </c>
      <c r="M82" s="12" t="s">
        <v>232</v>
      </c>
      <c r="N82" t="s">
        <v>406</v>
      </c>
      <c r="O82" t="s">
        <v>48</v>
      </c>
      <c r="Q82" s="7" t="s">
        <v>50</v>
      </c>
      <c r="X82" t="s">
        <v>407</v>
      </c>
      <c r="Y82" t="s">
        <v>50</v>
      </c>
      <c r="Z82" t="s">
        <v>50</v>
      </c>
      <c r="AA82" t="s">
        <v>50</v>
      </c>
      <c r="AB82" t="s">
        <v>408</v>
      </c>
    </row>
    <row r="83" spans="1:41" ht="14.45">
      <c r="A83" s="31" t="s">
        <v>409</v>
      </c>
      <c r="B83" s="15" t="s">
        <v>410</v>
      </c>
      <c r="C83" s="27" t="s">
        <v>327</v>
      </c>
      <c r="D83">
        <v>4969511</v>
      </c>
      <c r="G83" s="12">
        <f t="shared" si="2"/>
        <v>51</v>
      </c>
      <c r="H83" s="12">
        <f t="shared" si="3"/>
        <v>0</v>
      </c>
      <c r="I83" s="13">
        <v>0</v>
      </c>
      <c r="J83">
        <v>1</v>
      </c>
      <c r="K83" s="16">
        <v>44755</v>
      </c>
      <c r="L83" s="16">
        <v>26044</v>
      </c>
      <c r="M83" s="12" t="s">
        <v>106</v>
      </c>
      <c r="N83" t="s">
        <v>47</v>
      </c>
      <c r="O83" t="s">
        <v>48</v>
      </c>
      <c r="Q83" s="7" t="s">
        <v>71</v>
      </c>
      <c r="X83" t="s">
        <v>50</v>
      </c>
      <c r="Y83" t="s">
        <v>50</v>
      </c>
      <c r="Z83" t="s">
        <v>50</v>
      </c>
      <c r="AA83" t="s">
        <v>50</v>
      </c>
      <c r="AB83" t="s">
        <v>81</v>
      </c>
      <c r="AC83" t="s">
        <v>108</v>
      </c>
      <c r="AD83" t="s">
        <v>114</v>
      </c>
    </row>
    <row r="84" spans="1:41" ht="14.45">
      <c r="A84" s="31" t="s">
        <v>411</v>
      </c>
      <c r="B84" s="15" t="s">
        <v>412</v>
      </c>
      <c r="C84" s="27" t="s">
        <v>327</v>
      </c>
      <c r="D84">
        <v>4963460</v>
      </c>
      <c r="F84">
        <v>41</v>
      </c>
      <c r="G84" s="12">
        <f t="shared" si="2"/>
        <v>41</v>
      </c>
      <c r="H84" s="12">
        <f t="shared" si="3"/>
        <v>0</v>
      </c>
      <c r="I84" s="13">
        <v>0</v>
      </c>
      <c r="J84">
        <v>1</v>
      </c>
      <c r="K84" s="16">
        <v>44761</v>
      </c>
      <c r="L84" s="16">
        <v>29649</v>
      </c>
      <c r="M84" s="12" t="s">
        <v>164</v>
      </c>
      <c r="N84" t="s">
        <v>47</v>
      </c>
      <c r="O84" t="s">
        <v>43</v>
      </c>
      <c r="Q84" s="7" t="s">
        <v>71</v>
      </c>
      <c r="X84" t="s">
        <v>50</v>
      </c>
      <c r="Y84" t="s">
        <v>64</v>
      </c>
      <c r="Z84" t="s">
        <v>50</v>
      </c>
      <c r="AA84" t="s">
        <v>50</v>
      </c>
      <c r="AB84" t="s">
        <v>359</v>
      </c>
      <c r="AC84" t="s">
        <v>413</v>
      </c>
      <c r="AD84" t="s">
        <v>414</v>
      </c>
      <c r="AE84" t="s">
        <v>114</v>
      </c>
      <c r="AF84" t="s">
        <v>415</v>
      </c>
    </row>
    <row r="85" spans="1:41" ht="14.45">
      <c r="A85" s="31" t="s">
        <v>416</v>
      </c>
      <c r="B85" s="4" t="s">
        <v>417</v>
      </c>
      <c r="C85" s="27" t="s">
        <v>327</v>
      </c>
      <c r="D85" s="12">
        <v>4746514</v>
      </c>
      <c r="E85" s="12"/>
      <c r="F85" s="12"/>
      <c r="G85" s="12">
        <f t="shared" si="2"/>
        <v>74</v>
      </c>
      <c r="H85" s="12">
        <f t="shared" si="3"/>
        <v>0</v>
      </c>
      <c r="I85" s="13">
        <v>0</v>
      </c>
      <c r="J85" s="12">
        <v>1</v>
      </c>
      <c r="K85" s="14">
        <v>44530</v>
      </c>
      <c r="L85" s="14">
        <v>17314</v>
      </c>
      <c r="M85" s="12" t="s">
        <v>106</v>
      </c>
      <c r="N85" t="s">
        <v>91</v>
      </c>
      <c r="O85" s="12" t="s">
        <v>48</v>
      </c>
      <c r="P85" s="12"/>
    </row>
    <row r="86" spans="1:41" ht="14.45">
      <c r="A86" s="34" t="s">
        <v>418</v>
      </c>
      <c r="B86" s="4" t="s">
        <v>419</v>
      </c>
      <c r="C86" s="27" t="s">
        <v>327</v>
      </c>
      <c r="D86" s="24">
        <v>4889085</v>
      </c>
      <c r="E86" s="24"/>
      <c r="F86">
        <v>20</v>
      </c>
      <c r="G86" s="24">
        <f t="shared" si="2"/>
        <v>27</v>
      </c>
      <c r="H86" s="24">
        <f t="shared" si="3"/>
        <v>1</v>
      </c>
      <c r="I86" s="25">
        <v>0</v>
      </c>
      <c r="J86">
        <v>1</v>
      </c>
      <c r="K86" s="16">
        <v>44538</v>
      </c>
      <c r="L86" s="16">
        <v>34323</v>
      </c>
      <c r="M86" s="24" t="s">
        <v>55</v>
      </c>
      <c r="N86" t="s">
        <v>47</v>
      </c>
      <c r="O86" t="s">
        <v>43</v>
      </c>
    </row>
    <row r="87" spans="1:41" s="32" customFormat="1" ht="14.45">
      <c r="A87" s="31" t="s">
        <v>420</v>
      </c>
      <c r="B87" s="15" t="s">
        <v>421</v>
      </c>
      <c r="C87" s="27" t="s">
        <v>327</v>
      </c>
      <c r="D87">
        <v>3654943</v>
      </c>
      <c r="E87"/>
      <c r="F87">
        <v>37</v>
      </c>
      <c r="G87" s="12">
        <f t="shared" si="2"/>
        <v>51</v>
      </c>
      <c r="H87" s="12">
        <f t="shared" si="3"/>
        <v>0</v>
      </c>
      <c r="I87" s="13">
        <v>0</v>
      </c>
      <c r="J87">
        <v>1</v>
      </c>
      <c r="K87" s="16">
        <v>44593</v>
      </c>
      <c r="L87" s="16">
        <v>25608</v>
      </c>
      <c r="M87" s="12" t="s">
        <v>55</v>
      </c>
      <c r="N87" t="s">
        <v>155</v>
      </c>
      <c r="O87" t="s">
        <v>43</v>
      </c>
      <c r="P87"/>
      <c r="Q87" s="7" t="s">
        <v>50</v>
      </c>
      <c r="X87" t="s">
        <v>50</v>
      </c>
      <c r="Y87" t="s">
        <v>50</v>
      </c>
      <c r="Z87" t="s">
        <v>50</v>
      </c>
      <c r="AA87" t="s">
        <v>50</v>
      </c>
      <c r="AB87" t="s">
        <v>50</v>
      </c>
      <c r="AC87"/>
      <c r="AD87"/>
      <c r="AE87"/>
      <c r="AF87"/>
      <c r="AG87"/>
      <c r="AH87"/>
      <c r="AI87"/>
      <c r="AJ87"/>
      <c r="AK87"/>
      <c r="AL87"/>
      <c r="AM87"/>
      <c r="AN87"/>
      <c r="AO87"/>
    </row>
    <row r="88" spans="1:41" s="32" customFormat="1" ht="14.45">
      <c r="A88" s="31" t="s">
        <v>422</v>
      </c>
      <c r="B88" s="15" t="s">
        <v>423</v>
      </c>
      <c r="C88" s="27" t="s">
        <v>327</v>
      </c>
      <c r="D88">
        <v>2846699</v>
      </c>
      <c r="E88"/>
      <c r="F88"/>
      <c r="G88" s="12">
        <f t="shared" si="2"/>
        <v>56</v>
      </c>
      <c r="H88" s="12">
        <f t="shared" si="3"/>
        <v>0</v>
      </c>
      <c r="I88" s="13">
        <v>0</v>
      </c>
      <c r="J88">
        <v>1</v>
      </c>
      <c r="K88" s="16">
        <v>44634</v>
      </c>
      <c r="L88" s="16">
        <v>24105</v>
      </c>
      <c r="M88" s="12" t="s">
        <v>55</v>
      </c>
      <c r="N88" t="s">
        <v>47</v>
      </c>
      <c r="O88" t="s">
        <v>48</v>
      </c>
      <c r="P88"/>
      <c r="Q88" s="7" t="s">
        <v>49</v>
      </c>
      <c r="X88" t="s">
        <v>50</v>
      </c>
      <c r="Y88" t="s">
        <v>424</v>
      </c>
      <c r="Z88" t="s">
        <v>50</v>
      </c>
      <c r="AA88" t="s">
        <v>50</v>
      </c>
      <c r="AB88" t="s">
        <v>248</v>
      </c>
      <c r="AC88" t="s">
        <v>283</v>
      </c>
      <c r="AD88" t="s">
        <v>108</v>
      </c>
      <c r="AE88" t="s">
        <v>81</v>
      </c>
      <c r="AF88" t="s">
        <v>425</v>
      </c>
      <c r="AG88" t="s">
        <v>426</v>
      </c>
      <c r="AH88"/>
      <c r="AI88"/>
      <c r="AJ88"/>
      <c r="AK88"/>
      <c r="AL88"/>
      <c r="AM88"/>
      <c r="AN88"/>
      <c r="AO88"/>
    </row>
    <row r="89" spans="1:41" s="32" customFormat="1" ht="14.45">
      <c r="A89" s="46" t="s">
        <v>427</v>
      </c>
      <c r="B89" s="15" t="s">
        <v>428</v>
      </c>
      <c r="C89" s="15"/>
      <c r="D89" s="45">
        <v>4721334</v>
      </c>
      <c r="E89" s="45"/>
      <c r="F89" s="45"/>
      <c r="G89" s="46">
        <f t="shared" si="2"/>
        <v>63</v>
      </c>
      <c r="H89" s="46">
        <f t="shared" si="3"/>
        <v>0</v>
      </c>
      <c r="I89" s="47">
        <v>0</v>
      </c>
      <c r="J89" s="45">
        <v>1</v>
      </c>
      <c r="K89" s="48">
        <v>44651</v>
      </c>
      <c r="L89" s="48">
        <v>21635</v>
      </c>
      <c r="M89" s="46" t="s">
        <v>429</v>
      </c>
      <c r="N89" s="49" t="s">
        <v>70</v>
      </c>
      <c r="O89" s="45" t="s">
        <v>48</v>
      </c>
      <c r="P89" s="45" t="s">
        <v>430</v>
      </c>
      <c r="Q89" s="7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</row>
    <row r="90" spans="1:41" s="32" customFormat="1" ht="14.45">
      <c r="A90" s="31" t="s">
        <v>431</v>
      </c>
      <c r="B90" s="15" t="s">
        <v>432</v>
      </c>
      <c r="C90" s="27" t="s">
        <v>327</v>
      </c>
      <c r="D90">
        <v>1272632</v>
      </c>
      <c r="E90"/>
      <c r="F90" s="3"/>
      <c r="G90" s="12">
        <f t="shared" si="2"/>
        <v>59</v>
      </c>
      <c r="H90" s="12">
        <f t="shared" si="3"/>
        <v>0</v>
      </c>
      <c r="I90" s="13">
        <v>0</v>
      </c>
      <c r="J90">
        <v>1</v>
      </c>
      <c r="K90" s="16">
        <v>44652</v>
      </c>
      <c r="L90" s="16">
        <v>23095</v>
      </c>
      <c r="M90" s="12" t="s">
        <v>55</v>
      </c>
      <c r="N90" s="18" t="s">
        <v>70</v>
      </c>
      <c r="O90" t="s">
        <v>48</v>
      </c>
      <c r="P90"/>
      <c r="Q90" s="7" t="s">
        <v>49</v>
      </c>
      <c r="R90"/>
      <c r="S90"/>
      <c r="T90"/>
      <c r="U90"/>
      <c r="V90"/>
      <c r="W90"/>
      <c r="X90" t="s">
        <v>50</v>
      </c>
      <c r="Y90" t="s">
        <v>433</v>
      </c>
      <c r="Z90" t="s">
        <v>208</v>
      </c>
      <c r="AA90" t="s">
        <v>351</v>
      </c>
      <c r="AB90" t="s">
        <v>434</v>
      </c>
      <c r="AC90"/>
      <c r="AD90"/>
      <c r="AE90"/>
      <c r="AF90"/>
      <c r="AG90"/>
      <c r="AH90"/>
      <c r="AI90"/>
      <c r="AJ90"/>
      <c r="AK90"/>
      <c r="AL90"/>
      <c r="AM90"/>
      <c r="AN90"/>
      <c r="AO90"/>
    </row>
    <row r="91" spans="1:41" ht="14.45">
      <c r="A91" s="31" t="s">
        <v>435</v>
      </c>
      <c r="B91" s="15" t="s">
        <v>436</v>
      </c>
      <c r="C91" s="27" t="s">
        <v>327</v>
      </c>
      <c r="D91">
        <v>4779470</v>
      </c>
      <c r="F91" s="1" t="s">
        <v>437</v>
      </c>
      <c r="G91" s="12">
        <f t="shared" si="2"/>
        <v>25</v>
      </c>
      <c r="H91" s="12">
        <f t="shared" si="3"/>
        <v>1</v>
      </c>
      <c r="I91" s="13">
        <v>0</v>
      </c>
      <c r="J91">
        <v>1</v>
      </c>
      <c r="K91" s="16">
        <v>44656</v>
      </c>
      <c r="L91" s="16">
        <v>35504</v>
      </c>
      <c r="M91" s="12" t="s">
        <v>46</v>
      </c>
      <c r="N91" t="s">
        <v>155</v>
      </c>
      <c r="O91" t="s">
        <v>48</v>
      </c>
      <c r="Q91" s="7" t="s">
        <v>71</v>
      </c>
      <c r="X91" t="s">
        <v>438</v>
      </c>
      <c r="Y91" t="s">
        <v>50</v>
      </c>
      <c r="Z91" t="s">
        <v>50</v>
      </c>
      <c r="AA91" t="s">
        <v>50</v>
      </c>
      <c r="AB91" t="s">
        <v>50</v>
      </c>
    </row>
    <row r="92" spans="1:41" s="32" customFormat="1" ht="14.45">
      <c r="A92" s="31" t="s">
        <v>439</v>
      </c>
      <c r="B92" s="15" t="s">
        <v>440</v>
      </c>
      <c r="C92" s="27" t="s">
        <v>327</v>
      </c>
      <c r="D92">
        <v>4285640</v>
      </c>
      <c r="E92"/>
      <c r="F92"/>
      <c r="G92" s="12">
        <f t="shared" si="2"/>
        <v>43</v>
      </c>
      <c r="H92" s="12">
        <f t="shared" si="3"/>
        <v>0</v>
      </c>
      <c r="I92" s="13">
        <v>0</v>
      </c>
      <c r="J92">
        <v>1</v>
      </c>
      <c r="K92" s="16">
        <v>44697</v>
      </c>
      <c r="L92" s="16">
        <v>28984</v>
      </c>
      <c r="M92" s="12" t="s">
        <v>55</v>
      </c>
      <c r="N92" t="s">
        <v>47</v>
      </c>
      <c r="O92" t="s">
        <v>48</v>
      </c>
      <c r="P92"/>
      <c r="Q92" s="7" t="s">
        <v>50</v>
      </c>
      <c r="X92" t="s">
        <v>50</v>
      </c>
      <c r="Y92" t="s">
        <v>49</v>
      </c>
      <c r="Z92" t="s">
        <v>50</v>
      </c>
      <c r="AA92" t="s">
        <v>50</v>
      </c>
      <c r="AB92" t="s">
        <v>50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</row>
    <row r="93" spans="1:41" ht="14.45">
      <c r="A93" s="31" t="s">
        <v>441</v>
      </c>
      <c r="B93" s="15" t="s">
        <v>442</v>
      </c>
      <c r="C93" s="27" t="s">
        <v>327</v>
      </c>
      <c r="D93">
        <v>4894675</v>
      </c>
      <c r="F93">
        <v>49</v>
      </c>
      <c r="G93" s="12">
        <f t="shared" si="2"/>
        <v>50</v>
      </c>
      <c r="H93" s="12">
        <f t="shared" si="3"/>
        <v>0</v>
      </c>
      <c r="I93" s="13">
        <v>0</v>
      </c>
      <c r="J93">
        <v>1</v>
      </c>
      <c r="K93" s="16">
        <v>44699</v>
      </c>
      <c r="L93" s="16">
        <v>26368</v>
      </c>
      <c r="M93" s="12" t="s">
        <v>106</v>
      </c>
      <c r="N93" t="s">
        <v>47</v>
      </c>
      <c r="O93" t="s">
        <v>43</v>
      </c>
      <c r="Q93" s="7" t="s">
        <v>50</v>
      </c>
      <c r="R93" s="32"/>
      <c r="S93" s="32"/>
      <c r="T93" s="32"/>
      <c r="U93" s="32"/>
      <c r="V93" s="32"/>
      <c r="W93" s="32"/>
      <c r="X93" t="s">
        <v>50</v>
      </c>
      <c r="Y93" t="s">
        <v>50</v>
      </c>
      <c r="Z93" t="s">
        <v>50</v>
      </c>
      <c r="AA93" t="s">
        <v>50</v>
      </c>
      <c r="AB93" t="s">
        <v>50</v>
      </c>
    </row>
    <row r="94" spans="1:41" ht="14.45">
      <c r="A94" s="31" t="s">
        <v>443</v>
      </c>
      <c r="B94" s="15" t="s">
        <v>444</v>
      </c>
      <c r="C94" s="27" t="s">
        <v>327</v>
      </c>
      <c r="D94">
        <v>1312196</v>
      </c>
      <c r="G94" s="12">
        <f t="shared" si="2"/>
        <v>32</v>
      </c>
      <c r="H94" s="12">
        <f t="shared" si="3"/>
        <v>1</v>
      </c>
      <c r="I94" s="13">
        <v>1</v>
      </c>
      <c r="J94">
        <v>1</v>
      </c>
      <c r="K94" s="16">
        <v>44701</v>
      </c>
      <c r="L94" s="16">
        <v>32771</v>
      </c>
      <c r="M94" s="12" t="s">
        <v>106</v>
      </c>
      <c r="N94" t="s">
        <v>445</v>
      </c>
      <c r="O94" t="s">
        <v>48</v>
      </c>
      <c r="Q94" s="7" t="s">
        <v>50</v>
      </c>
      <c r="R94" s="32"/>
      <c r="S94" s="32"/>
      <c r="T94" s="32"/>
      <c r="U94" s="32"/>
      <c r="V94" s="32"/>
      <c r="W94" s="32"/>
      <c r="X94" t="s">
        <v>50</v>
      </c>
      <c r="Y94" t="s">
        <v>50</v>
      </c>
      <c r="Z94" t="s">
        <v>50</v>
      </c>
      <c r="AA94" t="s">
        <v>50</v>
      </c>
      <c r="AB94" t="s">
        <v>446</v>
      </c>
    </row>
    <row r="95" spans="1:41" s="32" customFormat="1" ht="14.45">
      <c r="A95" s="31" t="s">
        <v>447</v>
      </c>
      <c r="B95" s="15" t="s">
        <v>448</v>
      </c>
      <c r="C95" s="27" t="s">
        <v>327</v>
      </c>
      <c r="D95">
        <v>4973295</v>
      </c>
      <c r="E95"/>
      <c r="F95"/>
      <c r="G95" s="12">
        <f t="shared" si="2"/>
        <v>30</v>
      </c>
      <c r="H95" s="12">
        <f t="shared" si="3"/>
        <v>1</v>
      </c>
      <c r="I95" s="13">
        <v>0</v>
      </c>
      <c r="J95">
        <v>1</v>
      </c>
      <c r="K95" s="16">
        <v>44711</v>
      </c>
      <c r="L95" s="16">
        <v>33749</v>
      </c>
      <c r="M95" s="12" t="s">
        <v>55</v>
      </c>
      <c r="N95" t="s">
        <v>155</v>
      </c>
      <c r="O95" t="s">
        <v>48</v>
      </c>
      <c r="P95"/>
      <c r="Q95" s="7" t="s">
        <v>71</v>
      </c>
      <c r="R95"/>
      <c r="S95"/>
      <c r="T95"/>
      <c r="U95"/>
      <c r="V95"/>
      <c r="W95"/>
      <c r="X95" t="s">
        <v>449</v>
      </c>
      <c r="Y95" t="s">
        <v>50</v>
      </c>
      <c r="Z95" t="s">
        <v>50</v>
      </c>
      <c r="AA95" t="s">
        <v>50</v>
      </c>
      <c r="AB95" t="s">
        <v>50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</row>
    <row r="96" spans="1:41" ht="14.45">
      <c r="A96" s="31" t="s">
        <v>450</v>
      </c>
      <c r="B96" s="15" t="s">
        <v>451</v>
      </c>
      <c r="C96" s="27" t="s">
        <v>327</v>
      </c>
      <c r="D96" s="7">
        <v>4967681</v>
      </c>
      <c r="E96" s="7"/>
      <c r="F96" s="7"/>
      <c r="G96" s="12">
        <f t="shared" si="2"/>
        <v>61</v>
      </c>
      <c r="H96" s="12">
        <f t="shared" si="3"/>
        <v>0</v>
      </c>
      <c r="I96" s="13">
        <v>0</v>
      </c>
      <c r="J96" s="7">
        <v>0</v>
      </c>
      <c r="K96" s="17">
        <v>44718</v>
      </c>
      <c r="L96" s="17">
        <v>22158</v>
      </c>
      <c r="M96" s="12" t="s">
        <v>232</v>
      </c>
      <c r="N96" s="7" t="s">
        <v>452</v>
      </c>
      <c r="O96" s="7" t="s">
        <v>48</v>
      </c>
      <c r="P96" s="7"/>
      <c r="Q96" s="7" t="s">
        <v>50</v>
      </c>
      <c r="X96" t="s">
        <v>50</v>
      </c>
      <c r="Y96" t="s">
        <v>50</v>
      </c>
      <c r="Z96" t="s">
        <v>50</v>
      </c>
      <c r="AA96" t="s">
        <v>50</v>
      </c>
      <c r="AB96" t="s">
        <v>50</v>
      </c>
    </row>
    <row r="97" spans="1:41" ht="14.45">
      <c r="A97" s="31" t="s">
        <v>453</v>
      </c>
      <c r="B97" s="15" t="s">
        <v>454</v>
      </c>
      <c r="C97" s="27" t="s">
        <v>327</v>
      </c>
      <c r="D97">
        <v>7005937</v>
      </c>
      <c r="G97" s="12">
        <f t="shared" si="2"/>
        <v>33</v>
      </c>
      <c r="H97" s="12">
        <f t="shared" si="3"/>
        <v>1</v>
      </c>
      <c r="I97" s="13">
        <v>0</v>
      </c>
      <c r="J97">
        <v>1</v>
      </c>
      <c r="K97" s="16">
        <v>44731</v>
      </c>
      <c r="L97" s="16">
        <v>32456</v>
      </c>
      <c r="M97" s="12" t="s">
        <v>46</v>
      </c>
      <c r="N97" t="s">
        <v>91</v>
      </c>
      <c r="O97" t="s">
        <v>48</v>
      </c>
      <c r="Q97" s="7" t="s">
        <v>49</v>
      </c>
      <c r="R97" s="32"/>
      <c r="S97" s="32"/>
      <c r="T97" s="32"/>
      <c r="U97" s="32"/>
      <c r="V97" s="32"/>
      <c r="W97" s="32"/>
      <c r="X97" t="s">
        <v>50</v>
      </c>
      <c r="Y97" t="s">
        <v>50</v>
      </c>
      <c r="Z97" t="s">
        <v>50</v>
      </c>
      <c r="AA97" t="s">
        <v>50</v>
      </c>
      <c r="AB97" t="s">
        <v>455</v>
      </c>
      <c r="AC97" t="s">
        <v>456</v>
      </c>
      <c r="AD97" t="s">
        <v>457</v>
      </c>
      <c r="AE97" t="s">
        <v>458</v>
      </c>
      <c r="AF97" t="s">
        <v>459</v>
      </c>
    </row>
    <row r="98" spans="1:41" s="34" customFormat="1" ht="14.45">
      <c r="A98" s="31" t="s">
        <v>460</v>
      </c>
      <c r="B98" s="15" t="s">
        <v>461</v>
      </c>
      <c r="C98" s="27" t="s">
        <v>327</v>
      </c>
      <c r="D98">
        <v>4021227</v>
      </c>
      <c r="E98"/>
      <c r="F98"/>
      <c r="G98" s="12">
        <f t="shared" si="2"/>
        <v>47</v>
      </c>
      <c r="H98" s="12">
        <f t="shared" si="3"/>
        <v>0</v>
      </c>
      <c r="I98" s="13">
        <v>0</v>
      </c>
      <c r="J98">
        <v>1</v>
      </c>
      <c r="K98" s="16">
        <v>44739</v>
      </c>
      <c r="L98" s="16">
        <v>27399</v>
      </c>
      <c r="M98" s="12" t="s">
        <v>46</v>
      </c>
      <c r="N98" t="s">
        <v>47</v>
      </c>
      <c r="O98" t="s">
        <v>48</v>
      </c>
      <c r="P98"/>
      <c r="Q98" s="7" t="s">
        <v>71</v>
      </c>
      <c r="R98" s="32"/>
      <c r="S98" s="32"/>
      <c r="T98" s="32"/>
      <c r="U98" s="32"/>
      <c r="V98" s="32"/>
      <c r="W98" s="32"/>
      <c r="X98" t="s">
        <v>50</v>
      </c>
      <c r="Y98" t="s">
        <v>50</v>
      </c>
      <c r="Z98" t="s">
        <v>50</v>
      </c>
      <c r="AA98" t="s">
        <v>50</v>
      </c>
      <c r="AB98" t="s">
        <v>81</v>
      </c>
      <c r="AC98" t="s">
        <v>462</v>
      </c>
      <c r="AD98" t="s">
        <v>463</v>
      </c>
      <c r="AE98"/>
      <c r="AF98"/>
      <c r="AG98"/>
      <c r="AH98"/>
      <c r="AI98"/>
      <c r="AJ98"/>
      <c r="AK98"/>
      <c r="AL98"/>
      <c r="AM98"/>
      <c r="AN98" s="7"/>
      <c r="AO98" s="7"/>
    </row>
    <row r="99" spans="1:41" ht="14.45">
      <c r="A99" s="31" t="s">
        <v>464</v>
      </c>
      <c r="B99" s="15" t="s">
        <v>465</v>
      </c>
      <c r="C99" s="27" t="s">
        <v>327</v>
      </c>
      <c r="D99">
        <v>7032998</v>
      </c>
      <c r="G99" s="12">
        <f t="shared" si="2"/>
        <v>19</v>
      </c>
      <c r="H99" s="12">
        <f t="shared" si="3"/>
        <v>1</v>
      </c>
      <c r="I99" s="13">
        <v>0</v>
      </c>
      <c r="J99">
        <v>1</v>
      </c>
      <c r="K99" s="16">
        <v>44805</v>
      </c>
      <c r="L99" s="16">
        <v>37772</v>
      </c>
      <c r="M99" s="12" t="s">
        <v>46</v>
      </c>
      <c r="N99" t="s">
        <v>47</v>
      </c>
      <c r="O99" t="s">
        <v>48</v>
      </c>
      <c r="Q99" s="7" t="s">
        <v>49</v>
      </c>
      <c r="R99" s="32"/>
      <c r="S99" s="32"/>
      <c r="T99" s="32"/>
      <c r="U99" s="32"/>
      <c r="V99" s="32"/>
      <c r="W99" s="32"/>
      <c r="X99" t="s">
        <v>50</v>
      </c>
      <c r="Y99" t="s">
        <v>50</v>
      </c>
      <c r="Z99" t="s">
        <v>345</v>
      </c>
      <c r="AA99" t="s">
        <v>345</v>
      </c>
      <c r="AB99" t="s">
        <v>466</v>
      </c>
      <c r="AC99" t="s">
        <v>467</v>
      </c>
      <c r="AD99" t="s">
        <v>468</v>
      </c>
      <c r="AE99" t="s">
        <v>469</v>
      </c>
      <c r="AF99" t="s">
        <v>470</v>
      </c>
    </row>
    <row r="100" spans="1:41" s="32" customFormat="1" ht="14.45">
      <c r="A100" s="31" t="s">
        <v>471</v>
      </c>
      <c r="B100" s="15" t="s">
        <v>472</v>
      </c>
      <c r="C100" s="27" t="s">
        <v>327</v>
      </c>
      <c r="D100" s="7">
        <v>7041776</v>
      </c>
      <c r="E100" s="7"/>
      <c r="F100" s="2" t="s">
        <v>473</v>
      </c>
      <c r="G100" s="12">
        <f t="shared" si="2"/>
        <v>65</v>
      </c>
      <c r="H100" s="12">
        <f t="shared" si="3"/>
        <v>0</v>
      </c>
      <c r="I100" s="13">
        <v>0</v>
      </c>
      <c r="J100" s="7">
        <v>0</v>
      </c>
      <c r="K100" s="17">
        <v>44824</v>
      </c>
      <c r="L100" s="17">
        <v>20860</v>
      </c>
      <c r="M100" s="12" t="s">
        <v>474</v>
      </c>
      <c r="N100" s="7" t="s">
        <v>452</v>
      </c>
      <c r="O100" s="7" t="s">
        <v>48</v>
      </c>
      <c r="P100"/>
      <c r="Q100" s="7" t="s">
        <v>50</v>
      </c>
      <c r="X100" t="s">
        <v>50</v>
      </c>
      <c r="Y100" t="s">
        <v>50</v>
      </c>
      <c r="Z100" t="s">
        <v>50</v>
      </c>
      <c r="AA100" t="s">
        <v>50</v>
      </c>
      <c r="AB100" t="s">
        <v>475</v>
      </c>
      <c r="AC100"/>
      <c r="AD100"/>
      <c r="AE100"/>
      <c r="AF100"/>
      <c r="AG100"/>
      <c r="AH100"/>
      <c r="AI100"/>
      <c r="AJ100"/>
      <c r="AK100"/>
      <c r="AL100"/>
      <c r="AM100"/>
      <c r="AN100"/>
      <c r="AO100"/>
    </row>
    <row r="101" spans="1:41" s="32" customFormat="1" ht="14.45">
      <c r="A101" s="31" t="s">
        <v>476</v>
      </c>
      <c r="B101" s="15" t="s">
        <v>477</v>
      </c>
      <c r="C101" s="27" t="s">
        <v>327</v>
      </c>
      <c r="D101">
        <v>4930265</v>
      </c>
      <c r="E101"/>
      <c r="F101" s="1" t="s">
        <v>478</v>
      </c>
      <c r="G101" s="12">
        <f t="shared" si="2"/>
        <v>29</v>
      </c>
      <c r="H101" s="12">
        <f t="shared" si="3"/>
        <v>1</v>
      </c>
      <c r="I101" s="13">
        <v>0</v>
      </c>
      <c r="J101">
        <v>0</v>
      </c>
      <c r="K101" s="16">
        <v>44826</v>
      </c>
      <c r="L101" s="16">
        <v>34151</v>
      </c>
      <c r="M101" s="12" t="s">
        <v>474</v>
      </c>
      <c r="N101" t="s">
        <v>180</v>
      </c>
      <c r="O101" t="s">
        <v>43</v>
      </c>
      <c r="P101"/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X101" t="s">
        <v>50</v>
      </c>
      <c r="Y101" t="s">
        <v>50</v>
      </c>
      <c r="Z101" t="s">
        <v>50</v>
      </c>
      <c r="AA101" t="s">
        <v>50</v>
      </c>
      <c r="AB101" t="s">
        <v>50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 s="32" customFormat="1" ht="14.1">
      <c r="A102" s="31" t="s">
        <v>479</v>
      </c>
      <c r="B102" s="15" t="s">
        <v>480</v>
      </c>
      <c r="C102" s="15" t="s">
        <v>481</v>
      </c>
      <c r="D102">
        <v>7048726</v>
      </c>
      <c r="E102"/>
      <c r="F102"/>
      <c r="G102" s="12">
        <f t="shared" si="2"/>
        <v>56</v>
      </c>
      <c r="H102" s="12">
        <f t="shared" si="3"/>
        <v>0</v>
      </c>
      <c r="I102" s="13">
        <v>0</v>
      </c>
      <c r="J102">
        <v>1</v>
      </c>
      <c r="K102" s="16">
        <v>44838</v>
      </c>
      <c r="L102" s="16">
        <v>24214</v>
      </c>
      <c r="M102" s="12" t="s">
        <v>46</v>
      </c>
      <c r="N102" t="s">
        <v>47</v>
      </c>
      <c r="O102" s="19" t="s">
        <v>48</v>
      </c>
      <c r="P102"/>
      <c r="Q102" s="7" t="s">
        <v>201</v>
      </c>
      <c r="R102"/>
      <c r="S102"/>
      <c r="T102"/>
      <c r="U102"/>
      <c r="V102"/>
      <c r="W102"/>
      <c r="X102" t="s">
        <v>50</v>
      </c>
      <c r="Y102" t="s">
        <v>50</v>
      </c>
      <c r="Z102" t="s">
        <v>50</v>
      </c>
      <c r="AA102" t="s">
        <v>50</v>
      </c>
      <c r="AB102" t="s">
        <v>81</v>
      </c>
      <c r="AC102" t="s">
        <v>482</v>
      </c>
      <c r="AD102" t="s">
        <v>483</v>
      </c>
      <c r="AE102" t="s">
        <v>114</v>
      </c>
      <c r="AF102" t="s">
        <v>128</v>
      </c>
      <c r="AG102" t="s">
        <v>484</v>
      </c>
      <c r="AH102" t="s">
        <v>485</v>
      </c>
      <c r="AI102" t="s">
        <v>486</v>
      </c>
      <c r="AJ102"/>
      <c r="AK102"/>
      <c r="AL102"/>
      <c r="AM102"/>
      <c r="AN102"/>
      <c r="AO102"/>
    </row>
    <row r="103" spans="1:41" s="32" customFormat="1" ht="14.45">
      <c r="A103" s="51" t="s">
        <v>487</v>
      </c>
      <c r="B103" s="15" t="s">
        <v>488</v>
      </c>
      <c r="C103" s="15"/>
      <c r="D103" s="52">
        <v>4827535</v>
      </c>
      <c r="E103" s="52"/>
      <c r="F103" s="52"/>
      <c r="G103" s="51">
        <f t="shared" si="2"/>
        <v>48</v>
      </c>
      <c r="H103" s="51">
        <f t="shared" si="3"/>
        <v>0</v>
      </c>
      <c r="I103" s="53">
        <v>0</v>
      </c>
      <c r="J103" s="52">
        <v>1</v>
      </c>
      <c r="K103" s="54">
        <v>44851</v>
      </c>
      <c r="L103" s="54">
        <v>27016</v>
      </c>
      <c r="M103" s="51" t="s">
        <v>46</v>
      </c>
      <c r="N103" s="52" t="s">
        <v>70</v>
      </c>
      <c r="O103" s="52" t="s">
        <v>43</v>
      </c>
      <c r="P103" s="52" t="s">
        <v>489</v>
      </c>
      <c r="Q103" s="7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</row>
    <row r="104" spans="1:41" ht="14.1">
      <c r="A104" s="31" t="s">
        <v>490</v>
      </c>
      <c r="B104" s="15" t="s">
        <v>491</v>
      </c>
      <c r="C104" s="15"/>
      <c r="D104">
        <v>7043540</v>
      </c>
      <c r="G104" s="12">
        <f t="shared" si="2"/>
        <v>53</v>
      </c>
      <c r="H104" s="12">
        <f t="shared" si="3"/>
        <v>0</v>
      </c>
      <c r="I104" s="13">
        <v>0</v>
      </c>
      <c r="J104">
        <v>1</v>
      </c>
      <c r="K104" s="16">
        <v>44860</v>
      </c>
      <c r="L104" s="16">
        <v>25337</v>
      </c>
      <c r="M104" s="12" t="s">
        <v>55</v>
      </c>
      <c r="N104" t="s">
        <v>91</v>
      </c>
      <c r="O104" t="s">
        <v>48</v>
      </c>
      <c r="Q104" s="7" t="s">
        <v>71</v>
      </c>
      <c r="R104" s="32"/>
      <c r="S104" s="32"/>
      <c r="T104" s="32"/>
      <c r="U104" s="32"/>
      <c r="V104" s="32"/>
      <c r="W104" s="32"/>
      <c r="X104" t="s">
        <v>50</v>
      </c>
      <c r="Y104" t="s">
        <v>49</v>
      </c>
      <c r="Z104" t="s">
        <v>50</v>
      </c>
      <c r="AA104" t="s">
        <v>50</v>
      </c>
      <c r="AB104" t="s">
        <v>50</v>
      </c>
      <c r="AJ104" t="s">
        <v>413</v>
      </c>
    </row>
    <row r="105" spans="1:41" ht="14.1">
      <c r="A105" s="31" t="s">
        <v>492</v>
      </c>
      <c r="B105" s="15" t="s">
        <v>493</v>
      </c>
      <c r="C105" s="15"/>
      <c r="D105">
        <v>4587988</v>
      </c>
      <c r="F105">
        <v>28</v>
      </c>
      <c r="G105" s="12">
        <f t="shared" si="2"/>
        <v>32</v>
      </c>
      <c r="H105" s="12">
        <f t="shared" si="3"/>
        <v>1</v>
      </c>
      <c r="I105" s="13">
        <v>0</v>
      </c>
      <c r="J105">
        <v>1</v>
      </c>
      <c r="K105" s="16">
        <v>44862</v>
      </c>
      <c r="L105" s="16">
        <v>33115</v>
      </c>
      <c r="M105" s="12" t="s">
        <v>55</v>
      </c>
      <c r="N105" t="s">
        <v>47</v>
      </c>
      <c r="O105" t="s">
        <v>43</v>
      </c>
      <c r="P105" s="43"/>
      <c r="Q105" t="s">
        <v>50</v>
      </c>
      <c r="X105" t="s">
        <v>50</v>
      </c>
      <c r="Y105" t="s">
        <v>50</v>
      </c>
      <c r="Z105" t="s">
        <v>50</v>
      </c>
      <c r="AA105" t="s">
        <v>50</v>
      </c>
      <c r="AB105" t="s">
        <v>413</v>
      </c>
      <c r="AD105" t="s">
        <v>494</v>
      </c>
      <c r="AE105" s="69" t="s">
        <v>495</v>
      </c>
      <c r="AF105" s="69" t="s">
        <v>496</v>
      </c>
      <c r="AG105" s="69" t="s">
        <v>497</v>
      </c>
      <c r="AH105" s="69" t="s">
        <v>498</v>
      </c>
      <c r="AI105" s="69" t="s">
        <v>499</v>
      </c>
      <c r="AJ105" s="69" t="s">
        <v>500</v>
      </c>
      <c r="AK105" s="69" t="s">
        <v>501</v>
      </c>
    </row>
    <row r="106" spans="1:41" s="32" customFormat="1" ht="14.1">
      <c r="A106" s="31" t="s">
        <v>502</v>
      </c>
      <c r="B106" s="15" t="s">
        <v>503</v>
      </c>
      <c r="C106" s="15"/>
      <c r="D106">
        <v>4553909</v>
      </c>
      <c r="E106"/>
      <c r="F106"/>
      <c r="G106" s="12">
        <f t="shared" si="2"/>
        <v>39</v>
      </c>
      <c r="H106" s="12">
        <f t="shared" si="3"/>
        <v>1</v>
      </c>
      <c r="I106" s="13">
        <v>0</v>
      </c>
      <c r="J106">
        <v>1</v>
      </c>
      <c r="K106" s="16">
        <v>44879</v>
      </c>
      <c r="L106" s="16">
        <v>30572</v>
      </c>
      <c r="M106" s="12" t="s">
        <v>55</v>
      </c>
      <c r="N106" t="s">
        <v>155</v>
      </c>
      <c r="O106" t="s">
        <v>48</v>
      </c>
      <c r="P106"/>
      <c r="Q106" s="7" t="s">
        <v>504</v>
      </c>
      <c r="R106"/>
      <c r="S106"/>
      <c r="T106"/>
      <c r="U106"/>
      <c r="V106"/>
      <c r="W106"/>
      <c r="X106" t="s">
        <v>505</v>
      </c>
      <c r="Y106" t="s">
        <v>50</v>
      </c>
      <c r="Z106" t="s">
        <v>50</v>
      </c>
      <c r="AA106" t="s">
        <v>50</v>
      </c>
      <c r="AB106" t="s">
        <v>50</v>
      </c>
      <c r="AC106"/>
      <c r="AD106"/>
      <c r="AE106"/>
      <c r="AF106"/>
      <c r="AG106"/>
      <c r="AH106"/>
      <c r="AI106"/>
      <c r="AJ106"/>
      <c r="AK106"/>
      <c r="AL106"/>
      <c r="AM106"/>
      <c r="AN106"/>
      <c r="AO106"/>
    </row>
    <row r="107" spans="1:41" s="32" customFormat="1" ht="14.1">
      <c r="A107" s="31" t="s">
        <v>506</v>
      </c>
      <c r="B107" s="15" t="s">
        <v>507</v>
      </c>
      <c r="C107" s="15"/>
      <c r="D107">
        <v>3112758</v>
      </c>
      <c r="E107"/>
      <c r="F107"/>
      <c r="G107" s="12">
        <f t="shared" si="2"/>
        <v>65</v>
      </c>
      <c r="H107" s="12">
        <f t="shared" si="3"/>
        <v>0</v>
      </c>
      <c r="I107" s="13">
        <v>0</v>
      </c>
      <c r="J107">
        <v>1</v>
      </c>
      <c r="K107" s="16">
        <v>44914</v>
      </c>
      <c r="L107" s="16">
        <v>20929</v>
      </c>
      <c r="M107" s="12" t="s">
        <v>46</v>
      </c>
      <c r="N107" t="s">
        <v>79</v>
      </c>
      <c r="O107" t="s">
        <v>48</v>
      </c>
      <c r="P107"/>
      <c r="Q107" s="7" t="s">
        <v>50</v>
      </c>
      <c r="R107"/>
      <c r="S107"/>
      <c r="T107"/>
      <c r="U107"/>
      <c r="V107"/>
      <c r="W107"/>
      <c r="X107" t="s">
        <v>508</v>
      </c>
      <c r="Y107" t="s">
        <v>49</v>
      </c>
      <c r="Z107" t="s">
        <v>50</v>
      </c>
      <c r="AA107" t="s">
        <v>50</v>
      </c>
      <c r="AB107" t="s">
        <v>50</v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</row>
    <row r="108" spans="1:41" ht="14.45">
      <c r="A108" s="37" t="s">
        <v>509</v>
      </c>
      <c r="B108" s="15" t="s">
        <v>510</v>
      </c>
      <c r="C108" s="15"/>
      <c r="D108" s="36">
        <v>7088148</v>
      </c>
      <c r="E108" s="36"/>
      <c r="F108" s="36"/>
      <c r="G108" s="37">
        <f t="shared" si="2"/>
        <v>75</v>
      </c>
      <c r="H108" s="37">
        <f t="shared" si="3"/>
        <v>0</v>
      </c>
      <c r="I108" s="38">
        <v>0</v>
      </c>
      <c r="J108" s="36">
        <v>1</v>
      </c>
      <c r="K108" s="39">
        <v>44924</v>
      </c>
      <c r="L108" s="39">
        <v>17199</v>
      </c>
      <c r="M108" s="37" t="s">
        <v>55</v>
      </c>
      <c r="N108" s="36" t="s">
        <v>47</v>
      </c>
      <c r="O108" s="36" t="s">
        <v>48</v>
      </c>
      <c r="P108" s="36" t="s">
        <v>311</v>
      </c>
      <c r="R108" s="32"/>
      <c r="S108" s="32"/>
      <c r="T108" s="32"/>
      <c r="U108" s="32"/>
      <c r="V108" s="32"/>
      <c r="W108" s="32"/>
    </row>
    <row r="109" spans="1:41" ht="14.45">
      <c r="A109" s="36" t="s">
        <v>511</v>
      </c>
      <c r="B109" s="27" t="s">
        <v>512</v>
      </c>
      <c r="C109" s="27"/>
      <c r="D109" s="36">
        <v>7093429</v>
      </c>
      <c r="E109" s="36"/>
      <c r="F109" s="36"/>
      <c r="G109" s="37">
        <f t="shared" si="2"/>
        <v>63</v>
      </c>
      <c r="H109" s="37">
        <f t="shared" si="3"/>
        <v>0</v>
      </c>
      <c r="I109" s="36">
        <v>0</v>
      </c>
      <c r="J109" s="36">
        <v>1</v>
      </c>
      <c r="K109" s="39">
        <v>44938</v>
      </c>
      <c r="L109" s="39">
        <v>21641</v>
      </c>
      <c r="M109" s="36" t="s">
        <v>55</v>
      </c>
      <c r="N109" s="36" t="s">
        <v>47</v>
      </c>
      <c r="O109" s="36" t="s">
        <v>48</v>
      </c>
      <c r="P109" s="36" t="s">
        <v>311</v>
      </c>
      <c r="R109" s="32"/>
      <c r="S109" s="32"/>
      <c r="T109" s="32"/>
      <c r="U109" s="32"/>
      <c r="V109" s="32"/>
      <c r="W109" s="32"/>
    </row>
    <row r="110" spans="1:41" ht="14.45">
      <c r="A110" s="34" t="s">
        <v>513</v>
      </c>
      <c r="B110" s="27" t="s">
        <v>514</v>
      </c>
      <c r="C110" s="27"/>
      <c r="D110" s="7">
        <v>4229983</v>
      </c>
      <c r="E110" s="7"/>
      <c r="F110" s="7"/>
      <c r="G110" s="12">
        <f t="shared" si="2"/>
        <v>42</v>
      </c>
      <c r="H110" s="12">
        <f t="shared" si="3"/>
        <v>0</v>
      </c>
      <c r="I110" s="13">
        <v>0</v>
      </c>
      <c r="J110" s="7">
        <v>1</v>
      </c>
      <c r="K110" s="17">
        <v>44963</v>
      </c>
      <c r="L110" s="17">
        <v>29383</v>
      </c>
      <c r="M110" s="12" t="s">
        <v>55</v>
      </c>
      <c r="N110" s="7" t="s">
        <v>79</v>
      </c>
      <c r="O110" s="7" t="s">
        <v>48</v>
      </c>
      <c r="P110" s="7"/>
      <c r="Q110" s="7" t="s">
        <v>515</v>
      </c>
      <c r="X110" t="s">
        <v>516</v>
      </c>
      <c r="Y110" t="s">
        <v>64</v>
      </c>
      <c r="Z110" t="s">
        <v>50</v>
      </c>
      <c r="AA110" t="s">
        <v>50</v>
      </c>
      <c r="AB110" t="s">
        <v>50</v>
      </c>
    </row>
    <row r="111" spans="1:41" ht="14.45">
      <c r="A111" s="34" t="s">
        <v>517</v>
      </c>
      <c r="B111" s="27" t="s">
        <v>518</v>
      </c>
      <c r="C111" s="27"/>
      <c r="D111" s="7">
        <v>4434187</v>
      </c>
      <c r="E111" s="7"/>
      <c r="F111" s="7"/>
      <c r="G111" s="12">
        <f t="shared" si="2"/>
        <v>44</v>
      </c>
      <c r="H111" s="12">
        <f t="shared" si="3"/>
        <v>0</v>
      </c>
      <c r="I111" s="13">
        <v>0</v>
      </c>
      <c r="J111" s="7">
        <v>1</v>
      </c>
      <c r="K111" s="17">
        <v>44963</v>
      </c>
      <c r="L111" s="17">
        <v>28786</v>
      </c>
      <c r="M111" s="12" t="s">
        <v>46</v>
      </c>
      <c r="N111" s="7" t="s">
        <v>79</v>
      </c>
      <c r="O111" s="7" t="s">
        <v>48</v>
      </c>
      <c r="P111" s="7"/>
      <c r="Q111" s="7" t="s">
        <v>71</v>
      </c>
      <c r="R111" s="32"/>
      <c r="S111" s="32"/>
      <c r="T111" s="32"/>
      <c r="U111" s="32"/>
      <c r="V111" s="32"/>
      <c r="W111" s="32"/>
      <c r="X111" t="s">
        <v>519</v>
      </c>
      <c r="Y111" t="s">
        <v>64</v>
      </c>
      <c r="Z111" t="s">
        <v>50</v>
      </c>
      <c r="AA111" t="s">
        <v>50</v>
      </c>
      <c r="AB111" t="s">
        <v>50</v>
      </c>
    </row>
    <row r="112" spans="1:41" s="32" customFormat="1" ht="14.45">
      <c r="A112" s="34" t="s">
        <v>520</v>
      </c>
      <c r="B112" s="27" t="s">
        <v>521</v>
      </c>
      <c r="C112" s="27"/>
      <c r="D112" s="7">
        <v>4288496</v>
      </c>
      <c r="E112" s="7"/>
      <c r="F112">
        <v>34</v>
      </c>
      <c r="G112" s="12">
        <f t="shared" si="2"/>
        <v>42</v>
      </c>
      <c r="H112" s="12">
        <f t="shared" si="3"/>
        <v>0</v>
      </c>
      <c r="I112" s="13">
        <v>0</v>
      </c>
      <c r="J112" s="7">
        <v>1</v>
      </c>
      <c r="K112" s="16">
        <v>44972</v>
      </c>
      <c r="L112" s="16">
        <v>29377</v>
      </c>
      <c r="M112" s="12" t="s">
        <v>55</v>
      </c>
      <c r="N112" s="7" t="s">
        <v>79</v>
      </c>
      <c r="O112" s="7" t="s">
        <v>43</v>
      </c>
      <c r="P112"/>
      <c r="Q112" s="7" t="s">
        <v>50</v>
      </c>
      <c r="X112" t="s">
        <v>522</v>
      </c>
      <c r="Y112" t="s">
        <v>64</v>
      </c>
      <c r="Z112" t="s">
        <v>50</v>
      </c>
      <c r="AA112" t="s">
        <v>50</v>
      </c>
      <c r="AB112" t="s">
        <v>50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</row>
    <row r="113" spans="1:41" s="32" customFormat="1" ht="14.45">
      <c r="A113" s="36" t="s">
        <v>523</v>
      </c>
      <c r="B113" s="27" t="s">
        <v>524</v>
      </c>
      <c r="C113" s="27"/>
      <c r="D113" s="36">
        <v>7112540</v>
      </c>
      <c r="E113" s="36"/>
      <c r="F113" s="36"/>
      <c r="G113" s="37">
        <f t="shared" si="2"/>
        <v>61</v>
      </c>
      <c r="H113" s="37">
        <f t="shared" si="3"/>
        <v>0</v>
      </c>
      <c r="I113" s="38">
        <v>0</v>
      </c>
      <c r="J113" s="36">
        <v>1</v>
      </c>
      <c r="K113" s="39">
        <v>44986</v>
      </c>
      <c r="L113" s="39">
        <v>22541</v>
      </c>
      <c r="M113" s="37" t="s">
        <v>55</v>
      </c>
      <c r="N113" s="36" t="s">
        <v>47</v>
      </c>
      <c r="O113" s="36" t="s">
        <v>48</v>
      </c>
      <c r="P113" s="36" t="s">
        <v>311</v>
      </c>
      <c r="Q113" s="7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</row>
    <row r="114" spans="1:41" s="32" customFormat="1" ht="14.45">
      <c r="A114" s="36" t="s">
        <v>525</v>
      </c>
      <c r="B114" s="27" t="s">
        <v>526</v>
      </c>
      <c r="C114" s="27"/>
      <c r="D114" s="36">
        <v>7101014</v>
      </c>
      <c r="E114" s="36"/>
      <c r="F114" s="36"/>
      <c r="G114" s="37">
        <f t="shared" si="2"/>
        <v>52</v>
      </c>
      <c r="H114" s="37">
        <f t="shared" si="3"/>
        <v>0</v>
      </c>
      <c r="I114" s="38">
        <v>0</v>
      </c>
      <c r="J114" s="36">
        <v>0</v>
      </c>
      <c r="K114" s="39">
        <v>44986</v>
      </c>
      <c r="L114" s="39">
        <v>25640</v>
      </c>
      <c r="M114" s="37" t="s">
        <v>106</v>
      </c>
      <c r="N114" s="36" t="s">
        <v>527</v>
      </c>
      <c r="O114" s="36" t="s">
        <v>48</v>
      </c>
      <c r="P114" s="36" t="s">
        <v>528</v>
      </c>
      <c r="Q114" s="7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</row>
    <row r="115" spans="1:41" ht="14.45">
      <c r="A115" s="36" t="s">
        <v>529</v>
      </c>
      <c r="B115" s="27" t="s">
        <v>530</v>
      </c>
      <c r="C115" s="27"/>
      <c r="D115" s="36">
        <v>7100490</v>
      </c>
      <c r="E115" s="36"/>
      <c r="F115" s="36"/>
      <c r="G115" s="37">
        <f t="shared" si="2"/>
        <v>56</v>
      </c>
      <c r="H115" s="37">
        <f t="shared" si="3"/>
        <v>0</v>
      </c>
      <c r="I115" s="38">
        <v>0</v>
      </c>
      <c r="J115" s="36">
        <v>1</v>
      </c>
      <c r="K115" s="39">
        <v>44992</v>
      </c>
      <c r="L115" s="39">
        <v>24434</v>
      </c>
      <c r="M115" s="37" t="s">
        <v>106</v>
      </c>
      <c r="N115" s="36" t="s">
        <v>47</v>
      </c>
      <c r="O115" s="36" t="s">
        <v>48</v>
      </c>
      <c r="P115" s="36" t="s">
        <v>531</v>
      </c>
      <c r="R115" s="32"/>
      <c r="S115" s="32"/>
      <c r="T115" s="32"/>
      <c r="U115" s="32"/>
      <c r="V115" s="32"/>
      <c r="W115" s="32"/>
    </row>
    <row r="116" spans="1:41" ht="14.45">
      <c r="A116" s="34" t="s">
        <v>532</v>
      </c>
      <c r="B116" s="27" t="s">
        <v>533</v>
      </c>
      <c r="C116" s="27"/>
      <c r="D116" s="7">
        <v>3700523</v>
      </c>
      <c r="E116" s="7"/>
      <c r="G116" s="12">
        <f t="shared" si="2"/>
        <v>39</v>
      </c>
      <c r="H116" s="12">
        <f t="shared" si="3"/>
        <v>1</v>
      </c>
      <c r="I116" s="13">
        <v>0</v>
      </c>
      <c r="J116" s="7">
        <v>1</v>
      </c>
      <c r="K116" s="16">
        <v>45000</v>
      </c>
      <c r="L116" s="16">
        <v>30543</v>
      </c>
      <c r="M116" s="12" t="s">
        <v>55</v>
      </c>
      <c r="N116" s="7" t="s">
        <v>155</v>
      </c>
      <c r="O116" s="7" t="s">
        <v>48</v>
      </c>
      <c r="Q116" s="7" t="s">
        <v>71</v>
      </c>
      <c r="X116" t="s">
        <v>534</v>
      </c>
      <c r="Y116" t="s">
        <v>535</v>
      </c>
      <c r="Z116" t="s">
        <v>50</v>
      </c>
      <c r="AA116" t="s">
        <v>50</v>
      </c>
      <c r="AB116" t="s">
        <v>50</v>
      </c>
    </row>
    <row r="117" spans="1:41" s="32" customFormat="1" ht="14.45">
      <c r="A117" s="36" t="s">
        <v>536</v>
      </c>
      <c r="B117" s="27" t="s">
        <v>537</v>
      </c>
      <c r="C117" s="27"/>
      <c r="D117" s="36">
        <v>7123515</v>
      </c>
      <c r="E117" s="36"/>
      <c r="F117"/>
      <c r="G117" s="37">
        <f t="shared" si="2"/>
        <v>57</v>
      </c>
      <c r="H117" s="37">
        <f t="shared" si="3"/>
        <v>0</v>
      </c>
      <c r="I117" s="38">
        <v>0</v>
      </c>
      <c r="J117" s="36">
        <v>1</v>
      </c>
      <c r="K117" s="39">
        <v>45007</v>
      </c>
      <c r="L117" s="39">
        <v>23852</v>
      </c>
      <c r="M117" s="37" t="s">
        <v>55</v>
      </c>
      <c r="N117" s="36" t="s">
        <v>70</v>
      </c>
      <c r="O117" s="36" t="s">
        <v>48</v>
      </c>
      <c r="P117" s="36" t="s">
        <v>311</v>
      </c>
      <c r="Q117" s="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</row>
    <row r="118" spans="1:41" s="32" customFormat="1" ht="14.45">
      <c r="A118" s="34" t="s">
        <v>538</v>
      </c>
      <c r="B118" s="27" t="s">
        <v>539</v>
      </c>
      <c r="C118" s="27"/>
      <c r="D118" s="7">
        <v>4968101</v>
      </c>
      <c r="E118" s="7"/>
      <c r="F118" s="7"/>
      <c r="G118" s="12">
        <f t="shared" si="2"/>
        <v>51</v>
      </c>
      <c r="H118" s="12">
        <f t="shared" si="3"/>
        <v>0</v>
      </c>
      <c r="I118" s="13">
        <v>0</v>
      </c>
      <c r="J118" s="7">
        <v>1</v>
      </c>
      <c r="K118" s="17">
        <v>45012</v>
      </c>
      <c r="L118" s="17">
        <v>26323</v>
      </c>
      <c r="M118" s="12" t="s">
        <v>55</v>
      </c>
      <c r="N118" s="7" t="s">
        <v>155</v>
      </c>
      <c r="O118" s="7" t="s">
        <v>48</v>
      </c>
      <c r="P118" s="36"/>
      <c r="Q118" s="7" t="s">
        <v>71</v>
      </c>
      <c r="R118"/>
      <c r="S118"/>
      <c r="T118"/>
      <c r="U118"/>
      <c r="V118"/>
      <c r="W118"/>
      <c r="X118" t="s">
        <v>540</v>
      </c>
      <c r="Y118" t="s">
        <v>64</v>
      </c>
      <c r="Z118" t="s">
        <v>50</v>
      </c>
      <c r="AA118" t="s">
        <v>50</v>
      </c>
      <c r="AB118" t="s">
        <v>50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</row>
    <row r="119" spans="1:41" s="32" customFormat="1" ht="14.45">
      <c r="A119" s="36" t="s">
        <v>541</v>
      </c>
      <c r="B119" s="27" t="s">
        <v>542</v>
      </c>
      <c r="C119" s="27"/>
      <c r="D119" s="36">
        <v>7130198</v>
      </c>
      <c r="E119" s="36"/>
      <c r="F119" s="36"/>
      <c r="G119" s="37">
        <f t="shared" si="2"/>
        <v>35</v>
      </c>
      <c r="H119" s="37">
        <f t="shared" si="3"/>
        <v>1</v>
      </c>
      <c r="I119" s="38">
        <v>0</v>
      </c>
      <c r="J119" s="36">
        <v>1</v>
      </c>
      <c r="K119" s="39">
        <v>45022</v>
      </c>
      <c r="L119" s="39">
        <v>32096</v>
      </c>
      <c r="M119" s="37" t="s">
        <v>55</v>
      </c>
      <c r="N119" s="36" t="s">
        <v>79</v>
      </c>
      <c r="O119" s="36" t="s">
        <v>48</v>
      </c>
      <c r="P119" s="36" t="s">
        <v>311</v>
      </c>
      <c r="Q119" s="7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</row>
    <row r="120" spans="1:41" ht="14.45">
      <c r="A120" s="36" t="s">
        <v>543</v>
      </c>
      <c r="B120" s="27" t="s">
        <v>544</v>
      </c>
      <c r="C120" s="27"/>
      <c r="D120" s="36">
        <v>7132344</v>
      </c>
      <c r="E120" s="36"/>
      <c r="F120" s="36"/>
      <c r="G120" s="37">
        <f t="shared" si="2"/>
        <v>37</v>
      </c>
      <c r="H120" s="37">
        <f t="shared" si="3"/>
        <v>1</v>
      </c>
      <c r="I120" s="38">
        <v>0</v>
      </c>
      <c r="J120" s="36">
        <v>1</v>
      </c>
      <c r="K120" s="39">
        <v>45029</v>
      </c>
      <c r="L120" s="39">
        <v>31185</v>
      </c>
      <c r="M120" s="37" t="s">
        <v>46</v>
      </c>
      <c r="N120" s="36" t="s">
        <v>47</v>
      </c>
      <c r="O120" s="36" t="s">
        <v>48</v>
      </c>
      <c r="P120" s="36" t="s">
        <v>311</v>
      </c>
      <c r="R120" s="32"/>
      <c r="S120" s="32"/>
      <c r="T120" s="32"/>
      <c r="U120" s="32"/>
      <c r="V120" s="32"/>
      <c r="W120" s="32"/>
    </row>
    <row r="121" spans="1:41" ht="14.45">
      <c r="A121" s="36" t="s">
        <v>545</v>
      </c>
      <c r="B121" s="27" t="s">
        <v>546</v>
      </c>
      <c r="C121" s="27"/>
      <c r="D121" s="36">
        <v>7136592</v>
      </c>
      <c r="E121" s="36"/>
      <c r="F121" s="36"/>
      <c r="G121" s="37">
        <f t="shared" si="2"/>
        <v>78</v>
      </c>
      <c r="H121" s="37">
        <f t="shared" si="3"/>
        <v>0</v>
      </c>
      <c r="I121" s="38">
        <v>0</v>
      </c>
      <c r="J121" s="36">
        <v>1</v>
      </c>
      <c r="K121" s="39">
        <v>45040</v>
      </c>
      <c r="L121" s="39">
        <v>16415</v>
      </c>
      <c r="M121" s="37" t="s">
        <v>106</v>
      </c>
      <c r="N121" s="36" t="s">
        <v>47</v>
      </c>
      <c r="O121" s="36" t="s">
        <v>48</v>
      </c>
      <c r="P121" s="36" t="s">
        <v>311</v>
      </c>
      <c r="R121" s="32"/>
      <c r="S121" s="32"/>
      <c r="T121" s="32"/>
      <c r="U121" s="32"/>
      <c r="V121" s="32"/>
      <c r="W121" s="32"/>
    </row>
    <row r="122" spans="1:41" s="32" customFormat="1" ht="14.45">
      <c r="A122" s="36" t="s">
        <v>547</v>
      </c>
      <c r="B122" s="27" t="s">
        <v>548</v>
      </c>
      <c r="C122" s="27"/>
      <c r="D122" s="36">
        <v>7136781</v>
      </c>
      <c r="E122" s="36"/>
      <c r="F122" s="36">
        <v>29</v>
      </c>
      <c r="G122" s="37">
        <f t="shared" si="2"/>
        <v>31</v>
      </c>
      <c r="H122" s="37">
        <f t="shared" si="3"/>
        <v>1</v>
      </c>
      <c r="I122" s="38">
        <v>0</v>
      </c>
      <c r="J122" s="36">
        <v>1</v>
      </c>
      <c r="K122" s="39">
        <v>45040</v>
      </c>
      <c r="L122" s="39">
        <v>33470</v>
      </c>
      <c r="M122" s="37" t="s">
        <v>55</v>
      </c>
      <c r="N122" s="36" t="s">
        <v>47</v>
      </c>
      <c r="O122" s="36" t="s">
        <v>43</v>
      </c>
      <c r="P122" s="36" t="s">
        <v>311</v>
      </c>
      <c r="Q122" s="7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</row>
    <row r="123" spans="1:41" s="32" customFormat="1" ht="14.45">
      <c r="A123" s="36" t="s">
        <v>549</v>
      </c>
      <c r="B123" s="27" t="s">
        <v>550</v>
      </c>
      <c r="C123" s="27"/>
      <c r="D123" s="36">
        <v>7139573</v>
      </c>
      <c r="E123" s="36"/>
      <c r="F123" s="36"/>
      <c r="G123" s="37">
        <f t="shared" si="2"/>
        <v>56</v>
      </c>
      <c r="H123" s="37">
        <f t="shared" si="3"/>
        <v>0</v>
      </c>
      <c r="I123" s="38">
        <v>0</v>
      </c>
      <c r="J123" s="36">
        <v>1</v>
      </c>
      <c r="K123" s="39">
        <v>45047</v>
      </c>
      <c r="L123" s="39">
        <v>24414</v>
      </c>
      <c r="M123" s="37" t="s">
        <v>164</v>
      </c>
      <c r="N123" s="36" t="s">
        <v>47</v>
      </c>
      <c r="O123" s="36" t="s">
        <v>48</v>
      </c>
      <c r="P123" s="36" t="s">
        <v>311</v>
      </c>
      <c r="Q123" s="7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</row>
    <row r="124" spans="1:41" s="32" customFormat="1" ht="14.45">
      <c r="A124" s="36" t="s">
        <v>551</v>
      </c>
      <c r="B124" s="27" t="s">
        <v>552</v>
      </c>
      <c r="C124" s="27"/>
      <c r="D124" s="36">
        <v>7140220</v>
      </c>
      <c r="E124" s="36"/>
      <c r="F124" s="36"/>
      <c r="G124" s="37">
        <f t="shared" si="2"/>
        <v>51</v>
      </c>
      <c r="H124" s="37">
        <f t="shared" si="3"/>
        <v>0</v>
      </c>
      <c r="I124" s="38">
        <v>0</v>
      </c>
      <c r="J124" s="36">
        <v>1</v>
      </c>
      <c r="K124" s="39">
        <v>45049</v>
      </c>
      <c r="L124" s="39">
        <v>26365</v>
      </c>
      <c r="M124" s="36" t="s">
        <v>46</v>
      </c>
      <c r="N124" s="36" t="s">
        <v>91</v>
      </c>
      <c r="O124" s="36" t="s">
        <v>48</v>
      </c>
      <c r="P124" s="36" t="s">
        <v>311</v>
      </c>
      <c r="Q124" s="7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</row>
    <row r="125" spans="1:41" s="32" customFormat="1" ht="14.45">
      <c r="A125" s="36" t="s">
        <v>553</v>
      </c>
      <c r="B125" s="27" t="s">
        <v>554</v>
      </c>
      <c r="C125" s="27"/>
      <c r="D125" s="36">
        <v>7141619</v>
      </c>
      <c r="E125" s="36"/>
      <c r="F125" s="36"/>
      <c r="G125" s="37">
        <f t="shared" si="2"/>
        <v>79</v>
      </c>
      <c r="H125" s="37">
        <f t="shared" si="3"/>
        <v>0</v>
      </c>
      <c r="I125" s="38">
        <v>0</v>
      </c>
      <c r="J125" s="36">
        <v>1</v>
      </c>
      <c r="K125" s="39">
        <v>45050</v>
      </c>
      <c r="L125" s="39">
        <v>15872</v>
      </c>
      <c r="M125" s="37" t="s">
        <v>55</v>
      </c>
      <c r="N125" s="36" t="s">
        <v>47</v>
      </c>
      <c r="O125" s="36" t="s">
        <v>48</v>
      </c>
      <c r="P125" s="36" t="s">
        <v>311</v>
      </c>
      <c r="Q125" s="7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</row>
    <row r="126" spans="1:41" s="32" customFormat="1" ht="14.45">
      <c r="A126" s="36" t="s">
        <v>555</v>
      </c>
      <c r="B126" s="27" t="s">
        <v>556</v>
      </c>
      <c r="C126" s="27"/>
      <c r="D126" s="36">
        <v>7142024</v>
      </c>
      <c r="E126" s="36"/>
      <c r="F126"/>
      <c r="G126" s="37">
        <f t="shared" si="2"/>
        <v>70</v>
      </c>
      <c r="H126" s="37">
        <f t="shared" si="3"/>
        <v>0</v>
      </c>
      <c r="I126" s="38">
        <v>0</v>
      </c>
      <c r="J126" s="36">
        <v>1</v>
      </c>
      <c r="K126" s="39">
        <v>45051</v>
      </c>
      <c r="L126" s="39">
        <v>19388</v>
      </c>
      <c r="M126" s="37" t="s">
        <v>55</v>
      </c>
      <c r="N126" s="36" t="s">
        <v>79</v>
      </c>
      <c r="O126" s="36" t="s">
        <v>43</v>
      </c>
      <c r="P126" s="36" t="s">
        <v>311</v>
      </c>
      <c r="Q126" s="7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</row>
    <row r="127" spans="1:41" ht="14.45">
      <c r="A127" s="36" t="s">
        <v>557</v>
      </c>
      <c r="B127" s="27" t="s">
        <v>558</v>
      </c>
      <c r="C127" s="27"/>
      <c r="D127" s="36">
        <v>7146460</v>
      </c>
      <c r="E127" s="36"/>
      <c r="G127" s="37">
        <f t="shared" si="2"/>
        <v>36</v>
      </c>
      <c r="H127" s="37">
        <f t="shared" si="3"/>
        <v>1</v>
      </c>
      <c r="I127" s="38">
        <v>1</v>
      </c>
      <c r="J127" s="36">
        <v>0</v>
      </c>
      <c r="K127" s="39">
        <v>45062</v>
      </c>
      <c r="L127" s="39">
        <v>31754</v>
      </c>
      <c r="M127" s="37" t="s">
        <v>55</v>
      </c>
      <c r="N127" s="36" t="s">
        <v>197</v>
      </c>
      <c r="O127" s="36" t="s">
        <v>48</v>
      </c>
      <c r="P127" s="36" t="s">
        <v>311</v>
      </c>
    </row>
    <row r="128" spans="1:41" ht="14.45">
      <c r="A128" s="36" t="s">
        <v>559</v>
      </c>
      <c r="B128" s="27" t="s">
        <v>560</v>
      </c>
      <c r="C128" s="27"/>
      <c r="D128" s="36">
        <v>7146459</v>
      </c>
      <c r="E128" s="36"/>
      <c r="F128" s="36"/>
      <c r="G128" s="37">
        <f t="shared" si="2"/>
        <v>76</v>
      </c>
      <c r="H128" s="37">
        <f t="shared" si="3"/>
        <v>0</v>
      </c>
      <c r="I128" s="36">
        <v>0</v>
      </c>
      <c r="J128" s="36">
        <v>1</v>
      </c>
      <c r="K128" s="39">
        <v>45063</v>
      </c>
      <c r="L128" s="39">
        <v>17271</v>
      </c>
      <c r="M128" s="36" t="s">
        <v>55</v>
      </c>
      <c r="N128" s="36" t="s">
        <v>91</v>
      </c>
      <c r="O128" s="36" t="s">
        <v>48</v>
      </c>
      <c r="P128" s="36" t="s">
        <v>311</v>
      </c>
      <c r="R128" s="32"/>
      <c r="S128" s="32"/>
      <c r="T128" s="32"/>
      <c r="U128" s="32"/>
      <c r="V128" s="32"/>
      <c r="W128" s="32"/>
    </row>
    <row r="129" spans="1:41" s="32" customFormat="1" ht="14.45">
      <c r="A129" s="32" t="s">
        <v>561</v>
      </c>
      <c r="B129" s="27" t="s">
        <v>562</v>
      </c>
      <c r="C129" s="27"/>
      <c r="D129">
        <v>7052170</v>
      </c>
      <c r="E129"/>
      <c r="F129">
        <v>17</v>
      </c>
      <c r="G129" s="12">
        <f t="shared" si="2"/>
        <v>26</v>
      </c>
      <c r="H129" s="12">
        <f t="shared" si="3"/>
        <v>1</v>
      </c>
      <c r="I129">
        <v>0</v>
      </c>
      <c r="J129">
        <v>1</v>
      </c>
      <c r="K129" s="17">
        <v>45064</v>
      </c>
      <c r="L129" s="16">
        <v>35209</v>
      </c>
      <c r="M129" t="s">
        <v>55</v>
      </c>
      <c r="N129" t="s">
        <v>70</v>
      </c>
      <c r="O129" t="s">
        <v>43</v>
      </c>
      <c r="P129"/>
      <c r="Q129" s="7" t="s">
        <v>71</v>
      </c>
      <c r="R129"/>
      <c r="S129"/>
      <c r="T129"/>
      <c r="U129"/>
      <c r="V129"/>
      <c r="W129"/>
      <c r="X129" t="s">
        <v>563</v>
      </c>
      <c r="Y129" t="s">
        <v>64</v>
      </c>
      <c r="Z129" t="s">
        <v>50</v>
      </c>
      <c r="AA129" t="s">
        <v>50</v>
      </c>
      <c r="AB129" t="s">
        <v>50</v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</row>
    <row r="130" spans="1:41" ht="14.45">
      <c r="A130" s="36" t="s">
        <v>564</v>
      </c>
      <c r="B130" s="27" t="s">
        <v>565</v>
      </c>
      <c r="C130" s="27"/>
      <c r="D130" s="36">
        <v>7152266</v>
      </c>
      <c r="E130" s="36"/>
      <c r="F130" s="36"/>
      <c r="G130" s="37">
        <f t="shared" ref="G130:G193" si="4">DATEDIF(L130,K130,"Y")</f>
        <v>55</v>
      </c>
      <c r="H130" s="37">
        <f t="shared" ref="H130:H193" si="5">IF(G130&lt;=39,1,0)</f>
        <v>0</v>
      </c>
      <c r="I130" s="36">
        <v>0</v>
      </c>
      <c r="J130" s="36">
        <v>1</v>
      </c>
      <c r="K130" s="39">
        <v>45078</v>
      </c>
      <c r="L130" s="39">
        <v>24646</v>
      </c>
      <c r="M130" s="36" t="s">
        <v>46</v>
      </c>
      <c r="N130" s="36" t="s">
        <v>47</v>
      </c>
      <c r="O130" s="36" t="s">
        <v>48</v>
      </c>
      <c r="P130" s="36" t="s">
        <v>311</v>
      </c>
      <c r="R130" s="32"/>
      <c r="S130" s="32"/>
      <c r="T130" s="32"/>
      <c r="U130" s="32"/>
      <c r="V130" s="32"/>
      <c r="W130" s="32"/>
    </row>
    <row r="131" spans="1:41" ht="14.45">
      <c r="A131" s="32" t="s">
        <v>566</v>
      </c>
      <c r="B131" s="27" t="s">
        <v>567</v>
      </c>
      <c r="C131" s="27"/>
      <c r="D131">
        <v>7151348</v>
      </c>
      <c r="G131" s="12">
        <f t="shared" si="4"/>
        <v>64</v>
      </c>
      <c r="H131" s="12">
        <f t="shared" si="5"/>
        <v>0</v>
      </c>
      <c r="I131">
        <v>0</v>
      </c>
      <c r="J131">
        <v>1</v>
      </c>
      <c r="K131" s="16">
        <v>45082</v>
      </c>
      <c r="L131" s="16">
        <v>21394</v>
      </c>
      <c r="M131" t="s">
        <v>55</v>
      </c>
      <c r="N131" t="s">
        <v>47</v>
      </c>
      <c r="O131" t="s">
        <v>48</v>
      </c>
      <c r="Q131" s="7" t="s">
        <v>71</v>
      </c>
      <c r="R131" s="32"/>
      <c r="S131" s="32"/>
      <c r="T131" s="32"/>
      <c r="U131" s="32"/>
      <c r="V131" s="32"/>
      <c r="W131" s="32"/>
      <c r="X131" t="s">
        <v>50</v>
      </c>
      <c r="Y131" t="s">
        <v>50</v>
      </c>
      <c r="Z131" t="s">
        <v>50</v>
      </c>
      <c r="AA131" t="s">
        <v>50</v>
      </c>
      <c r="AB131" t="s">
        <v>50</v>
      </c>
    </row>
    <row r="132" spans="1:41" ht="14.45">
      <c r="A132" s="36" t="s">
        <v>568</v>
      </c>
      <c r="B132" s="27" t="s">
        <v>569</v>
      </c>
      <c r="C132" s="27"/>
      <c r="D132" s="36">
        <v>7156008</v>
      </c>
      <c r="E132" s="36"/>
      <c r="F132" s="36">
        <v>40</v>
      </c>
      <c r="G132" s="37">
        <f t="shared" si="4"/>
        <v>41</v>
      </c>
      <c r="H132" s="37">
        <f t="shared" si="5"/>
        <v>0</v>
      </c>
      <c r="I132" s="36">
        <v>0</v>
      </c>
      <c r="J132" s="36">
        <v>1</v>
      </c>
      <c r="K132" s="39">
        <v>45086</v>
      </c>
      <c r="L132" s="39">
        <v>29803</v>
      </c>
      <c r="M132" s="36" t="s">
        <v>106</v>
      </c>
      <c r="N132" s="36" t="s">
        <v>47</v>
      </c>
      <c r="O132" s="36" t="s">
        <v>43</v>
      </c>
      <c r="P132" s="36" t="s">
        <v>311</v>
      </c>
      <c r="R132" s="32"/>
      <c r="S132" s="32"/>
      <c r="T132" s="32"/>
      <c r="U132" s="32"/>
      <c r="V132" s="32"/>
      <c r="W132" s="32"/>
    </row>
    <row r="133" spans="1:41" s="32" customFormat="1" ht="14.45">
      <c r="A133" s="36" t="s">
        <v>570</v>
      </c>
      <c r="B133" s="27" t="s">
        <v>571</v>
      </c>
      <c r="C133" s="27"/>
      <c r="D133" s="36">
        <v>7167913</v>
      </c>
      <c r="E133" s="36"/>
      <c r="F133" s="36"/>
      <c r="G133" s="37">
        <f t="shared" si="4"/>
        <v>56</v>
      </c>
      <c r="H133" s="37">
        <f t="shared" si="5"/>
        <v>0</v>
      </c>
      <c r="I133" s="36">
        <v>0</v>
      </c>
      <c r="J133" s="36">
        <v>1</v>
      </c>
      <c r="K133" s="39">
        <v>45114</v>
      </c>
      <c r="L133" s="39">
        <v>24416</v>
      </c>
      <c r="M133" s="36" t="s">
        <v>55</v>
      </c>
      <c r="N133" s="36" t="s">
        <v>47</v>
      </c>
      <c r="O133" s="36" t="s">
        <v>48</v>
      </c>
      <c r="P133" s="36" t="s">
        <v>311</v>
      </c>
      <c r="Q133" s="7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</row>
    <row r="134" spans="1:41" s="32" customFormat="1" ht="14.45">
      <c r="A134" s="36" t="s">
        <v>572</v>
      </c>
      <c r="B134" s="27" t="s">
        <v>573</v>
      </c>
      <c r="C134" s="27"/>
      <c r="D134" s="36">
        <v>7169954</v>
      </c>
      <c r="E134" s="36"/>
      <c r="F134" s="36"/>
      <c r="G134" s="37">
        <f t="shared" si="4"/>
        <v>58</v>
      </c>
      <c r="H134" s="37">
        <f t="shared" si="5"/>
        <v>0</v>
      </c>
      <c r="I134" s="36">
        <v>0</v>
      </c>
      <c r="J134" s="36">
        <v>1</v>
      </c>
      <c r="K134" s="39">
        <v>45119</v>
      </c>
      <c r="L134" s="39">
        <v>23750</v>
      </c>
      <c r="M134" s="36" t="s">
        <v>55</v>
      </c>
      <c r="N134" s="36" t="s">
        <v>47</v>
      </c>
      <c r="O134" s="36" t="s">
        <v>48</v>
      </c>
      <c r="P134" s="36" t="s">
        <v>311</v>
      </c>
      <c r="Q134" s="7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</row>
    <row r="135" spans="1:41" ht="14.45">
      <c r="A135" s="32" t="s">
        <v>574</v>
      </c>
      <c r="B135" s="27" t="s">
        <v>575</v>
      </c>
      <c r="C135" s="27"/>
      <c r="D135">
        <v>4420412</v>
      </c>
      <c r="G135">
        <f t="shared" si="4"/>
        <v>48</v>
      </c>
      <c r="H135">
        <f t="shared" si="5"/>
        <v>0</v>
      </c>
      <c r="I135">
        <v>0</v>
      </c>
      <c r="J135">
        <v>1</v>
      </c>
      <c r="K135" s="16">
        <v>45126</v>
      </c>
      <c r="L135" s="16">
        <v>27372</v>
      </c>
      <c r="M135" t="s">
        <v>55</v>
      </c>
      <c r="N135" s="7" t="s">
        <v>79</v>
      </c>
      <c r="O135" t="s">
        <v>48</v>
      </c>
      <c r="Q135" t="s">
        <v>50</v>
      </c>
      <c r="X135" t="s">
        <v>576</v>
      </c>
      <c r="Y135" t="s">
        <v>64</v>
      </c>
      <c r="Z135" t="s">
        <v>50</v>
      </c>
      <c r="AA135" t="s">
        <v>50</v>
      </c>
      <c r="AB135" t="s">
        <v>50</v>
      </c>
    </row>
    <row r="136" spans="1:41" ht="14.45">
      <c r="A136" s="36" t="s">
        <v>577</v>
      </c>
      <c r="B136" s="27" t="s">
        <v>578</v>
      </c>
      <c r="C136" s="27"/>
      <c r="D136" s="36">
        <v>7172656</v>
      </c>
      <c r="E136" s="36"/>
      <c r="F136" s="36"/>
      <c r="G136" s="36">
        <f t="shared" si="4"/>
        <v>32</v>
      </c>
      <c r="H136" s="36">
        <f t="shared" si="5"/>
        <v>1</v>
      </c>
      <c r="I136" s="36">
        <v>0</v>
      </c>
      <c r="J136" s="36">
        <v>1</v>
      </c>
      <c r="K136" s="39">
        <v>45126</v>
      </c>
      <c r="L136" s="39">
        <v>33131</v>
      </c>
      <c r="M136" s="36" t="s">
        <v>55</v>
      </c>
      <c r="N136" s="36" t="s">
        <v>91</v>
      </c>
      <c r="O136" s="36" t="s">
        <v>48</v>
      </c>
      <c r="P136" s="36" t="s">
        <v>311</v>
      </c>
      <c r="R136" s="32"/>
      <c r="S136" s="32"/>
      <c r="T136" s="32"/>
      <c r="U136" s="32"/>
      <c r="V136" s="32"/>
      <c r="W136" s="32"/>
    </row>
    <row r="137" spans="1:41" s="32" customFormat="1" ht="14.45">
      <c r="A137" s="36" t="s">
        <v>579</v>
      </c>
      <c r="B137" s="27" t="s">
        <v>580</v>
      </c>
      <c r="C137" s="27"/>
      <c r="D137" s="36">
        <v>7172712</v>
      </c>
      <c r="E137" s="36"/>
      <c r="F137" s="36"/>
      <c r="G137" s="36">
        <f t="shared" si="4"/>
        <v>89</v>
      </c>
      <c r="H137" s="36">
        <f t="shared" si="5"/>
        <v>0</v>
      </c>
      <c r="I137" s="36">
        <v>0</v>
      </c>
      <c r="J137" s="36">
        <v>1</v>
      </c>
      <c r="K137" s="39">
        <v>45128</v>
      </c>
      <c r="L137" s="39">
        <v>12613</v>
      </c>
      <c r="M137" s="36" t="s">
        <v>46</v>
      </c>
      <c r="N137" s="36" t="s">
        <v>91</v>
      </c>
      <c r="O137" s="36" t="s">
        <v>48</v>
      </c>
      <c r="P137" s="36" t="s">
        <v>311</v>
      </c>
      <c r="Q137" s="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</row>
    <row r="138" spans="1:41" s="32" customFormat="1" ht="14.45">
      <c r="A138" s="36" t="s">
        <v>581</v>
      </c>
      <c r="B138" s="27" t="s">
        <v>582</v>
      </c>
      <c r="C138" s="27"/>
      <c r="D138" s="36">
        <v>7174648</v>
      </c>
      <c r="E138" s="36"/>
      <c r="F138" s="36"/>
      <c r="G138" s="36">
        <f t="shared" si="4"/>
        <v>74</v>
      </c>
      <c r="H138" s="36">
        <f t="shared" si="5"/>
        <v>0</v>
      </c>
      <c r="I138" s="36">
        <v>0</v>
      </c>
      <c r="J138" s="36">
        <v>1</v>
      </c>
      <c r="K138" s="39">
        <v>45132</v>
      </c>
      <c r="L138" s="39">
        <v>17901</v>
      </c>
      <c r="M138" s="36" t="s">
        <v>55</v>
      </c>
      <c r="N138" s="36" t="s">
        <v>91</v>
      </c>
      <c r="O138" s="36" t="s">
        <v>48</v>
      </c>
      <c r="P138" s="36" t="s">
        <v>311</v>
      </c>
      <c r="Q138" s="7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</row>
    <row r="139" spans="1:41" ht="14.45">
      <c r="A139" s="36" t="s">
        <v>583</v>
      </c>
      <c r="B139" s="27" t="s">
        <v>584</v>
      </c>
      <c r="C139" s="27"/>
      <c r="D139" s="36">
        <v>7175660</v>
      </c>
      <c r="E139" s="36"/>
      <c r="G139" s="36">
        <f t="shared" si="4"/>
        <v>64</v>
      </c>
      <c r="H139" s="36">
        <f t="shared" si="5"/>
        <v>0</v>
      </c>
      <c r="I139" s="36">
        <v>0</v>
      </c>
      <c r="J139" s="36">
        <v>1</v>
      </c>
      <c r="K139" s="39">
        <v>45133</v>
      </c>
      <c r="L139" s="39">
        <v>21564</v>
      </c>
      <c r="M139" s="36" t="s">
        <v>55</v>
      </c>
      <c r="N139" s="36" t="s">
        <v>47</v>
      </c>
      <c r="O139" s="36" t="s">
        <v>48</v>
      </c>
      <c r="P139" s="36" t="s">
        <v>311</v>
      </c>
    </row>
    <row r="140" spans="1:41" s="32" customFormat="1" ht="14.45">
      <c r="A140" s="36" t="s">
        <v>585</v>
      </c>
      <c r="B140" s="27" t="s">
        <v>586</v>
      </c>
      <c r="C140" s="27"/>
      <c r="D140" s="36">
        <v>7175639</v>
      </c>
      <c r="E140" s="36"/>
      <c r="F140"/>
      <c r="G140" s="36">
        <f t="shared" si="4"/>
        <v>54</v>
      </c>
      <c r="H140" s="36">
        <f t="shared" si="5"/>
        <v>0</v>
      </c>
      <c r="I140" s="36">
        <v>0</v>
      </c>
      <c r="J140" s="36">
        <v>1</v>
      </c>
      <c r="K140" s="39">
        <v>45133</v>
      </c>
      <c r="L140" s="39">
        <v>25153</v>
      </c>
      <c r="M140" s="36" t="s">
        <v>55</v>
      </c>
      <c r="N140" s="36" t="s">
        <v>79</v>
      </c>
      <c r="O140" s="36" t="s">
        <v>48</v>
      </c>
      <c r="P140" s="36" t="s">
        <v>311</v>
      </c>
      <c r="Q140" s="7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</row>
    <row r="141" spans="1:41" s="32" customFormat="1" ht="14.45">
      <c r="A141" s="34" t="s">
        <v>587</v>
      </c>
      <c r="B141" s="27" t="s">
        <v>588</v>
      </c>
      <c r="C141" s="27"/>
      <c r="D141" s="7">
        <v>4821466</v>
      </c>
      <c r="E141" s="7"/>
      <c r="F141" s="7"/>
      <c r="G141" s="7">
        <f t="shared" si="4"/>
        <v>29</v>
      </c>
      <c r="H141" s="7">
        <f t="shared" si="5"/>
        <v>1</v>
      </c>
      <c r="I141" s="7">
        <v>0</v>
      </c>
      <c r="J141" s="7">
        <v>1</v>
      </c>
      <c r="K141" s="17">
        <v>45138</v>
      </c>
      <c r="L141" s="17">
        <v>34414</v>
      </c>
      <c r="M141" s="7" t="s">
        <v>55</v>
      </c>
      <c r="N141" s="7" t="s">
        <v>91</v>
      </c>
      <c r="O141" s="7" t="s">
        <v>48</v>
      </c>
      <c r="P141"/>
      <c r="Q141" t="s">
        <v>50</v>
      </c>
      <c r="R141"/>
      <c r="S141"/>
      <c r="T141"/>
      <c r="U141"/>
      <c r="V141"/>
      <c r="W141"/>
      <c r="X141" t="s">
        <v>50</v>
      </c>
      <c r="Y141" t="s">
        <v>589</v>
      </c>
      <c r="Z141" t="s">
        <v>50</v>
      </c>
      <c r="AA141" t="s">
        <v>50</v>
      </c>
      <c r="AB141" t="s">
        <v>50</v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</row>
    <row r="142" spans="1:41" ht="14.45">
      <c r="A142" s="34" t="s">
        <v>590</v>
      </c>
      <c r="B142" s="27" t="s">
        <v>591</v>
      </c>
      <c r="C142" s="27"/>
      <c r="D142" s="7">
        <v>3980598</v>
      </c>
      <c r="E142" s="7"/>
      <c r="F142" s="7">
        <v>41</v>
      </c>
      <c r="G142" s="7">
        <f t="shared" si="4"/>
        <v>53</v>
      </c>
      <c r="H142" s="7">
        <f t="shared" si="5"/>
        <v>0</v>
      </c>
      <c r="I142" s="7">
        <v>0</v>
      </c>
      <c r="J142" s="7">
        <v>1</v>
      </c>
      <c r="K142" s="17">
        <v>45138</v>
      </c>
      <c r="L142" s="17">
        <v>25636</v>
      </c>
      <c r="M142" s="7" t="s">
        <v>55</v>
      </c>
      <c r="N142" s="7" t="s">
        <v>155</v>
      </c>
      <c r="O142" s="7" t="s">
        <v>43</v>
      </c>
      <c r="P142" s="7"/>
      <c r="Q142" s="7" t="s">
        <v>50</v>
      </c>
      <c r="X142" t="s">
        <v>592</v>
      </c>
      <c r="Y142" s="7" t="s">
        <v>50</v>
      </c>
      <c r="Z142" s="7" t="s">
        <v>50</v>
      </c>
      <c r="AA142" s="7" t="s">
        <v>50</v>
      </c>
      <c r="AB142" s="7" t="s">
        <v>50</v>
      </c>
    </row>
    <row r="143" spans="1:41" ht="14.45">
      <c r="A143" s="36" t="s">
        <v>593</v>
      </c>
      <c r="B143" s="27" t="s">
        <v>594</v>
      </c>
      <c r="C143" s="27"/>
      <c r="D143" s="36">
        <v>2358493</v>
      </c>
      <c r="E143" s="36"/>
      <c r="F143" s="36"/>
      <c r="G143" s="36">
        <f t="shared" si="4"/>
        <v>54</v>
      </c>
      <c r="H143" s="36">
        <f t="shared" si="5"/>
        <v>0</v>
      </c>
      <c r="I143" s="36">
        <v>0</v>
      </c>
      <c r="J143" s="36">
        <v>1</v>
      </c>
      <c r="K143" s="39">
        <v>45156</v>
      </c>
      <c r="L143" s="39">
        <v>25156</v>
      </c>
      <c r="M143" s="36" t="s">
        <v>55</v>
      </c>
      <c r="N143" s="36" t="s">
        <v>79</v>
      </c>
      <c r="O143" s="36" t="s">
        <v>43</v>
      </c>
      <c r="P143" s="36" t="s">
        <v>311</v>
      </c>
    </row>
    <row r="144" spans="1:41" ht="14.45">
      <c r="A144" s="36" t="s">
        <v>595</v>
      </c>
      <c r="B144" s="27" t="s">
        <v>596</v>
      </c>
      <c r="C144" s="27"/>
      <c r="D144" s="36">
        <v>7185648</v>
      </c>
      <c r="E144" s="36"/>
      <c r="F144" s="36"/>
      <c r="G144" s="36">
        <f t="shared" si="4"/>
        <v>55</v>
      </c>
      <c r="H144" s="36">
        <f t="shared" si="5"/>
        <v>0</v>
      </c>
      <c r="I144" s="36">
        <v>0</v>
      </c>
      <c r="J144" s="36">
        <v>1</v>
      </c>
      <c r="K144" s="39">
        <v>45159</v>
      </c>
      <c r="L144" s="39">
        <v>24840</v>
      </c>
      <c r="M144" s="36" t="s">
        <v>55</v>
      </c>
      <c r="N144" s="36" t="s">
        <v>47</v>
      </c>
      <c r="O144" s="36" t="s">
        <v>48</v>
      </c>
      <c r="P144" s="36" t="s">
        <v>311</v>
      </c>
    </row>
    <row r="145" spans="1:41" ht="14.45">
      <c r="A145" s="36" t="s">
        <v>597</v>
      </c>
      <c r="B145" s="27" t="s">
        <v>598</v>
      </c>
      <c r="C145" s="27"/>
      <c r="D145" s="36">
        <v>3067899</v>
      </c>
      <c r="E145" s="36"/>
      <c r="G145" s="36">
        <f t="shared" si="4"/>
        <v>75</v>
      </c>
      <c r="H145" s="36">
        <f t="shared" si="5"/>
        <v>0</v>
      </c>
      <c r="I145" s="36">
        <v>0</v>
      </c>
      <c r="J145" s="36">
        <v>1</v>
      </c>
      <c r="K145" s="39">
        <v>45162</v>
      </c>
      <c r="L145" s="39">
        <v>17517</v>
      </c>
      <c r="M145" s="36" t="s">
        <v>55</v>
      </c>
      <c r="N145" s="36" t="s">
        <v>47</v>
      </c>
      <c r="O145" s="36" t="s">
        <v>48</v>
      </c>
      <c r="P145" s="36" t="s">
        <v>311</v>
      </c>
    </row>
    <row r="146" spans="1:41" ht="14.45">
      <c r="A146" s="36" t="s">
        <v>599</v>
      </c>
      <c r="B146" s="27" t="s">
        <v>600</v>
      </c>
      <c r="C146" s="27"/>
      <c r="D146" s="36">
        <v>7187210</v>
      </c>
      <c r="E146" s="36"/>
      <c r="G146" s="36">
        <f t="shared" si="4"/>
        <v>64</v>
      </c>
      <c r="H146" s="36">
        <f t="shared" si="5"/>
        <v>0</v>
      </c>
      <c r="I146" s="36">
        <v>0</v>
      </c>
      <c r="J146" s="36">
        <v>1</v>
      </c>
      <c r="K146" s="39">
        <v>45162</v>
      </c>
      <c r="L146" s="39">
        <v>21464</v>
      </c>
      <c r="M146" s="36" t="s">
        <v>55</v>
      </c>
      <c r="N146" s="36" t="s">
        <v>47</v>
      </c>
      <c r="O146" s="36" t="s">
        <v>48</v>
      </c>
      <c r="P146" s="36" t="s">
        <v>311</v>
      </c>
    </row>
    <row r="147" spans="1:41" s="32" customFormat="1" ht="14.45">
      <c r="A147" s="36" t="s">
        <v>601</v>
      </c>
      <c r="B147" s="27" t="s">
        <v>602</v>
      </c>
      <c r="C147" s="27"/>
      <c r="D147" s="36">
        <v>4952604</v>
      </c>
      <c r="E147" s="36"/>
      <c r="F147"/>
      <c r="G147" s="36">
        <f t="shared" si="4"/>
        <v>59</v>
      </c>
      <c r="H147" s="36">
        <f t="shared" si="5"/>
        <v>0</v>
      </c>
      <c r="I147" s="36">
        <v>0</v>
      </c>
      <c r="J147" s="36">
        <v>1</v>
      </c>
      <c r="K147" s="39">
        <v>45167</v>
      </c>
      <c r="L147" s="39">
        <v>23296</v>
      </c>
      <c r="M147" s="36" t="s">
        <v>106</v>
      </c>
      <c r="N147" s="36" t="s">
        <v>47</v>
      </c>
      <c r="O147" s="36" t="s">
        <v>48</v>
      </c>
      <c r="P147" s="36" t="s">
        <v>311</v>
      </c>
      <c r="Q147" s="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</row>
    <row r="148" spans="1:41" s="32" customFormat="1" ht="14.45">
      <c r="A148" s="36" t="s">
        <v>603</v>
      </c>
      <c r="B148" s="27" t="s">
        <v>604</v>
      </c>
      <c r="C148" s="27"/>
      <c r="D148" s="36">
        <v>7189218</v>
      </c>
      <c r="E148" s="36"/>
      <c r="F148"/>
      <c r="G148" s="36">
        <f t="shared" si="4"/>
        <v>43</v>
      </c>
      <c r="H148" s="36">
        <f t="shared" si="5"/>
        <v>0</v>
      </c>
      <c r="I148" s="36">
        <v>0</v>
      </c>
      <c r="J148" s="36">
        <v>1</v>
      </c>
      <c r="K148" s="39">
        <v>45167</v>
      </c>
      <c r="L148" s="39">
        <v>29199</v>
      </c>
      <c r="M148" s="36" t="s">
        <v>55</v>
      </c>
      <c r="N148" s="36" t="s">
        <v>155</v>
      </c>
      <c r="O148" s="36" t="s">
        <v>43</v>
      </c>
      <c r="P148" s="36" t="s">
        <v>311</v>
      </c>
      <c r="Q148" s="7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</row>
    <row r="149" spans="1:41" s="32" customFormat="1" ht="14.45">
      <c r="A149" s="36" t="s">
        <v>605</v>
      </c>
      <c r="B149" s="27" t="s">
        <v>606</v>
      </c>
      <c r="C149" s="27"/>
      <c r="D149" s="36">
        <v>7186079</v>
      </c>
      <c r="E149" s="36"/>
      <c r="F149"/>
      <c r="G149" s="36">
        <f t="shared" si="4"/>
        <v>64</v>
      </c>
      <c r="H149" s="36">
        <f t="shared" si="5"/>
        <v>0</v>
      </c>
      <c r="I149" s="36">
        <v>0</v>
      </c>
      <c r="J149" s="36">
        <v>1</v>
      </c>
      <c r="K149" s="39">
        <v>45167</v>
      </c>
      <c r="L149" s="39">
        <v>21774</v>
      </c>
      <c r="M149" s="36" t="s">
        <v>106</v>
      </c>
      <c r="N149" s="36" t="s">
        <v>91</v>
      </c>
      <c r="O149" s="36" t="s">
        <v>48</v>
      </c>
      <c r="P149" s="36" t="s">
        <v>311</v>
      </c>
      <c r="Q149" s="7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</row>
    <row r="150" spans="1:41" s="32" customFormat="1" ht="14.45">
      <c r="A150" s="36" t="s">
        <v>607</v>
      </c>
      <c r="B150" s="27" t="s">
        <v>608</v>
      </c>
      <c r="C150" s="27"/>
      <c r="D150" s="36">
        <v>7191566</v>
      </c>
      <c r="E150" s="36"/>
      <c r="F150"/>
      <c r="G150" s="36">
        <f t="shared" si="4"/>
        <v>59</v>
      </c>
      <c r="H150" s="36">
        <f t="shared" si="5"/>
        <v>0</v>
      </c>
      <c r="I150" s="36">
        <v>0</v>
      </c>
      <c r="J150" s="36">
        <v>1</v>
      </c>
      <c r="K150" s="39">
        <v>45180</v>
      </c>
      <c r="L150" s="39">
        <v>23473</v>
      </c>
      <c r="M150" s="36" t="s">
        <v>46</v>
      </c>
      <c r="N150" s="36" t="s">
        <v>47</v>
      </c>
      <c r="O150" s="36" t="s">
        <v>48</v>
      </c>
      <c r="P150" s="36" t="s">
        <v>311</v>
      </c>
      <c r="Q150" s="7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</row>
    <row r="151" spans="1:41" s="32" customFormat="1" ht="14.45">
      <c r="A151" s="36" t="s">
        <v>609</v>
      </c>
      <c r="B151" s="27" t="s">
        <v>610</v>
      </c>
      <c r="C151" s="27"/>
      <c r="D151" s="36">
        <v>7193845</v>
      </c>
      <c r="E151" s="36"/>
      <c r="F151"/>
      <c r="G151" s="36">
        <f t="shared" si="4"/>
        <v>30</v>
      </c>
      <c r="H151" s="36">
        <f t="shared" si="5"/>
        <v>1</v>
      </c>
      <c r="I151" s="36">
        <v>0</v>
      </c>
      <c r="J151" s="36">
        <v>1</v>
      </c>
      <c r="K151" s="39">
        <v>45180</v>
      </c>
      <c r="L151" s="39">
        <v>33988</v>
      </c>
      <c r="M151" s="36" t="s">
        <v>55</v>
      </c>
      <c r="N151" s="36" t="s">
        <v>70</v>
      </c>
      <c r="O151" s="36" t="s">
        <v>43</v>
      </c>
      <c r="P151" s="36" t="s">
        <v>311</v>
      </c>
      <c r="Q151" s="7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</row>
    <row r="152" spans="1:41" s="32" customFormat="1" ht="14.45">
      <c r="A152" s="36" t="s">
        <v>611</v>
      </c>
      <c r="B152" s="27" t="s">
        <v>612</v>
      </c>
      <c r="C152" s="27"/>
      <c r="D152" s="36">
        <v>7192749</v>
      </c>
      <c r="E152" s="36"/>
      <c r="F152"/>
      <c r="G152" s="36">
        <f t="shared" si="4"/>
        <v>66</v>
      </c>
      <c r="H152" s="36">
        <f t="shared" si="5"/>
        <v>0</v>
      </c>
      <c r="I152" s="36">
        <v>0</v>
      </c>
      <c r="J152" s="36">
        <v>1</v>
      </c>
      <c r="K152" s="39">
        <v>45184</v>
      </c>
      <c r="L152" s="39">
        <v>20897</v>
      </c>
      <c r="M152" s="36" t="s">
        <v>46</v>
      </c>
      <c r="N152" s="36" t="s">
        <v>47</v>
      </c>
      <c r="O152" s="36" t="s">
        <v>48</v>
      </c>
      <c r="P152" s="36" t="s">
        <v>311</v>
      </c>
      <c r="Q152" s="7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</row>
    <row r="153" spans="1:41" ht="14.45">
      <c r="A153" s="36" t="s">
        <v>613</v>
      </c>
      <c r="B153" s="27" t="s">
        <v>614</v>
      </c>
      <c r="C153" s="27"/>
      <c r="D153" s="36">
        <v>7196873</v>
      </c>
      <c r="E153" s="36"/>
      <c r="G153" s="36">
        <f t="shared" si="4"/>
        <v>52</v>
      </c>
      <c r="H153" s="36">
        <f t="shared" si="5"/>
        <v>0</v>
      </c>
      <c r="I153" s="36">
        <v>0</v>
      </c>
      <c r="J153" s="36">
        <v>1</v>
      </c>
      <c r="K153" s="39">
        <v>45187</v>
      </c>
      <c r="L153" s="39">
        <v>25987</v>
      </c>
      <c r="M153" s="36" t="s">
        <v>46</v>
      </c>
      <c r="N153" s="36" t="s">
        <v>155</v>
      </c>
      <c r="O153" s="36" t="s">
        <v>43</v>
      </c>
      <c r="P153" s="36" t="s">
        <v>311</v>
      </c>
    </row>
    <row r="154" spans="1:41" ht="14.45">
      <c r="A154" s="36" t="s">
        <v>615</v>
      </c>
      <c r="B154" s="27" t="s">
        <v>616</v>
      </c>
      <c r="C154" s="27"/>
      <c r="D154" s="36">
        <v>7196892</v>
      </c>
      <c r="E154" s="36"/>
      <c r="G154" s="36">
        <f t="shared" si="4"/>
        <v>58</v>
      </c>
      <c r="H154" s="36">
        <f t="shared" si="5"/>
        <v>0</v>
      </c>
      <c r="I154" s="36">
        <v>0</v>
      </c>
      <c r="J154" s="36">
        <v>1</v>
      </c>
      <c r="K154" s="39">
        <v>45187</v>
      </c>
      <c r="L154" s="39">
        <v>23959</v>
      </c>
      <c r="M154" s="36" t="s">
        <v>106</v>
      </c>
      <c r="N154" s="36" t="s">
        <v>47</v>
      </c>
      <c r="O154" s="36" t="s">
        <v>48</v>
      </c>
      <c r="P154" s="36" t="s">
        <v>311</v>
      </c>
    </row>
    <row r="155" spans="1:41" ht="14.45">
      <c r="A155" s="34" t="s">
        <v>617</v>
      </c>
      <c r="B155" s="27" t="s">
        <v>618</v>
      </c>
      <c r="C155" s="27"/>
      <c r="D155" s="7">
        <v>2770017</v>
      </c>
      <c r="E155" s="7"/>
      <c r="F155" s="7">
        <v>23</v>
      </c>
      <c r="G155" s="7">
        <f t="shared" si="4"/>
        <v>48</v>
      </c>
      <c r="H155" s="7">
        <f t="shared" si="5"/>
        <v>0</v>
      </c>
      <c r="I155" s="7">
        <v>0</v>
      </c>
      <c r="J155" s="7">
        <v>0</v>
      </c>
      <c r="K155" s="17">
        <v>45187</v>
      </c>
      <c r="L155" s="17">
        <v>27582</v>
      </c>
      <c r="M155" s="7" t="s">
        <v>232</v>
      </c>
      <c r="N155" s="7" t="s">
        <v>452</v>
      </c>
      <c r="O155" s="7" t="s">
        <v>43</v>
      </c>
      <c r="P155" s="7"/>
      <c r="Q155" s="7" t="s">
        <v>50</v>
      </c>
      <c r="X155" t="s">
        <v>50</v>
      </c>
      <c r="Y155" t="s">
        <v>50</v>
      </c>
      <c r="Z155" t="s">
        <v>50</v>
      </c>
      <c r="AA155" t="s">
        <v>50</v>
      </c>
      <c r="AB155" t="s">
        <v>64</v>
      </c>
    </row>
    <row r="156" spans="1:41" s="32" customFormat="1" ht="14.45">
      <c r="A156" s="36" t="s">
        <v>619</v>
      </c>
      <c r="B156" s="27" t="s">
        <v>620</v>
      </c>
      <c r="C156" s="27"/>
      <c r="D156" s="36">
        <v>7196900</v>
      </c>
      <c r="E156" s="36"/>
      <c r="F156"/>
      <c r="G156" s="36">
        <f t="shared" si="4"/>
        <v>63</v>
      </c>
      <c r="H156" s="36">
        <f t="shared" si="5"/>
        <v>0</v>
      </c>
      <c r="I156" s="36">
        <v>0</v>
      </c>
      <c r="J156" s="36">
        <v>1</v>
      </c>
      <c r="K156" s="39">
        <v>45187</v>
      </c>
      <c r="L156" s="39">
        <v>21829</v>
      </c>
      <c r="M156" s="36" t="s">
        <v>55</v>
      </c>
      <c r="N156" s="36" t="s">
        <v>47</v>
      </c>
      <c r="O156" s="36" t="s">
        <v>48</v>
      </c>
      <c r="P156" s="36" t="s">
        <v>311</v>
      </c>
      <c r="Q156" s="7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</row>
    <row r="157" spans="1:41" s="32" customFormat="1" ht="14.45">
      <c r="A157" s="36" t="s">
        <v>621</v>
      </c>
      <c r="B157" s="27" t="s">
        <v>622</v>
      </c>
      <c r="C157" s="27"/>
      <c r="D157" s="36">
        <v>7198467</v>
      </c>
      <c r="E157" s="36"/>
      <c r="F157"/>
      <c r="G157" s="36">
        <f t="shared" si="4"/>
        <v>45</v>
      </c>
      <c r="H157" s="36">
        <f t="shared" si="5"/>
        <v>0</v>
      </c>
      <c r="I157" s="36">
        <v>0</v>
      </c>
      <c r="J157" s="36">
        <v>1</v>
      </c>
      <c r="K157" s="39">
        <v>45190</v>
      </c>
      <c r="L157" s="39">
        <v>28613</v>
      </c>
      <c r="M157" s="36" t="s">
        <v>46</v>
      </c>
      <c r="N157" s="36" t="s">
        <v>47</v>
      </c>
      <c r="O157" s="36" t="s">
        <v>48</v>
      </c>
      <c r="P157" s="36" t="s">
        <v>311</v>
      </c>
      <c r="Q157" s="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</row>
    <row r="158" spans="1:41" s="32" customFormat="1" ht="14.45">
      <c r="A158" s="36" t="s">
        <v>623</v>
      </c>
      <c r="B158" s="27" t="s">
        <v>624</v>
      </c>
      <c r="C158" s="27"/>
      <c r="D158" s="36">
        <v>7199903</v>
      </c>
      <c r="E158" s="36"/>
      <c r="F158"/>
      <c r="G158" s="36">
        <f t="shared" si="4"/>
        <v>45</v>
      </c>
      <c r="H158" s="36">
        <f t="shared" si="5"/>
        <v>0</v>
      </c>
      <c r="I158" s="36">
        <v>0</v>
      </c>
      <c r="J158" s="36">
        <v>1</v>
      </c>
      <c r="K158" s="39">
        <v>45194</v>
      </c>
      <c r="L158" s="39">
        <v>28589</v>
      </c>
      <c r="M158" s="36" t="s">
        <v>55</v>
      </c>
      <c r="N158" s="36" t="s">
        <v>47</v>
      </c>
      <c r="O158" s="36" t="s">
        <v>48</v>
      </c>
      <c r="P158" s="36" t="s">
        <v>311</v>
      </c>
      <c r="Q158" s="7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</row>
    <row r="159" spans="1:41" ht="14.45">
      <c r="A159" s="36" t="s">
        <v>625</v>
      </c>
      <c r="B159" s="27" t="s">
        <v>626</v>
      </c>
      <c r="C159" s="27"/>
      <c r="D159" s="36">
        <v>7199909</v>
      </c>
      <c r="E159" s="36"/>
      <c r="G159" s="36">
        <f t="shared" si="4"/>
        <v>59</v>
      </c>
      <c r="H159" s="36">
        <f t="shared" si="5"/>
        <v>0</v>
      </c>
      <c r="I159" s="36">
        <v>0</v>
      </c>
      <c r="J159" s="36">
        <v>1</v>
      </c>
      <c r="K159" s="39">
        <v>45194</v>
      </c>
      <c r="L159" s="39">
        <v>23288</v>
      </c>
      <c r="M159" s="36" t="s">
        <v>55</v>
      </c>
      <c r="N159" s="36" t="s">
        <v>47</v>
      </c>
      <c r="O159" s="36" t="s">
        <v>48</v>
      </c>
      <c r="P159" s="36" t="s">
        <v>311</v>
      </c>
    </row>
    <row r="160" spans="1:41" ht="14.45">
      <c r="A160" s="36" t="s">
        <v>627</v>
      </c>
      <c r="B160" s="27" t="s">
        <v>628</v>
      </c>
      <c r="C160" s="27"/>
      <c r="D160" s="36">
        <v>7200160</v>
      </c>
      <c r="E160" s="36"/>
      <c r="G160" s="36">
        <f t="shared" si="4"/>
        <v>52</v>
      </c>
      <c r="H160" s="36">
        <f t="shared" si="5"/>
        <v>0</v>
      </c>
      <c r="I160" s="36">
        <v>0</v>
      </c>
      <c r="J160" s="36">
        <v>1</v>
      </c>
      <c r="K160" s="39">
        <v>45194</v>
      </c>
      <c r="L160" s="39">
        <v>25890</v>
      </c>
      <c r="M160" s="36" t="s">
        <v>55</v>
      </c>
      <c r="N160" s="36" t="s">
        <v>47</v>
      </c>
      <c r="O160" s="36" t="s">
        <v>48</v>
      </c>
      <c r="P160" s="36" t="s">
        <v>311</v>
      </c>
    </row>
    <row r="161" spans="1:41" ht="14.45">
      <c r="A161" s="36" t="s">
        <v>629</v>
      </c>
      <c r="B161" s="27" t="s">
        <v>630</v>
      </c>
      <c r="C161" s="27"/>
      <c r="D161" s="36">
        <v>7200168</v>
      </c>
      <c r="E161" s="36"/>
      <c r="G161" s="36">
        <f t="shared" si="4"/>
        <v>54</v>
      </c>
      <c r="H161" s="36">
        <f t="shared" si="5"/>
        <v>0</v>
      </c>
      <c r="I161" s="36">
        <v>0</v>
      </c>
      <c r="J161" s="36">
        <v>1</v>
      </c>
      <c r="K161" s="39">
        <v>45194</v>
      </c>
      <c r="L161" s="39">
        <v>25421</v>
      </c>
      <c r="M161" s="36" t="s">
        <v>55</v>
      </c>
      <c r="N161" s="36" t="s">
        <v>47</v>
      </c>
      <c r="O161" s="36" t="s">
        <v>48</v>
      </c>
      <c r="P161" s="36" t="s">
        <v>311</v>
      </c>
    </row>
    <row r="162" spans="1:41" ht="14.45">
      <c r="A162" s="34" t="s">
        <v>631</v>
      </c>
      <c r="B162" s="27" t="s">
        <v>632</v>
      </c>
      <c r="C162" s="27"/>
      <c r="D162" s="7">
        <v>7160559</v>
      </c>
      <c r="E162" s="7"/>
      <c r="F162" s="7"/>
      <c r="G162" s="7">
        <f t="shared" si="4"/>
        <v>19</v>
      </c>
      <c r="H162" s="7">
        <f t="shared" si="5"/>
        <v>1</v>
      </c>
      <c r="I162" s="7">
        <v>0</v>
      </c>
      <c r="J162" s="7">
        <v>1</v>
      </c>
      <c r="K162" s="17">
        <v>45195</v>
      </c>
      <c r="L162" s="17">
        <v>37947</v>
      </c>
      <c r="M162" s="7" t="s">
        <v>55</v>
      </c>
      <c r="N162" s="7" t="s">
        <v>70</v>
      </c>
      <c r="O162" s="7" t="s">
        <v>48</v>
      </c>
      <c r="P162" s="7"/>
      <c r="Q162" t="s">
        <v>50</v>
      </c>
      <c r="X162" t="s">
        <v>50</v>
      </c>
      <c r="Y162" t="s">
        <v>64</v>
      </c>
      <c r="Z162" t="s">
        <v>50</v>
      </c>
      <c r="AA162" t="s">
        <v>50</v>
      </c>
      <c r="AB162" t="s">
        <v>50</v>
      </c>
    </row>
    <row r="163" spans="1:41" s="32" customFormat="1" ht="14.45">
      <c r="A163" s="36" t="s">
        <v>633</v>
      </c>
      <c r="B163" s="27" t="s">
        <v>634</v>
      </c>
      <c r="C163" s="27"/>
      <c r="D163" s="36">
        <v>7201744</v>
      </c>
      <c r="E163" s="36"/>
      <c r="F163" s="36"/>
      <c r="G163" s="36">
        <f t="shared" si="4"/>
        <v>70</v>
      </c>
      <c r="H163" s="36">
        <f t="shared" si="5"/>
        <v>0</v>
      </c>
      <c r="I163" s="36">
        <v>0</v>
      </c>
      <c r="J163" s="36">
        <v>1</v>
      </c>
      <c r="K163" s="39">
        <v>45197</v>
      </c>
      <c r="L163" s="39">
        <v>19426</v>
      </c>
      <c r="M163" s="36" t="s">
        <v>46</v>
      </c>
      <c r="N163" s="36" t="s">
        <v>47</v>
      </c>
      <c r="O163" s="36" t="s">
        <v>48</v>
      </c>
      <c r="P163" s="36" t="s">
        <v>311</v>
      </c>
      <c r="Q163" s="7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</row>
    <row r="164" spans="1:41" ht="14.45">
      <c r="A164" s="36" t="s">
        <v>635</v>
      </c>
      <c r="B164" s="27" t="s">
        <v>636</v>
      </c>
      <c r="C164" s="27"/>
      <c r="D164" s="36">
        <v>7203063</v>
      </c>
      <c r="E164" s="36"/>
      <c r="G164" s="36">
        <f t="shared" si="4"/>
        <v>52</v>
      </c>
      <c r="H164" s="36">
        <f t="shared" si="5"/>
        <v>0</v>
      </c>
      <c r="I164" s="36">
        <v>0</v>
      </c>
      <c r="J164" s="36">
        <v>1</v>
      </c>
      <c r="K164" s="39">
        <v>45201</v>
      </c>
      <c r="L164" s="39">
        <v>26052</v>
      </c>
      <c r="M164" s="36" t="s">
        <v>55</v>
      </c>
      <c r="N164" s="36" t="s">
        <v>47</v>
      </c>
      <c r="O164" s="36" t="s">
        <v>48</v>
      </c>
      <c r="P164" s="36" t="s">
        <v>311</v>
      </c>
      <c r="R164" s="32"/>
      <c r="S164" s="32"/>
      <c r="T164" s="32"/>
      <c r="U164" s="32"/>
      <c r="V164" s="32"/>
      <c r="W164" s="32"/>
    </row>
    <row r="165" spans="1:41" ht="14.45">
      <c r="A165" s="34" t="s">
        <v>637</v>
      </c>
      <c r="B165" s="27" t="s">
        <v>638</v>
      </c>
      <c r="C165" s="27"/>
      <c r="D165" s="7">
        <v>7197219</v>
      </c>
      <c r="E165" s="7"/>
      <c r="F165" s="7"/>
      <c r="G165" s="7">
        <f t="shared" si="4"/>
        <v>40</v>
      </c>
      <c r="H165" s="7">
        <f t="shared" si="5"/>
        <v>0</v>
      </c>
      <c r="I165" s="7">
        <v>0</v>
      </c>
      <c r="J165" s="7">
        <v>1</v>
      </c>
      <c r="K165" s="17">
        <v>45202</v>
      </c>
      <c r="L165" s="17">
        <v>30245</v>
      </c>
      <c r="M165" s="7" t="s">
        <v>55</v>
      </c>
      <c r="N165" s="7" t="s">
        <v>155</v>
      </c>
      <c r="O165" s="7" t="s">
        <v>48</v>
      </c>
      <c r="Q165" t="s">
        <v>50</v>
      </c>
      <c r="X165" t="s">
        <v>639</v>
      </c>
      <c r="Y165" t="s">
        <v>640</v>
      </c>
      <c r="Z165" t="s">
        <v>50</v>
      </c>
      <c r="AA165" t="s">
        <v>50</v>
      </c>
      <c r="AB165" t="s">
        <v>50</v>
      </c>
    </row>
    <row r="166" spans="1:41" s="32" customFormat="1" ht="14.45">
      <c r="A166" s="34" t="s">
        <v>641</v>
      </c>
      <c r="B166" s="27" t="s">
        <v>642</v>
      </c>
      <c r="C166" s="27"/>
      <c r="D166" s="7">
        <v>7086068</v>
      </c>
      <c r="E166" s="7"/>
      <c r="F166"/>
      <c r="G166" s="7">
        <f t="shared" si="4"/>
        <v>20</v>
      </c>
      <c r="H166" s="7">
        <f t="shared" si="5"/>
        <v>1</v>
      </c>
      <c r="I166" s="7">
        <v>0</v>
      </c>
      <c r="J166" s="7">
        <v>1</v>
      </c>
      <c r="K166" s="16">
        <v>45204</v>
      </c>
      <c r="L166" s="16">
        <v>37547</v>
      </c>
      <c r="M166" s="7" t="s">
        <v>106</v>
      </c>
      <c r="N166" s="7" t="s">
        <v>70</v>
      </c>
      <c r="O166" s="7" t="s">
        <v>48</v>
      </c>
      <c r="P166"/>
      <c r="Q166" t="s">
        <v>50</v>
      </c>
      <c r="R166" t="s">
        <v>50</v>
      </c>
      <c r="S166" t="s">
        <v>64</v>
      </c>
      <c r="T166" t="s">
        <v>50</v>
      </c>
      <c r="U166" t="s">
        <v>50</v>
      </c>
      <c r="V166" t="s">
        <v>50</v>
      </c>
      <c r="X166" t="s">
        <v>50</v>
      </c>
      <c r="Y166" t="s">
        <v>64</v>
      </c>
      <c r="Z166" t="s">
        <v>50</v>
      </c>
      <c r="AA166" t="s">
        <v>50</v>
      </c>
      <c r="AB166" t="s">
        <v>50</v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</row>
    <row r="167" spans="1:41" s="32" customFormat="1" ht="14.45">
      <c r="A167" s="34" t="s">
        <v>643</v>
      </c>
      <c r="B167" s="27" t="s">
        <v>644</v>
      </c>
      <c r="C167" s="27"/>
      <c r="D167" s="7">
        <v>7202866</v>
      </c>
      <c r="E167" s="7"/>
      <c r="F167"/>
      <c r="G167" s="7">
        <f t="shared" si="4"/>
        <v>58</v>
      </c>
      <c r="H167" s="7">
        <f t="shared" si="5"/>
        <v>0</v>
      </c>
      <c r="I167" s="7">
        <v>0</v>
      </c>
      <c r="J167" s="7">
        <v>1</v>
      </c>
      <c r="K167" s="16">
        <v>45209</v>
      </c>
      <c r="L167" s="16">
        <v>23779</v>
      </c>
      <c r="M167" s="7" t="s">
        <v>55</v>
      </c>
      <c r="N167" s="7" t="s">
        <v>79</v>
      </c>
      <c r="O167" s="7" t="s">
        <v>48</v>
      </c>
      <c r="P167"/>
      <c r="Q167" t="s">
        <v>50</v>
      </c>
      <c r="R167"/>
      <c r="S167"/>
      <c r="T167"/>
      <c r="U167"/>
      <c r="V167"/>
      <c r="W167"/>
      <c r="X167" t="s">
        <v>645</v>
      </c>
      <c r="Y167" t="s">
        <v>64</v>
      </c>
      <c r="Z167" t="s">
        <v>50</v>
      </c>
      <c r="AA167" t="s">
        <v>50</v>
      </c>
      <c r="AB167" t="s">
        <v>50</v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</row>
    <row r="168" spans="1:41" s="32" customFormat="1" ht="14.45">
      <c r="A168" s="36" t="s">
        <v>646</v>
      </c>
      <c r="B168" s="27" t="s">
        <v>647</v>
      </c>
      <c r="C168" s="27"/>
      <c r="D168" s="36">
        <v>7205095</v>
      </c>
      <c r="E168" s="36"/>
      <c r="F168" s="36"/>
      <c r="G168" s="36">
        <f t="shared" si="4"/>
        <v>27</v>
      </c>
      <c r="H168" s="36">
        <f t="shared" si="5"/>
        <v>1</v>
      </c>
      <c r="I168" s="36">
        <v>0</v>
      </c>
      <c r="J168" s="36">
        <v>1</v>
      </c>
      <c r="K168" s="39">
        <v>45209</v>
      </c>
      <c r="L168" s="39">
        <v>35019</v>
      </c>
      <c r="M168" s="36" t="s">
        <v>55</v>
      </c>
      <c r="N168" s="36" t="s">
        <v>79</v>
      </c>
      <c r="O168" s="36" t="s">
        <v>48</v>
      </c>
      <c r="P168" s="36" t="s">
        <v>311</v>
      </c>
      <c r="Q168" s="7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</row>
    <row r="169" spans="1:41" ht="14.45">
      <c r="A169" s="36" t="s">
        <v>648</v>
      </c>
      <c r="B169" s="27" t="s">
        <v>649</v>
      </c>
      <c r="C169" s="27"/>
      <c r="D169" s="36">
        <v>7206302</v>
      </c>
      <c r="E169" s="36"/>
      <c r="F169" s="36"/>
      <c r="G169" s="36">
        <f t="shared" si="4"/>
        <v>41</v>
      </c>
      <c r="H169" s="36">
        <f t="shared" si="5"/>
        <v>0</v>
      </c>
      <c r="I169" s="36">
        <v>0</v>
      </c>
      <c r="J169" s="36">
        <v>1</v>
      </c>
      <c r="K169" s="39">
        <v>45209</v>
      </c>
      <c r="L169" s="39">
        <v>30226</v>
      </c>
      <c r="M169" s="36" t="s">
        <v>106</v>
      </c>
      <c r="N169" s="36" t="s">
        <v>47</v>
      </c>
      <c r="O169" s="36" t="s">
        <v>43</v>
      </c>
      <c r="P169" s="36" t="s">
        <v>311</v>
      </c>
    </row>
    <row r="170" spans="1:41" ht="14.45">
      <c r="A170" s="36" t="s">
        <v>650</v>
      </c>
      <c r="B170" s="27" t="s">
        <v>651</v>
      </c>
      <c r="C170" s="27"/>
      <c r="D170" s="36">
        <v>7208992</v>
      </c>
      <c r="E170" s="36"/>
      <c r="F170" s="36"/>
      <c r="G170" s="36">
        <f t="shared" si="4"/>
        <v>41</v>
      </c>
      <c r="H170" s="36">
        <f t="shared" si="5"/>
        <v>0</v>
      </c>
      <c r="I170" s="36">
        <v>0</v>
      </c>
      <c r="J170" s="36">
        <v>1</v>
      </c>
      <c r="K170" s="39">
        <v>45215</v>
      </c>
      <c r="L170" s="39">
        <v>30224</v>
      </c>
      <c r="M170" s="36" t="s">
        <v>55</v>
      </c>
      <c r="N170" s="36" t="s">
        <v>79</v>
      </c>
      <c r="O170" s="36" t="s">
        <v>48</v>
      </c>
      <c r="P170" s="36" t="s">
        <v>311</v>
      </c>
    </row>
    <row r="171" spans="1:41" ht="14.45">
      <c r="A171" s="34" t="s">
        <v>652</v>
      </c>
      <c r="B171" s="27" t="s">
        <v>653</v>
      </c>
      <c r="C171" s="27"/>
      <c r="D171" s="7">
        <v>4051004</v>
      </c>
      <c r="E171" s="7"/>
      <c r="F171" s="7"/>
      <c r="G171" s="7">
        <f t="shared" si="4"/>
        <v>43</v>
      </c>
      <c r="H171" s="7">
        <f t="shared" si="5"/>
        <v>0</v>
      </c>
      <c r="I171" s="7">
        <v>0</v>
      </c>
      <c r="J171" s="7">
        <v>1</v>
      </c>
      <c r="K171" s="17">
        <v>45216</v>
      </c>
      <c r="L171" s="17">
        <v>29179</v>
      </c>
      <c r="M171" s="7" t="s">
        <v>46</v>
      </c>
      <c r="N171" s="7" t="s">
        <v>70</v>
      </c>
      <c r="O171" s="7" t="s">
        <v>48</v>
      </c>
      <c r="P171" s="7"/>
      <c r="Q171" t="s">
        <v>50</v>
      </c>
      <c r="X171" t="s">
        <v>50</v>
      </c>
      <c r="Y171" t="s">
        <v>64</v>
      </c>
      <c r="Z171" t="s">
        <v>50</v>
      </c>
      <c r="AA171" t="s">
        <v>50</v>
      </c>
      <c r="AB171" t="s">
        <v>50</v>
      </c>
    </row>
    <row r="172" spans="1:41" s="32" customFormat="1" ht="14.45">
      <c r="A172" s="34" t="s">
        <v>654</v>
      </c>
      <c r="B172" s="27" t="s">
        <v>655</v>
      </c>
      <c r="C172" s="27"/>
      <c r="D172" s="7">
        <v>3777854</v>
      </c>
      <c r="E172" s="7"/>
      <c r="F172" s="7"/>
      <c r="G172" s="7">
        <f t="shared" si="4"/>
        <v>37</v>
      </c>
      <c r="H172" s="7">
        <f t="shared" si="5"/>
        <v>1</v>
      </c>
      <c r="I172" s="7">
        <v>0</v>
      </c>
      <c r="J172" s="7">
        <v>1</v>
      </c>
      <c r="K172" s="17">
        <v>45217</v>
      </c>
      <c r="L172" s="17">
        <v>31508</v>
      </c>
      <c r="M172" s="7" t="s">
        <v>55</v>
      </c>
      <c r="N172" s="7" t="s">
        <v>155</v>
      </c>
      <c r="O172" s="7" t="s">
        <v>48</v>
      </c>
      <c r="P172" s="7"/>
      <c r="Q172" s="7" t="s">
        <v>50</v>
      </c>
      <c r="R172"/>
      <c r="S172"/>
      <c r="T172"/>
      <c r="U172"/>
      <c r="V172"/>
      <c r="W172"/>
      <c r="X172" t="s">
        <v>656</v>
      </c>
      <c r="Y172" t="s">
        <v>50</v>
      </c>
      <c r="Z172" t="s">
        <v>50</v>
      </c>
      <c r="AA172" t="s">
        <v>50</v>
      </c>
      <c r="AB172" t="s">
        <v>50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</row>
    <row r="173" spans="1:41" ht="14.45">
      <c r="A173" s="36" t="s">
        <v>657</v>
      </c>
      <c r="B173" s="27" t="s">
        <v>658</v>
      </c>
      <c r="C173" s="27"/>
      <c r="D173" s="36">
        <v>7210068</v>
      </c>
      <c r="E173" s="36"/>
      <c r="F173" s="36"/>
      <c r="G173" s="36">
        <f t="shared" si="4"/>
        <v>36</v>
      </c>
      <c r="H173" s="36">
        <f t="shared" si="5"/>
        <v>1</v>
      </c>
      <c r="I173" s="36">
        <v>0</v>
      </c>
      <c r="J173" s="36">
        <v>1</v>
      </c>
      <c r="K173" s="39">
        <v>45217</v>
      </c>
      <c r="L173" s="39">
        <v>31736</v>
      </c>
      <c r="M173" s="36" t="s">
        <v>55</v>
      </c>
      <c r="N173" s="36" t="s">
        <v>91</v>
      </c>
      <c r="O173" s="36" t="s">
        <v>43</v>
      </c>
      <c r="P173" s="36" t="s">
        <v>311</v>
      </c>
      <c r="R173" s="32"/>
      <c r="S173" s="32"/>
      <c r="T173" s="32"/>
      <c r="U173" s="32"/>
      <c r="V173" s="32"/>
      <c r="W173" s="32"/>
    </row>
    <row r="174" spans="1:41" ht="14.45">
      <c r="A174" s="36" t="s">
        <v>659</v>
      </c>
      <c r="B174" s="27" t="s">
        <v>660</v>
      </c>
      <c r="C174" s="27"/>
      <c r="D174" s="36">
        <v>7211134</v>
      </c>
      <c r="E174" s="36"/>
      <c r="F174" s="36"/>
      <c r="G174" s="36">
        <f t="shared" si="4"/>
        <v>35</v>
      </c>
      <c r="H174" s="36">
        <f t="shared" si="5"/>
        <v>1</v>
      </c>
      <c r="I174" s="36">
        <v>0</v>
      </c>
      <c r="J174" s="36">
        <v>1</v>
      </c>
      <c r="K174" s="39">
        <v>45219</v>
      </c>
      <c r="L174" s="39">
        <v>32433</v>
      </c>
      <c r="M174" s="36" t="s">
        <v>55</v>
      </c>
      <c r="N174" s="36" t="s">
        <v>70</v>
      </c>
      <c r="O174" s="36" t="s">
        <v>48</v>
      </c>
      <c r="P174" s="36" t="s">
        <v>311</v>
      </c>
    </row>
    <row r="175" spans="1:41" ht="14.45">
      <c r="A175" s="36" t="s">
        <v>661</v>
      </c>
      <c r="B175" s="27" t="s">
        <v>662</v>
      </c>
      <c r="C175" s="27"/>
      <c r="D175" s="36">
        <v>7215792</v>
      </c>
      <c r="E175" s="36"/>
      <c r="F175" s="36"/>
      <c r="G175" s="36">
        <f t="shared" si="4"/>
        <v>50</v>
      </c>
      <c r="H175" s="36">
        <f t="shared" si="5"/>
        <v>0</v>
      </c>
      <c r="I175" s="36">
        <v>0</v>
      </c>
      <c r="J175" s="36">
        <v>1</v>
      </c>
      <c r="K175" s="39">
        <v>45231</v>
      </c>
      <c r="L175" s="39">
        <v>26865</v>
      </c>
      <c r="M175" s="36" t="s">
        <v>55</v>
      </c>
      <c r="N175" s="36" t="s">
        <v>47</v>
      </c>
      <c r="O175" s="36" t="s">
        <v>48</v>
      </c>
      <c r="P175" s="36" t="s">
        <v>311</v>
      </c>
    </row>
    <row r="176" spans="1:41" ht="14.45">
      <c r="A176" s="36" t="s">
        <v>663</v>
      </c>
      <c r="B176" s="27" t="s">
        <v>664</v>
      </c>
      <c r="C176" s="27"/>
      <c r="D176" s="36">
        <v>7217132</v>
      </c>
      <c r="E176" s="36"/>
      <c r="F176" s="36"/>
      <c r="G176" s="36">
        <f t="shared" si="4"/>
        <v>66</v>
      </c>
      <c r="H176" s="36">
        <f t="shared" si="5"/>
        <v>0</v>
      </c>
      <c r="I176" s="36">
        <v>0</v>
      </c>
      <c r="J176" s="36">
        <v>1</v>
      </c>
      <c r="K176" s="39">
        <v>45233</v>
      </c>
      <c r="L176" s="39">
        <v>20954</v>
      </c>
      <c r="M176" s="36" t="s">
        <v>55</v>
      </c>
      <c r="N176" s="36" t="s">
        <v>47</v>
      </c>
      <c r="O176" s="36" t="s">
        <v>48</v>
      </c>
      <c r="P176" s="36" t="s">
        <v>311</v>
      </c>
      <c r="R176" s="32"/>
      <c r="S176" s="32"/>
      <c r="T176" s="32"/>
      <c r="U176" s="32"/>
      <c r="V176" s="32"/>
      <c r="W176" s="32"/>
    </row>
    <row r="177" spans="1:41" s="32" customFormat="1" ht="14.45">
      <c r="A177" s="36" t="s">
        <v>665</v>
      </c>
      <c r="B177" s="27" t="s">
        <v>666</v>
      </c>
      <c r="C177" s="27"/>
      <c r="D177" s="36">
        <v>7217115</v>
      </c>
      <c r="E177" s="36"/>
      <c r="F177" s="36"/>
      <c r="G177" s="36">
        <f t="shared" si="4"/>
        <v>54</v>
      </c>
      <c r="H177" s="36">
        <f t="shared" si="5"/>
        <v>0</v>
      </c>
      <c r="I177" s="36">
        <v>0</v>
      </c>
      <c r="J177" s="36">
        <v>1</v>
      </c>
      <c r="K177" s="39">
        <v>45233</v>
      </c>
      <c r="L177" s="39">
        <v>25440</v>
      </c>
      <c r="M177" s="36" t="s">
        <v>55</v>
      </c>
      <c r="N177" s="36" t="s">
        <v>667</v>
      </c>
      <c r="O177" s="36" t="s">
        <v>48</v>
      </c>
      <c r="P177" s="36" t="s">
        <v>311</v>
      </c>
      <c r="Q177" s="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</row>
    <row r="178" spans="1:41" ht="14.45">
      <c r="A178" s="36" t="s">
        <v>668</v>
      </c>
      <c r="B178" s="27" t="s">
        <v>669</v>
      </c>
      <c r="C178" s="27"/>
      <c r="D178" s="36">
        <v>3114304</v>
      </c>
      <c r="E178" s="36"/>
      <c r="F178" s="36">
        <v>28</v>
      </c>
      <c r="G178" s="36">
        <f t="shared" si="4"/>
        <v>39</v>
      </c>
      <c r="H178" s="36">
        <f t="shared" si="5"/>
        <v>1</v>
      </c>
      <c r="I178" s="36">
        <v>0</v>
      </c>
      <c r="J178" s="36">
        <v>1</v>
      </c>
      <c r="K178" s="39">
        <v>45236</v>
      </c>
      <c r="L178" s="39">
        <v>30761</v>
      </c>
      <c r="M178" s="36" t="s">
        <v>106</v>
      </c>
      <c r="N178" s="36" t="s">
        <v>79</v>
      </c>
      <c r="O178" s="36" t="s">
        <v>48</v>
      </c>
      <c r="P178" s="36" t="s">
        <v>311</v>
      </c>
    </row>
    <row r="179" spans="1:41" ht="14.45">
      <c r="A179" s="7" t="s">
        <v>670</v>
      </c>
      <c r="B179" s="27" t="s">
        <v>671</v>
      </c>
      <c r="C179" s="27"/>
      <c r="D179" s="7">
        <v>4473174</v>
      </c>
      <c r="E179" s="7"/>
      <c r="F179">
        <v>23</v>
      </c>
      <c r="G179" s="7">
        <f t="shared" si="4"/>
        <v>24</v>
      </c>
      <c r="H179" s="7">
        <f t="shared" si="5"/>
        <v>1</v>
      </c>
      <c r="I179" s="7">
        <v>0</v>
      </c>
      <c r="J179" s="7">
        <v>1</v>
      </c>
      <c r="K179" s="16">
        <v>45237</v>
      </c>
      <c r="L179" s="16">
        <v>36297</v>
      </c>
      <c r="M179" s="7" t="s">
        <v>106</v>
      </c>
      <c r="N179" s="7" t="s">
        <v>70</v>
      </c>
      <c r="O179" s="7" t="s">
        <v>48</v>
      </c>
      <c r="P179" s="7"/>
    </row>
    <row r="180" spans="1:41" ht="14.45">
      <c r="A180" s="36" t="s">
        <v>672</v>
      </c>
      <c r="B180" s="27" t="s">
        <v>673</v>
      </c>
      <c r="C180" s="27"/>
      <c r="D180" s="36">
        <v>7215765</v>
      </c>
      <c r="E180" s="36"/>
      <c r="F180" s="36"/>
      <c r="G180" s="36">
        <f t="shared" si="4"/>
        <v>30</v>
      </c>
      <c r="H180" s="36">
        <f t="shared" si="5"/>
        <v>1</v>
      </c>
      <c r="I180" s="36">
        <v>0</v>
      </c>
      <c r="J180" s="36">
        <v>1</v>
      </c>
      <c r="K180" s="39">
        <v>45240</v>
      </c>
      <c r="L180" s="39">
        <v>34176</v>
      </c>
      <c r="M180" s="36" t="s">
        <v>46</v>
      </c>
      <c r="N180" s="36" t="s">
        <v>47</v>
      </c>
      <c r="O180" s="36" t="s">
        <v>48</v>
      </c>
      <c r="P180" s="36" t="s">
        <v>674</v>
      </c>
    </row>
    <row r="181" spans="1:41" ht="14.45">
      <c r="A181" s="36" t="s">
        <v>675</v>
      </c>
      <c r="B181" s="27" t="s">
        <v>676</v>
      </c>
      <c r="C181" s="27"/>
      <c r="D181" s="36">
        <v>4965176</v>
      </c>
      <c r="E181" s="36"/>
      <c r="F181" s="36"/>
      <c r="G181" s="36">
        <f t="shared" si="4"/>
        <v>60</v>
      </c>
      <c r="H181" s="36">
        <f t="shared" si="5"/>
        <v>0</v>
      </c>
      <c r="I181" s="36">
        <v>0</v>
      </c>
      <c r="J181" s="36">
        <v>1</v>
      </c>
      <c r="K181" s="39">
        <v>45240</v>
      </c>
      <c r="L181" s="39">
        <v>23103</v>
      </c>
      <c r="M181" s="36" t="s">
        <v>106</v>
      </c>
      <c r="N181" s="36" t="s">
        <v>47</v>
      </c>
      <c r="O181" s="36" t="s">
        <v>48</v>
      </c>
      <c r="P181" s="36" t="s">
        <v>311</v>
      </c>
    </row>
    <row r="182" spans="1:41" s="32" customFormat="1" ht="14.45">
      <c r="A182" s="36" t="s">
        <v>677</v>
      </c>
      <c r="B182" s="27" t="s">
        <v>678</v>
      </c>
      <c r="C182" s="27"/>
      <c r="D182" s="36">
        <v>7220831</v>
      </c>
      <c r="E182" s="36"/>
      <c r="F182"/>
      <c r="G182" s="36">
        <f t="shared" si="4"/>
        <v>75</v>
      </c>
      <c r="H182" s="36">
        <f t="shared" si="5"/>
        <v>0</v>
      </c>
      <c r="I182" s="36">
        <v>0</v>
      </c>
      <c r="J182" s="36">
        <v>1</v>
      </c>
      <c r="K182" s="39">
        <v>45243</v>
      </c>
      <c r="L182" s="39">
        <v>17600</v>
      </c>
      <c r="M182" s="36" t="s">
        <v>106</v>
      </c>
      <c r="N182" s="36" t="s">
        <v>47</v>
      </c>
      <c r="O182" s="36" t="s">
        <v>48</v>
      </c>
      <c r="P182" s="36" t="s">
        <v>311</v>
      </c>
      <c r="Q182" s="7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</row>
    <row r="183" spans="1:41" s="32" customFormat="1" ht="14.45">
      <c r="A183" s="36" t="s">
        <v>679</v>
      </c>
      <c r="B183" s="27" t="s">
        <v>680</v>
      </c>
      <c r="C183" s="27"/>
      <c r="D183" s="36">
        <v>7222166</v>
      </c>
      <c r="E183" s="36"/>
      <c r="F183"/>
      <c r="G183" s="36">
        <f t="shared" si="4"/>
        <v>67</v>
      </c>
      <c r="H183" s="36">
        <f t="shared" si="5"/>
        <v>0</v>
      </c>
      <c r="I183" s="36">
        <v>0</v>
      </c>
      <c r="J183" s="36">
        <v>1</v>
      </c>
      <c r="K183" s="39">
        <v>45246</v>
      </c>
      <c r="L183" s="39">
        <v>20681</v>
      </c>
      <c r="M183" s="36" t="s">
        <v>55</v>
      </c>
      <c r="N183" s="36" t="s">
        <v>47</v>
      </c>
      <c r="O183" s="36" t="s">
        <v>48</v>
      </c>
      <c r="P183" s="36" t="s">
        <v>311</v>
      </c>
      <c r="Q183" s="7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</row>
    <row r="184" spans="1:41" ht="14.45">
      <c r="A184" s="36" t="s">
        <v>681</v>
      </c>
      <c r="B184" s="27" t="s">
        <v>682</v>
      </c>
      <c r="C184" s="27"/>
      <c r="D184" s="36">
        <v>4882920</v>
      </c>
      <c r="E184" s="36"/>
      <c r="G184" s="36">
        <f t="shared" si="4"/>
        <v>54</v>
      </c>
      <c r="H184" s="36">
        <f t="shared" si="5"/>
        <v>0</v>
      </c>
      <c r="I184" s="36">
        <v>0</v>
      </c>
      <c r="J184" s="36">
        <v>1</v>
      </c>
      <c r="K184" s="39">
        <v>45251</v>
      </c>
      <c r="L184" s="39">
        <v>25241</v>
      </c>
      <c r="M184" s="36" t="s">
        <v>46</v>
      </c>
      <c r="N184" s="36" t="s">
        <v>47</v>
      </c>
      <c r="O184" s="36" t="s">
        <v>48</v>
      </c>
      <c r="P184" s="36" t="s">
        <v>531</v>
      </c>
    </row>
    <row r="185" spans="1:41" ht="14.45">
      <c r="A185" s="36" t="s">
        <v>683</v>
      </c>
      <c r="B185" s="27" t="s">
        <v>684</v>
      </c>
      <c r="C185" s="27"/>
      <c r="D185" s="36">
        <v>7224486</v>
      </c>
      <c r="E185" s="36"/>
      <c r="G185" s="36">
        <f t="shared" si="4"/>
        <v>20</v>
      </c>
      <c r="H185" s="36">
        <f t="shared" si="5"/>
        <v>1</v>
      </c>
      <c r="I185" s="36">
        <v>0</v>
      </c>
      <c r="J185" s="36">
        <v>0</v>
      </c>
      <c r="K185" s="39">
        <v>45251</v>
      </c>
      <c r="L185" s="39">
        <v>37903</v>
      </c>
      <c r="M185" s="36" t="s">
        <v>685</v>
      </c>
      <c r="N185" s="36" t="s">
        <v>180</v>
      </c>
      <c r="O185" s="36" t="s">
        <v>48</v>
      </c>
      <c r="P185" s="36" t="s">
        <v>311</v>
      </c>
    </row>
    <row r="186" spans="1:41" ht="14.45">
      <c r="A186" s="36" t="s">
        <v>686</v>
      </c>
      <c r="B186" s="27" t="s">
        <v>687</v>
      </c>
      <c r="C186" s="27"/>
      <c r="D186" s="36">
        <v>7211141</v>
      </c>
      <c r="E186" s="36"/>
      <c r="F186" s="36">
        <v>50</v>
      </c>
      <c r="G186" s="36">
        <f t="shared" si="4"/>
        <v>63</v>
      </c>
      <c r="H186" s="36">
        <f t="shared" si="5"/>
        <v>0</v>
      </c>
      <c r="I186" s="36">
        <v>0</v>
      </c>
      <c r="J186" s="36">
        <v>1</v>
      </c>
      <c r="K186" s="39">
        <v>45251</v>
      </c>
      <c r="L186" s="39">
        <v>22072</v>
      </c>
      <c r="M186" s="36" t="s">
        <v>55</v>
      </c>
      <c r="N186" s="36" t="s">
        <v>70</v>
      </c>
      <c r="O186" s="36" t="s">
        <v>43</v>
      </c>
      <c r="P186" s="36" t="s">
        <v>311</v>
      </c>
    </row>
    <row r="187" spans="1:41" ht="14.45">
      <c r="A187" s="36" t="s">
        <v>688</v>
      </c>
      <c r="B187" s="27" t="s">
        <v>689</v>
      </c>
      <c r="C187" s="27"/>
      <c r="D187" s="36">
        <v>7224483</v>
      </c>
      <c r="E187" s="36"/>
      <c r="G187" s="36">
        <f t="shared" si="4"/>
        <v>57</v>
      </c>
      <c r="H187" s="36">
        <f t="shared" si="5"/>
        <v>0</v>
      </c>
      <c r="I187" s="36">
        <v>0</v>
      </c>
      <c r="J187" s="36">
        <v>1</v>
      </c>
      <c r="K187" s="39">
        <v>45251</v>
      </c>
      <c r="L187" s="39">
        <v>24271</v>
      </c>
      <c r="M187" s="36" t="s">
        <v>164</v>
      </c>
      <c r="N187" s="36" t="s">
        <v>47</v>
      </c>
      <c r="O187" s="36" t="s">
        <v>48</v>
      </c>
      <c r="P187" s="36" t="s">
        <v>311</v>
      </c>
      <c r="R187" s="32"/>
      <c r="S187" s="32"/>
      <c r="T187" s="32"/>
      <c r="U187" s="32"/>
      <c r="V187" s="32"/>
      <c r="W187" s="32"/>
    </row>
    <row r="188" spans="1:41" ht="14.45">
      <c r="A188" s="36" t="s">
        <v>690</v>
      </c>
      <c r="B188" s="27" t="s">
        <v>691</v>
      </c>
      <c r="C188" s="27"/>
      <c r="D188" s="36">
        <v>7224478</v>
      </c>
      <c r="E188" s="36"/>
      <c r="G188" s="36">
        <f t="shared" si="4"/>
        <v>30</v>
      </c>
      <c r="H188" s="36">
        <f t="shared" si="5"/>
        <v>1</v>
      </c>
      <c r="I188" s="36">
        <v>0</v>
      </c>
      <c r="J188" s="36">
        <v>1</v>
      </c>
      <c r="K188" s="39">
        <v>45251</v>
      </c>
      <c r="L188" s="39">
        <v>34225</v>
      </c>
      <c r="M188" s="36" t="s">
        <v>55</v>
      </c>
      <c r="N188" s="36" t="s">
        <v>70</v>
      </c>
      <c r="O188" s="36" t="s">
        <v>48</v>
      </c>
      <c r="P188" s="36" t="s">
        <v>311</v>
      </c>
    </row>
    <row r="189" spans="1:41" ht="14.45">
      <c r="A189" s="32" t="s">
        <v>692</v>
      </c>
      <c r="B189" s="27" t="s">
        <v>693</v>
      </c>
      <c r="C189" s="27"/>
      <c r="D189">
        <v>4467540</v>
      </c>
      <c r="F189">
        <v>23</v>
      </c>
      <c r="G189" s="7">
        <f t="shared" si="4"/>
        <v>29</v>
      </c>
      <c r="H189" s="7">
        <f t="shared" si="5"/>
        <v>1</v>
      </c>
      <c r="I189">
        <v>0</v>
      </c>
      <c r="J189">
        <v>1</v>
      </c>
      <c r="K189" s="17">
        <v>45251</v>
      </c>
      <c r="L189" s="16">
        <v>34471</v>
      </c>
      <c r="M189" t="s">
        <v>55</v>
      </c>
      <c r="N189" s="7" t="s">
        <v>47</v>
      </c>
      <c r="O189" t="s">
        <v>43</v>
      </c>
      <c r="Q189" s="7" t="s">
        <v>71</v>
      </c>
      <c r="X189" t="s">
        <v>50</v>
      </c>
      <c r="Y189" t="s">
        <v>50</v>
      </c>
      <c r="Z189" t="s">
        <v>50</v>
      </c>
      <c r="AA189" t="s">
        <v>50</v>
      </c>
      <c r="AB189" t="s">
        <v>50</v>
      </c>
    </row>
    <row r="190" spans="1:41" ht="14.45">
      <c r="A190" s="34" t="s">
        <v>694</v>
      </c>
      <c r="B190" s="27" t="s">
        <v>695</v>
      </c>
      <c r="C190" s="27"/>
      <c r="D190" s="7">
        <v>7130920</v>
      </c>
      <c r="E190" s="7"/>
      <c r="G190" s="7">
        <f t="shared" si="4"/>
        <v>40</v>
      </c>
      <c r="H190" s="7">
        <f t="shared" si="5"/>
        <v>0</v>
      </c>
      <c r="I190" s="7">
        <v>0</v>
      </c>
      <c r="J190" s="7">
        <v>1</v>
      </c>
      <c r="K190" s="17">
        <v>45258</v>
      </c>
      <c r="L190" s="16">
        <v>30533</v>
      </c>
      <c r="M190" t="s">
        <v>55</v>
      </c>
      <c r="N190" s="7" t="s">
        <v>155</v>
      </c>
      <c r="O190" s="7" t="s">
        <v>48</v>
      </c>
      <c r="Q190" s="7" t="s">
        <v>71</v>
      </c>
      <c r="X190" t="s">
        <v>696</v>
      </c>
      <c r="Y190" t="s">
        <v>64</v>
      </c>
      <c r="Z190" s="7" t="s">
        <v>50</v>
      </c>
      <c r="AA190" s="7" t="s">
        <v>50</v>
      </c>
      <c r="AB190" t="s">
        <v>314</v>
      </c>
    </row>
    <row r="191" spans="1:41" ht="14.45">
      <c r="A191" s="36" t="s">
        <v>697</v>
      </c>
      <c r="B191" s="27" t="s">
        <v>698</v>
      </c>
      <c r="C191" s="27"/>
      <c r="D191" s="36">
        <v>4669038</v>
      </c>
      <c r="E191" s="36"/>
      <c r="G191" s="36">
        <f t="shared" si="4"/>
        <v>35</v>
      </c>
      <c r="H191" s="36">
        <f t="shared" si="5"/>
        <v>1</v>
      </c>
      <c r="I191" s="36">
        <v>0</v>
      </c>
      <c r="J191" s="36">
        <v>1</v>
      </c>
      <c r="K191" s="39">
        <v>45258</v>
      </c>
      <c r="L191" s="39">
        <v>32413</v>
      </c>
      <c r="M191" s="36" t="s">
        <v>46</v>
      </c>
      <c r="N191" s="36" t="s">
        <v>70</v>
      </c>
      <c r="O191" s="36" t="s">
        <v>43</v>
      </c>
      <c r="P191" s="36" t="s">
        <v>311</v>
      </c>
    </row>
    <row r="192" spans="1:41" ht="14.45">
      <c r="A192" s="34" t="s">
        <v>699</v>
      </c>
      <c r="B192" s="27" t="s">
        <v>700</v>
      </c>
      <c r="C192" s="27"/>
      <c r="D192" s="7">
        <v>3710380</v>
      </c>
      <c r="E192" s="7"/>
      <c r="F192" s="7">
        <v>25</v>
      </c>
      <c r="G192" s="7">
        <f t="shared" si="4"/>
        <v>38</v>
      </c>
      <c r="H192" s="7">
        <f t="shared" si="5"/>
        <v>1</v>
      </c>
      <c r="I192" s="7">
        <v>0</v>
      </c>
      <c r="J192" s="7">
        <v>1</v>
      </c>
      <c r="K192" s="17">
        <v>45260</v>
      </c>
      <c r="L192" s="17">
        <v>31177</v>
      </c>
      <c r="M192" s="7" t="s">
        <v>55</v>
      </c>
      <c r="N192" s="7" t="s">
        <v>155</v>
      </c>
      <c r="O192" s="7" t="s">
        <v>43</v>
      </c>
      <c r="P192" s="7"/>
      <c r="Q192" s="7" t="s">
        <v>50</v>
      </c>
      <c r="X192" t="s">
        <v>701</v>
      </c>
      <c r="Y192" s="7" t="s">
        <v>50</v>
      </c>
      <c r="Z192" s="7" t="s">
        <v>50</v>
      </c>
      <c r="AA192" s="7" t="s">
        <v>50</v>
      </c>
      <c r="AB192" s="7" t="s">
        <v>50</v>
      </c>
    </row>
    <row r="193" spans="1:41" ht="14.45">
      <c r="A193" s="36" t="s">
        <v>702</v>
      </c>
      <c r="B193" s="27" t="s">
        <v>703</v>
      </c>
      <c r="C193" s="27"/>
      <c r="D193" s="36">
        <v>7228810</v>
      </c>
      <c r="E193" s="36"/>
      <c r="G193" s="36">
        <f t="shared" si="4"/>
        <v>67</v>
      </c>
      <c r="H193" s="36">
        <f t="shared" si="5"/>
        <v>0</v>
      </c>
      <c r="I193" s="36">
        <v>0</v>
      </c>
      <c r="J193" s="36">
        <v>1</v>
      </c>
      <c r="K193" s="39">
        <v>45260</v>
      </c>
      <c r="L193" s="39">
        <v>20775</v>
      </c>
      <c r="M193" s="36" t="s">
        <v>46</v>
      </c>
      <c r="N193" s="36" t="s">
        <v>47</v>
      </c>
      <c r="O193" s="36" t="s">
        <v>48</v>
      </c>
      <c r="P193" s="36" t="s">
        <v>311</v>
      </c>
    </row>
    <row r="194" spans="1:41" ht="14.45">
      <c r="A194" s="36" t="s">
        <v>704</v>
      </c>
      <c r="B194" s="27" t="s">
        <v>705</v>
      </c>
      <c r="C194" s="27"/>
      <c r="D194" s="36">
        <v>7229112</v>
      </c>
      <c r="E194" s="36"/>
      <c r="G194" s="36">
        <f t="shared" ref="G194:G257" si="6">DATEDIF(L194,K194,"Y")</f>
        <v>41</v>
      </c>
      <c r="H194" s="36">
        <f t="shared" ref="H194:H257" si="7">IF(G194&lt;=39,1,0)</f>
        <v>0</v>
      </c>
      <c r="I194" s="36">
        <v>0</v>
      </c>
      <c r="J194" s="36">
        <v>1</v>
      </c>
      <c r="K194" s="39">
        <v>45261</v>
      </c>
      <c r="L194" s="39">
        <v>30076</v>
      </c>
      <c r="M194" s="36" t="s">
        <v>46</v>
      </c>
      <c r="N194" s="36" t="s">
        <v>79</v>
      </c>
      <c r="O194" s="36" t="s">
        <v>48</v>
      </c>
      <c r="P194" s="36" t="s">
        <v>311</v>
      </c>
    </row>
    <row r="195" spans="1:41" ht="14.45">
      <c r="A195" s="34" t="s">
        <v>706</v>
      </c>
      <c r="B195" s="27" t="s">
        <v>707</v>
      </c>
      <c r="C195" s="27"/>
      <c r="D195" s="7">
        <v>3803251</v>
      </c>
      <c r="E195" s="7"/>
      <c r="F195" s="7">
        <v>39</v>
      </c>
      <c r="G195" s="7">
        <f t="shared" si="6"/>
        <v>53</v>
      </c>
      <c r="H195" s="7">
        <f t="shared" si="7"/>
        <v>0</v>
      </c>
      <c r="I195" s="7">
        <v>0</v>
      </c>
      <c r="J195" s="7">
        <v>1</v>
      </c>
      <c r="K195" s="17">
        <v>45264</v>
      </c>
      <c r="L195" s="17">
        <v>25567</v>
      </c>
      <c r="M195" s="7" t="s">
        <v>55</v>
      </c>
      <c r="N195" s="7" t="s">
        <v>155</v>
      </c>
      <c r="O195" s="7" t="s">
        <v>43</v>
      </c>
      <c r="P195" s="7"/>
      <c r="Q195" s="7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X195" t="s">
        <v>50</v>
      </c>
      <c r="Y195" t="s">
        <v>50</v>
      </c>
      <c r="Z195" t="s">
        <v>50</v>
      </c>
      <c r="AA195" t="s">
        <v>50</v>
      </c>
      <c r="AB195" t="s">
        <v>50</v>
      </c>
    </row>
    <row r="196" spans="1:41" ht="14.45">
      <c r="A196" s="36" t="s">
        <v>708</v>
      </c>
      <c r="B196" s="27" t="s">
        <v>709</v>
      </c>
      <c r="C196" s="27"/>
      <c r="D196" s="36">
        <v>7231076</v>
      </c>
      <c r="E196" s="36"/>
      <c r="F196" s="36"/>
      <c r="G196" s="36">
        <f t="shared" si="6"/>
        <v>29</v>
      </c>
      <c r="H196" s="36">
        <f t="shared" si="7"/>
        <v>1</v>
      </c>
      <c r="I196" s="36">
        <v>0</v>
      </c>
      <c r="J196" s="36">
        <v>1</v>
      </c>
      <c r="K196" s="39">
        <v>45266</v>
      </c>
      <c r="L196" s="39">
        <v>34614</v>
      </c>
      <c r="M196" s="36" t="s">
        <v>232</v>
      </c>
      <c r="N196" s="36" t="s">
        <v>47</v>
      </c>
      <c r="O196" s="36" t="s">
        <v>43</v>
      </c>
      <c r="P196" s="36" t="s">
        <v>311</v>
      </c>
    </row>
    <row r="197" spans="1:41" ht="14.45">
      <c r="A197" s="36" t="s">
        <v>710</v>
      </c>
      <c r="B197" s="27" t="s">
        <v>711</v>
      </c>
      <c r="C197" s="27"/>
      <c r="D197" s="36">
        <v>7231192</v>
      </c>
      <c r="E197" s="36"/>
      <c r="F197" s="36"/>
      <c r="G197" s="36">
        <f t="shared" si="6"/>
        <v>57</v>
      </c>
      <c r="H197" s="36">
        <f t="shared" si="7"/>
        <v>0</v>
      </c>
      <c r="I197" s="36">
        <v>0</v>
      </c>
      <c r="J197" s="36">
        <v>1</v>
      </c>
      <c r="K197" s="39">
        <v>45266</v>
      </c>
      <c r="L197" s="39">
        <v>24356</v>
      </c>
      <c r="M197" s="36" t="s">
        <v>55</v>
      </c>
      <c r="N197" s="36" t="s">
        <v>70</v>
      </c>
      <c r="O197" s="36" t="s">
        <v>48</v>
      </c>
      <c r="P197" s="36" t="s">
        <v>311</v>
      </c>
      <c r="R197" s="32"/>
      <c r="S197" s="32"/>
      <c r="T197" s="32"/>
      <c r="U197" s="32"/>
      <c r="V197" s="32"/>
      <c r="W197" s="32"/>
    </row>
    <row r="198" spans="1:41" s="32" customFormat="1" ht="14.45">
      <c r="A198" s="36" t="s">
        <v>712</v>
      </c>
      <c r="B198" s="27" t="s">
        <v>713</v>
      </c>
      <c r="C198" s="27"/>
      <c r="D198" s="36">
        <v>7229055</v>
      </c>
      <c r="E198" s="36"/>
      <c r="F198" s="36"/>
      <c r="G198" s="36">
        <f t="shared" si="6"/>
        <v>35</v>
      </c>
      <c r="H198" s="36">
        <f t="shared" si="7"/>
        <v>1</v>
      </c>
      <c r="I198" s="36">
        <v>0</v>
      </c>
      <c r="J198" s="36">
        <v>1</v>
      </c>
      <c r="K198" s="39">
        <v>45266</v>
      </c>
      <c r="L198" s="39">
        <v>32464</v>
      </c>
      <c r="M198" s="36" t="s">
        <v>46</v>
      </c>
      <c r="N198" s="36" t="s">
        <v>79</v>
      </c>
      <c r="O198" s="36" t="s">
        <v>48</v>
      </c>
      <c r="P198" s="36" t="s">
        <v>311</v>
      </c>
      <c r="Q198" s="7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</row>
    <row r="199" spans="1:41" ht="14.45">
      <c r="A199" s="34" t="s">
        <v>714</v>
      </c>
      <c r="B199" s="27" t="s">
        <v>715</v>
      </c>
      <c r="C199" s="27"/>
      <c r="D199" s="7">
        <v>3052442</v>
      </c>
      <c r="E199" s="7"/>
      <c r="F199" s="7">
        <v>34</v>
      </c>
      <c r="G199" s="7">
        <f t="shared" si="6"/>
        <v>41</v>
      </c>
      <c r="H199" s="7">
        <f t="shared" si="7"/>
        <v>0</v>
      </c>
      <c r="I199" s="7">
        <v>0</v>
      </c>
      <c r="J199" s="7">
        <v>1</v>
      </c>
      <c r="K199" s="17">
        <v>45272</v>
      </c>
      <c r="L199" s="17">
        <v>30171</v>
      </c>
      <c r="M199" s="7" t="s">
        <v>46</v>
      </c>
      <c r="N199" s="7" t="s">
        <v>47</v>
      </c>
      <c r="O199" s="7" t="s">
        <v>43</v>
      </c>
      <c r="P199" s="7"/>
      <c r="Q199" s="7" t="s">
        <v>71</v>
      </c>
      <c r="X199" t="s">
        <v>50</v>
      </c>
      <c r="Y199" t="s">
        <v>50</v>
      </c>
      <c r="Z199" t="s">
        <v>50</v>
      </c>
      <c r="AA199" t="s">
        <v>50</v>
      </c>
      <c r="AB199" t="s">
        <v>50</v>
      </c>
    </row>
    <row r="200" spans="1:41" ht="14.45">
      <c r="A200" s="36" t="s">
        <v>716</v>
      </c>
      <c r="B200" s="27" t="s">
        <v>717</v>
      </c>
      <c r="C200" s="27"/>
      <c r="D200" s="36">
        <v>7234280</v>
      </c>
      <c r="E200" s="36"/>
      <c r="F200" s="36"/>
      <c r="G200" s="36">
        <f t="shared" si="6"/>
        <v>59</v>
      </c>
      <c r="H200" s="36">
        <f t="shared" si="7"/>
        <v>0</v>
      </c>
      <c r="I200" s="36">
        <v>0</v>
      </c>
      <c r="J200" s="36">
        <v>1</v>
      </c>
      <c r="K200" s="39">
        <v>45273</v>
      </c>
      <c r="L200" s="39">
        <v>23390</v>
      </c>
      <c r="M200" s="36" t="s">
        <v>55</v>
      </c>
      <c r="N200" s="36" t="s">
        <v>47</v>
      </c>
      <c r="O200" s="36" t="s">
        <v>48</v>
      </c>
      <c r="P200" s="36" t="s">
        <v>311</v>
      </c>
    </row>
    <row r="201" spans="1:41" ht="14.45">
      <c r="A201" s="36" t="s">
        <v>718</v>
      </c>
      <c r="B201" s="27" t="s">
        <v>719</v>
      </c>
      <c r="C201" s="27"/>
      <c r="D201" s="36">
        <v>3823940</v>
      </c>
      <c r="E201" s="36"/>
      <c r="F201" s="36"/>
      <c r="G201" s="36">
        <f t="shared" si="6"/>
        <v>44</v>
      </c>
      <c r="H201" s="36">
        <f t="shared" si="7"/>
        <v>0</v>
      </c>
      <c r="I201" s="36">
        <v>0</v>
      </c>
      <c r="J201" s="36">
        <v>1</v>
      </c>
      <c r="K201" s="39">
        <v>45273</v>
      </c>
      <c r="L201" s="39">
        <v>29013</v>
      </c>
      <c r="M201" s="36" t="s">
        <v>106</v>
      </c>
      <c r="N201" s="36" t="s">
        <v>47</v>
      </c>
      <c r="O201" s="36" t="s">
        <v>48</v>
      </c>
      <c r="P201" s="36" t="s">
        <v>311</v>
      </c>
      <c r="R201" s="32"/>
      <c r="S201" s="32"/>
      <c r="T201" s="32"/>
      <c r="U201" s="32"/>
      <c r="V201" s="32"/>
      <c r="W201" s="32"/>
    </row>
    <row r="202" spans="1:41" ht="14.45">
      <c r="A202" s="36" t="s">
        <v>720</v>
      </c>
      <c r="B202" s="27" t="s">
        <v>721</v>
      </c>
      <c r="C202" s="27"/>
      <c r="D202" s="36">
        <v>7234229</v>
      </c>
      <c r="E202" s="36"/>
      <c r="F202" s="36"/>
      <c r="G202" s="36">
        <f t="shared" si="6"/>
        <v>81</v>
      </c>
      <c r="H202" s="36">
        <f t="shared" si="7"/>
        <v>0</v>
      </c>
      <c r="I202" s="36">
        <v>0</v>
      </c>
      <c r="J202" s="36">
        <v>1</v>
      </c>
      <c r="K202" s="39">
        <v>45273</v>
      </c>
      <c r="L202" s="39">
        <v>15462</v>
      </c>
      <c r="M202" s="36" t="s">
        <v>46</v>
      </c>
      <c r="N202" s="36" t="s">
        <v>70</v>
      </c>
      <c r="O202" s="36" t="s">
        <v>48</v>
      </c>
      <c r="P202" s="36" t="s">
        <v>311</v>
      </c>
      <c r="R202" s="32"/>
      <c r="S202" s="32"/>
      <c r="T202" s="32"/>
      <c r="U202" s="32"/>
      <c r="V202" s="32"/>
      <c r="W202" s="32"/>
    </row>
    <row r="203" spans="1:41" ht="14.45">
      <c r="A203" s="36" t="s">
        <v>722</v>
      </c>
      <c r="B203" s="27" t="s">
        <v>723</v>
      </c>
      <c r="C203" s="27"/>
      <c r="D203" s="36">
        <v>7234238</v>
      </c>
      <c r="E203" s="36"/>
      <c r="F203" s="36"/>
      <c r="G203" s="36">
        <f t="shared" si="6"/>
        <v>60</v>
      </c>
      <c r="H203" s="36">
        <f t="shared" si="7"/>
        <v>0</v>
      </c>
      <c r="I203" s="36">
        <v>0</v>
      </c>
      <c r="J203" s="36">
        <v>1</v>
      </c>
      <c r="K203" s="39">
        <v>45273</v>
      </c>
      <c r="L203" s="39">
        <v>23342</v>
      </c>
      <c r="M203" s="36" t="s">
        <v>55</v>
      </c>
      <c r="N203" s="36" t="s">
        <v>47</v>
      </c>
      <c r="O203" s="36" t="s">
        <v>48</v>
      </c>
      <c r="P203" s="36" t="s">
        <v>311</v>
      </c>
    </row>
    <row r="204" spans="1:41" ht="14.45">
      <c r="A204" s="36" t="s">
        <v>724</v>
      </c>
      <c r="B204" s="27" t="s">
        <v>725</v>
      </c>
      <c r="C204" s="27"/>
      <c r="D204" s="36">
        <v>1090911</v>
      </c>
      <c r="E204" s="36"/>
      <c r="F204" s="36"/>
      <c r="G204" s="36">
        <f t="shared" si="6"/>
        <v>65</v>
      </c>
      <c r="H204" s="36">
        <f t="shared" si="7"/>
        <v>0</v>
      </c>
      <c r="I204" s="36">
        <v>0</v>
      </c>
      <c r="J204" s="36">
        <v>1</v>
      </c>
      <c r="K204" s="39">
        <v>45273</v>
      </c>
      <c r="L204" s="39">
        <v>21455</v>
      </c>
      <c r="M204" s="36" t="s">
        <v>106</v>
      </c>
      <c r="N204" s="36" t="s">
        <v>47</v>
      </c>
      <c r="O204" s="36" t="s">
        <v>48</v>
      </c>
      <c r="P204" s="36" t="s">
        <v>311</v>
      </c>
    </row>
    <row r="205" spans="1:41" s="32" customFormat="1" ht="14.45">
      <c r="A205" s="36" t="s">
        <v>726</v>
      </c>
      <c r="B205" s="27" t="s">
        <v>727</v>
      </c>
      <c r="C205" s="27"/>
      <c r="D205" s="36">
        <v>7236338</v>
      </c>
      <c r="E205" s="36"/>
      <c r="F205" s="36"/>
      <c r="G205" s="36">
        <f t="shared" si="6"/>
        <v>60</v>
      </c>
      <c r="H205" s="36">
        <f t="shared" si="7"/>
        <v>0</v>
      </c>
      <c r="I205" s="36">
        <v>0</v>
      </c>
      <c r="J205" s="36">
        <v>1</v>
      </c>
      <c r="K205" s="39">
        <v>45278</v>
      </c>
      <c r="L205" s="39">
        <v>23291</v>
      </c>
      <c r="M205" s="36" t="s">
        <v>728</v>
      </c>
      <c r="N205" s="36" t="s">
        <v>180</v>
      </c>
      <c r="O205" s="36" t="s">
        <v>48</v>
      </c>
      <c r="P205" s="36" t="s">
        <v>311</v>
      </c>
      <c r="Q205" s="7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</row>
    <row r="206" spans="1:41" s="32" customFormat="1" ht="14.45">
      <c r="A206" s="36" t="s">
        <v>729</v>
      </c>
      <c r="B206" s="27" t="s">
        <v>730</v>
      </c>
      <c r="C206" s="27"/>
      <c r="D206" s="36">
        <v>4018971</v>
      </c>
      <c r="E206" s="36"/>
      <c r="F206"/>
      <c r="G206" s="36">
        <f t="shared" si="6"/>
        <v>46</v>
      </c>
      <c r="H206" s="36">
        <f t="shared" si="7"/>
        <v>0</v>
      </c>
      <c r="I206" s="36">
        <v>0</v>
      </c>
      <c r="J206" s="36">
        <v>1</v>
      </c>
      <c r="K206" s="39">
        <v>45278</v>
      </c>
      <c r="L206" s="39">
        <v>28156</v>
      </c>
      <c r="M206" s="36" t="s">
        <v>46</v>
      </c>
      <c r="N206" s="36" t="s">
        <v>47</v>
      </c>
      <c r="O206" s="36" t="s">
        <v>48</v>
      </c>
      <c r="P206" s="36" t="s">
        <v>311</v>
      </c>
      <c r="Q206" s="7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</row>
    <row r="207" spans="1:41" ht="14.45">
      <c r="A207" s="36" t="s">
        <v>731</v>
      </c>
      <c r="B207" s="27" t="s">
        <v>732</v>
      </c>
      <c r="C207" s="27"/>
      <c r="D207" s="36">
        <v>7236331</v>
      </c>
      <c r="E207" s="36"/>
      <c r="G207" s="36">
        <f t="shared" si="6"/>
        <v>51</v>
      </c>
      <c r="H207" s="36">
        <f t="shared" si="7"/>
        <v>0</v>
      </c>
      <c r="I207" s="36">
        <v>0</v>
      </c>
      <c r="J207" s="36">
        <v>1</v>
      </c>
      <c r="K207" s="39">
        <v>45278</v>
      </c>
      <c r="L207" s="39">
        <v>26444</v>
      </c>
      <c r="M207" s="36" t="s">
        <v>55</v>
      </c>
      <c r="N207" s="36" t="s">
        <v>47</v>
      </c>
      <c r="O207" s="36" t="s">
        <v>48</v>
      </c>
      <c r="P207" s="36" t="s">
        <v>311</v>
      </c>
      <c r="R207" s="32"/>
      <c r="S207" s="32"/>
      <c r="T207" s="32"/>
      <c r="U207" s="32"/>
      <c r="V207" s="32"/>
      <c r="W207" s="32"/>
    </row>
    <row r="208" spans="1:41" ht="14.45">
      <c r="A208" s="64" t="s">
        <v>733</v>
      </c>
      <c r="B208" s="27" t="s">
        <v>734</v>
      </c>
      <c r="C208" s="27"/>
      <c r="D208" s="18">
        <v>7231252</v>
      </c>
      <c r="E208" s="18"/>
      <c r="F208" s="18"/>
      <c r="G208" s="18">
        <f t="shared" si="6"/>
        <v>46</v>
      </c>
      <c r="H208" s="18">
        <f t="shared" si="7"/>
        <v>0</v>
      </c>
      <c r="I208" s="18">
        <v>0</v>
      </c>
      <c r="J208" s="18">
        <v>1</v>
      </c>
      <c r="K208" s="50">
        <v>45279</v>
      </c>
      <c r="L208" s="50">
        <v>28191</v>
      </c>
      <c r="M208" s="18" t="s">
        <v>140</v>
      </c>
      <c r="N208" s="18" t="s">
        <v>70</v>
      </c>
      <c r="O208" s="18" t="s">
        <v>48</v>
      </c>
      <c r="P208" s="18"/>
      <c r="Q208" s="7" t="s">
        <v>50</v>
      </c>
      <c r="X208" t="s">
        <v>50</v>
      </c>
      <c r="Y208" t="s">
        <v>50</v>
      </c>
      <c r="Z208" t="s">
        <v>50</v>
      </c>
      <c r="AA208" t="s">
        <v>50</v>
      </c>
      <c r="AB208" t="s">
        <v>50</v>
      </c>
    </row>
    <row r="209" spans="1:41" ht="14.45">
      <c r="A209" s="36" t="s">
        <v>735</v>
      </c>
      <c r="B209" s="27" t="s">
        <v>736</v>
      </c>
      <c r="C209" s="27"/>
      <c r="D209" s="36">
        <v>7237783</v>
      </c>
      <c r="E209" s="36"/>
      <c r="F209" s="56"/>
      <c r="G209" s="36">
        <f t="shared" si="6"/>
        <v>44</v>
      </c>
      <c r="H209" s="36">
        <f t="shared" si="7"/>
        <v>0</v>
      </c>
      <c r="I209" s="36">
        <v>0</v>
      </c>
      <c r="J209" s="36">
        <v>1</v>
      </c>
      <c r="K209" s="39">
        <v>45281</v>
      </c>
      <c r="L209" s="39">
        <v>28962</v>
      </c>
      <c r="M209" s="36" t="s">
        <v>55</v>
      </c>
      <c r="N209" s="36" t="s">
        <v>737</v>
      </c>
      <c r="O209" s="36" t="s">
        <v>43</v>
      </c>
      <c r="P209" s="36" t="s">
        <v>311</v>
      </c>
    </row>
    <row r="210" spans="1:41" ht="14.45">
      <c r="A210" s="36" t="s">
        <v>738</v>
      </c>
      <c r="B210" s="27" t="s">
        <v>739</v>
      </c>
      <c r="C210" s="27"/>
      <c r="D210" s="36">
        <v>7237778</v>
      </c>
      <c r="E210" s="36"/>
      <c r="F210" s="56"/>
      <c r="G210" s="36">
        <f t="shared" si="6"/>
        <v>45</v>
      </c>
      <c r="H210" s="36">
        <f t="shared" si="7"/>
        <v>0</v>
      </c>
      <c r="I210" s="36">
        <v>0</v>
      </c>
      <c r="J210" s="36">
        <v>1</v>
      </c>
      <c r="K210" s="39">
        <v>45281</v>
      </c>
      <c r="L210" s="39">
        <v>28797</v>
      </c>
      <c r="M210" s="36" t="s">
        <v>164</v>
      </c>
      <c r="N210" s="36" t="s">
        <v>47</v>
      </c>
      <c r="O210" s="36" t="s">
        <v>43</v>
      </c>
      <c r="P210" s="36" t="s">
        <v>311</v>
      </c>
    </row>
    <row r="211" spans="1:41" s="32" customFormat="1" ht="14.45">
      <c r="A211" s="36" t="s">
        <v>740</v>
      </c>
      <c r="B211" s="27" t="s">
        <v>741</v>
      </c>
      <c r="C211" s="27"/>
      <c r="D211" s="36">
        <v>7238556</v>
      </c>
      <c r="E211" s="36"/>
      <c r="F211" s="56"/>
      <c r="G211" s="36">
        <f t="shared" si="6"/>
        <v>73</v>
      </c>
      <c r="H211" s="36">
        <f t="shared" si="7"/>
        <v>0</v>
      </c>
      <c r="I211" s="36">
        <v>0</v>
      </c>
      <c r="J211" s="36">
        <v>1</v>
      </c>
      <c r="K211" s="39">
        <v>45282</v>
      </c>
      <c r="L211" s="39">
        <v>18448</v>
      </c>
      <c r="M211" s="36" t="s">
        <v>55</v>
      </c>
      <c r="N211" s="36" t="s">
        <v>47</v>
      </c>
      <c r="O211" s="36" t="s">
        <v>48</v>
      </c>
      <c r="P211" s="36" t="s">
        <v>311</v>
      </c>
      <c r="Q211" s="7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</row>
    <row r="212" spans="1:41" s="32" customFormat="1" ht="14.45">
      <c r="A212" s="36" t="s">
        <v>742</v>
      </c>
      <c r="B212" s="27" t="s">
        <v>743</v>
      </c>
      <c r="C212" s="27"/>
      <c r="D212" s="36">
        <v>7239688</v>
      </c>
      <c r="E212" s="36"/>
      <c r="F212"/>
      <c r="G212" s="36">
        <f t="shared" si="6"/>
        <v>69</v>
      </c>
      <c r="H212" s="36">
        <f t="shared" si="7"/>
        <v>0</v>
      </c>
      <c r="I212" s="36">
        <v>0</v>
      </c>
      <c r="J212" s="36">
        <v>1</v>
      </c>
      <c r="K212" s="39">
        <v>45288</v>
      </c>
      <c r="L212" s="39">
        <v>19847</v>
      </c>
      <c r="M212" s="36" t="s">
        <v>46</v>
      </c>
      <c r="N212" s="36" t="s">
        <v>47</v>
      </c>
      <c r="O212" s="36" t="s">
        <v>48</v>
      </c>
      <c r="P212" s="36" t="s">
        <v>311</v>
      </c>
      <c r="Q212" s="7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</row>
    <row r="213" spans="1:41" s="32" customFormat="1" ht="14.45">
      <c r="A213" s="36" t="s">
        <v>744</v>
      </c>
      <c r="B213" t="s">
        <v>745</v>
      </c>
      <c r="C213"/>
      <c r="D213" s="36">
        <v>7243956</v>
      </c>
      <c r="E213" s="36"/>
      <c r="F213"/>
      <c r="G213" s="36">
        <f t="shared" si="6"/>
        <v>51</v>
      </c>
      <c r="H213" s="36">
        <f t="shared" si="7"/>
        <v>0</v>
      </c>
      <c r="I213" s="36">
        <v>0</v>
      </c>
      <c r="J213" s="36">
        <v>1</v>
      </c>
      <c r="K213" s="39">
        <v>45300</v>
      </c>
      <c r="L213" s="39">
        <v>26575</v>
      </c>
      <c r="M213" s="36" t="s">
        <v>46</v>
      </c>
      <c r="N213" s="36" t="s">
        <v>47</v>
      </c>
      <c r="O213" s="36" t="s">
        <v>48</v>
      </c>
      <c r="P213" s="36" t="s">
        <v>311</v>
      </c>
      <c r="Q213" s="7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</row>
    <row r="214" spans="1:41" ht="14.45">
      <c r="A214" s="36" t="s">
        <v>746</v>
      </c>
      <c r="B214" t="s">
        <v>747</v>
      </c>
      <c r="D214" s="36">
        <v>4946025</v>
      </c>
      <c r="E214" s="36"/>
      <c r="F214" s="36"/>
      <c r="G214" s="36">
        <f t="shared" si="6"/>
        <v>23</v>
      </c>
      <c r="H214" s="36">
        <f t="shared" si="7"/>
        <v>1</v>
      </c>
      <c r="I214" s="36">
        <v>0</v>
      </c>
      <c r="J214" s="36">
        <v>1</v>
      </c>
      <c r="K214" s="39">
        <v>45303</v>
      </c>
      <c r="L214" s="39">
        <v>36635</v>
      </c>
      <c r="M214" s="36" t="s">
        <v>106</v>
      </c>
      <c r="N214" s="36" t="s">
        <v>70</v>
      </c>
      <c r="O214" s="36" t="s">
        <v>48</v>
      </c>
      <c r="P214" s="36" t="s">
        <v>311</v>
      </c>
    </row>
    <row r="215" spans="1:41" s="32" customFormat="1" ht="14.1">
      <c r="A215" s="34" t="s">
        <v>748</v>
      </c>
      <c r="B215" t="s">
        <v>749</v>
      </c>
      <c r="C215"/>
      <c r="D215" s="7">
        <v>7245734</v>
      </c>
      <c r="E215" s="7"/>
      <c r="F215" s="7"/>
      <c r="G215" s="7">
        <f t="shared" si="6"/>
        <v>52</v>
      </c>
      <c r="H215" s="7">
        <f t="shared" si="7"/>
        <v>0</v>
      </c>
      <c r="I215" s="7">
        <v>0</v>
      </c>
      <c r="J215" s="7">
        <v>1</v>
      </c>
      <c r="K215" s="17">
        <v>45303</v>
      </c>
      <c r="L215" s="17">
        <v>26058</v>
      </c>
      <c r="M215" s="7" t="s">
        <v>55</v>
      </c>
      <c r="N215" s="7" t="s">
        <v>47</v>
      </c>
      <c r="O215" s="7" t="s">
        <v>48</v>
      </c>
      <c r="P215" s="7" t="s">
        <v>750</v>
      </c>
      <c r="Q215" s="7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</row>
    <row r="216" spans="1:41" ht="14.1">
      <c r="A216" s="34" t="s">
        <v>751</v>
      </c>
      <c r="B216" t="s">
        <v>752</v>
      </c>
      <c r="D216" s="7">
        <v>4636921</v>
      </c>
      <c r="E216" s="7" t="s">
        <v>753</v>
      </c>
      <c r="F216" s="7"/>
      <c r="G216" s="7">
        <f t="shared" si="6"/>
        <v>30</v>
      </c>
      <c r="H216" s="7">
        <f t="shared" si="7"/>
        <v>1</v>
      </c>
      <c r="I216" s="7">
        <v>0</v>
      </c>
      <c r="J216" s="7">
        <v>1</v>
      </c>
      <c r="K216" s="17">
        <v>45307</v>
      </c>
      <c r="L216" s="17">
        <v>34045</v>
      </c>
      <c r="M216" s="7" t="s">
        <v>55</v>
      </c>
      <c r="N216" s="7" t="s">
        <v>47</v>
      </c>
      <c r="O216" s="7" t="s">
        <v>48</v>
      </c>
      <c r="P216" s="7"/>
    </row>
    <row r="217" spans="1:41" ht="14.45">
      <c r="A217" s="36" t="s">
        <v>754</v>
      </c>
      <c r="B217" t="s">
        <v>755</v>
      </c>
      <c r="D217" s="36">
        <v>7251141</v>
      </c>
      <c r="E217" s="36"/>
      <c r="G217" s="36">
        <f t="shared" si="6"/>
        <v>28</v>
      </c>
      <c r="H217" s="36">
        <f t="shared" si="7"/>
        <v>1</v>
      </c>
      <c r="I217" s="36">
        <v>0</v>
      </c>
      <c r="J217" s="36">
        <v>1</v>
      </c>
      <c r="K217" s="39">
        <v>45315</v>
      </c>
      <c r="L217" s="39">
        <v>34841</v>
      </c>
      <c r="M217" s="36" t="s">
        <v>756</v>
      </c>
      <c r="N217" s="36" t="s">
        <v>47</v>
      </c>
      <c r="O217" s="36" t="s">
        <v>48</v>
      </c>
      <c r="P217" s="36" t="s">
        <v>311</v>
      </c>
      <c r="R217" s="32"/>
      <c r="S217" s="32"/>
      <c r="T217" s="32"/>
      <c r="U217" s="32"/>
      <c r="V217" s="32"/>
      <c r="W217" s="32"/>
    </row>
    <row r="218" spans="1:41" ht="14.45">
      <c r="A218" s="36" t="s">
        <v>757</v>
      </c>
      <c r="B218" t="s">
        <v>758</v>
      </c>
      <c r="D218" s="36">
        <v>7251131</v>
      </c>
      <c r="E218" s="36"/>
      <c r="G218" s="36">
        <f t="shared" si="6"/>
        <v>64</v>
      </c>
      <c r="H218" s="36">
        <f t="shared" si="7"/>
        <v>0</v>
      </c>
      <c r="I218" s="36">
        <v>0</v>
      </c>
      <c r="J218" s="36">
        <v>1</v>
      </c>
      <c r="K218" s="39">
        <v>45315</v>
      </c>
      <c r="L218" s="39">
        <v>21904</v>
      </c>
      <c r="M218" s="36" t="s">
        <v>474</v>
      </c>
      <c r="N218" s="36" t="s">
        <v>180</v>
      </c>
      <c r="O218" s="36" t="s">
        <v>48</v>
      </c>
      <c r="P218" s="36" t="s">
        <v>311</v>
      </c>
    </row>
    <row r="219" spans="1:41" ht="14.45">
      <c r="A219" s="36" t="s">
        <v>759</v>
      </c>
      <c r="B219" t="s">
        <v>760</v>
      </c>
      <c r="D219" s="36">
        <v>7251130</v>
      </c>
      <c r="E219" s="36"/>
      <c r="G219" s="36">
        <f t="shared" si="6"/>
        <v>40</v>
      </c>
      <c r="H219" s="36">
        <f t="shared" si="7"/>
        <v>0</v>
      </c>
      <c r="I219" s="36">
        <v>0</v>
      </c>
      <c r="J219" s="36">
        <v>1</v>
      </c>
      <c r="K219" s="39">
        <v>45315</v>
      </c>
      <c r="L219" s="39">
        <v>30607</v>
      </c>
      <c r="M219" s="36" t="s">
        <v>55</v>
      </c>
      <c r="N219" s="36" t="s">
        <v>70</v>
      </c>
      <c r="O219" s="36" t="s">
        <v>48</v>
      </c>
      <c r="P219" s="36" t="s">
        <v>311</v>
      </c>
      <c r="R219" s="32"/>
      <c r="S219" s="32"/>
      <c r="T219" s="32"/>
      <c r="U219" s="32"/>
      <c r="V219" s="32"/>
      <c r="W219" s="32"/>
    </row>
    <row r="220" spans="1:41" ht="14.45">
      <c r="A220" s="36" t="s">
        <v>761</v>
      </c>
      <c r="B220" t="s">
        <v>762</v>
      </c>
      <c r="D220" s="36">
        <v>4713948</v>
      </c>
      <c r="E220" s="36"/>
      <c r="G220" s="36">
        <f t="shared" si="6"/>
        <v>63</v>
      </c>
      <c r="H220" s="36">
        <f t="shared" si="7"/>
        <v>0</v>
      </c>
      <c r="I220" s="36">
        <v>0</v>
      </c>
      <c r="J220" s="36">
        <v>1</v>
      </c>
      <c r="K220" s="39">
        <v>45316</v>
      </c>
      <c r="L220" s="39">
        <v>22138</v>
      </c>
      <c r="M220" s="36" t="s">
        <v>55</v>
      </c>
      <c r="N220" s="36" t="s">
        <v>47</v>
      </c>
      <c r="O220" s="36" t="s">
        <v>48</v>
      </c>
      <c r="P220" s="36" t="s">
        <v>311</v>
      </c>
    </row>
    <row r="221" spans="1:41" ht="14.45">
      <c r="A221" s="36" t="s">
        <v>763</v>
      </c>
      <c r="B221" t="s">
        <v>764</v>
      </c>
      <c r="D221" s="36">
        <v>7251881</v>
      </c>
      <c r="E221" s="36"/>
      <c r="G221" s="36">
        <f t="shared" si="6"/>
        <v>65</v>
      </c>
      <c r="H221" s="36">
        <f t="shared" si="7"/>
        <v>0</v>
      </c>
      <c r="I221" s="36">
        <v>0</v>
      </c>
      <c r="J221" s="36">
        <v>1</v>
      </c>
      <c r="K221" s="39">
        <v>45316</v>
      </c>
      <c r="L221" s="39">
        <v>21395</v>
      </c>
      <c r="M221" s="36" t="s">
        <v>106</v>
      </c>
      <c r="N221" s="36" t="s">
        <v>47</v>
      </c>
      <c r="O221" s="36" t="s">
        <v>48</v>
      </c>
      <c r="P221" s="36" t="s">
        <v>311</v>
      </c>
      <c r="R221" s="32"/>
      <c r="S221" s="32"/>
      <c r="T221" s="32"/>
      <c r="U221" s="32"/>
      <c r="V221" s="32"/>
      <c r="W221" s="32"/>
    </row>
    <row r="222" spans="1:41" ht="14.45">
      <c r="A222" s="36" t="s">
        <v>765</v>
      </c>
      <c r="B222" t="s">
        <v>766</v>
      </c>
      <c r="D222" s="36">
        <v>7251877</v>
      </c>
      <c r="E222" s="36"/>
      <c r="G222" s="36">
        <f t="shared" si="6"/>
        <v>44</v>
      </c>
      <c r="H222" s="36">
        <f t="shared" si="7"/>
        <v>0</v>
      </c>
      <c r="I222" s="36">
        <v>0</v>
      </c>
      <c r="J222" s="36">
        <v>1</v>
      </c>
      <c r="K222" s="39">
        <v>45316</v>
      </c>
      <c r="L222" s="39">
        <v>29106</v>
      </c>
      <c r="M222" s="36" t="s">
        <v>106</v>
      </c>
      <c r="N222" s="36" t="s">
        <v>667</v>
      </c>
      <c r="O222" s="36" t="s">
        <v>48</v>
      </c>
      <c r="P222" s="36" t="s">
        <v>311</v>
      </c>
    </row>
    <row r="223" spans="1:41" ht="14.45">
      <c r="A223" s="36" t="s">
        <v>767</v>
      </c>
      <c r="B223" t="s">
        <v>768</v>
      </c>
      <c r="D223" s="36">
        <v>7254187</v>
      </c>
      <c r="E223" s="36"/>
      <c r="G223" s="36">
        <f t="shared" si="6"/>
        <v>73</v>
      </c>
      <c r="H223" s="36">
        <f t="shared" si="7"/>
        <v>0</v>
      </c>
      <c r="I223" s="36">
        <v>0</v>
      </c>
      <c r="J223" s="36">
        <v>1</v>
      </c>
      <c r="K223" s="39">
        <v>45322</v>
      </c>
      <c r="L223" s="39">
        <v>18296</v>
      </c>
      <c r="M223" s="36" t="s">
        <v>55</v>
      </c>
      <c r="N223" s="36" t="s">
        <v>47</v>
      </c>
      <c r="O223" s="36" t="s">
        <v>48</v>
      </c>
      <c r="P223" s="36" t="s">
        <v>311</v>
      </c>
    </row>
    <row r="224" spans="1:41" s="32" customFormat="1" ht="14.45">
      <c r="A224" s="36" t="s">
        <v>769</v>
      </c>
      <c r="B224" t="s">
        <v>770</v>
      </c>
      <c r="C224"/>
      <c r="D224" s="36">
        <v>7254189</v>
      </c>
      <c r="E224" s="36"/>
      <c r="F224"/>
      <c r="G224" s="36">
        <f t="shared" si="6"/>
        <v>60</v>
      </c>
      <c r="H224" s="36">
        <f t="shared" si="7"/>
        <v>0</v>
      </c>
      <c r="I224" s="36">
        <v>0</v>
      </c>
      <c r="J224" s="36">
        <v>1</v>
      </c>
      <c r="K224" s="39">
        <v>45322</v>
      </c>
      <c r="L224" s="39">
        <v>23333</v>
      </c>
      <c r="M224" s="36" t="s">
        <v>106</v>
      </c>
      <c r="N224" s="36" t="s">
        <v>47</v>
      </c>
      <c r="O224" s="36" t="s">
        <v>48</v>
      </c>
      <c r="P224" s="36" t="s">
        <v>311</v>
      </c>
      <c r="Q224" s="7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</row>
    <row r="225" spans="1:41" ht="14.1">
      <c r="A225" s="34" t="s">
        <v>771</v>
      </c>
      <c r="B225" t="s">
        <v>772</v>
      </c>
      <c r="D225" s="7">
        <v>1164600</v>
      </c>
      <c r="E225" s="7" t="s">
        <v>753</v>
      </c>
      <c r="F225" s="7">
        <v>37</v>
      </c>
      <c r="G225" s="7">
        <f t="shared" si="6"/>
        <v>47</v>
      </c>
      <c r="H225" s="7">
        <f t="shared" si="7"/>
        <v>0</v>
      </c>
      <c r="I225" s="7">
        <v>0</v>
      </c>
      <c r="J225" s="7">
        <v>1</v>
      </c>
      <c r="K225" s="17">
        <v>45327</v>
      </c>
      <c r="L225" s="17">
        <v>27885</v>
      </c>
      <c r="M225" s="7" t="s">
        <v>55</v>
      </c>
      <c r="N225" s="7" t="s">
        <v>155</v>
      </c>
      <c r="O225" s="7" t="s">
        <v>43</v>
      </c>
      <c r="P225" s="7"/>
    </row>
    <row r="226" spans="1:41" ht="14.45">
      <c r="A226" s="36" t="s">
        <v>773</v>
      </c>
      <c r="B226" t="s">
        <v>774</v>
      </c>
      <c r="D226" s="36">
        <v>7257336</v>
      </c>
      <c r="E226" s="36"/>
      <c r="G226" s="36">
        <f t="shared" si="6"/>
        <v>62</v>
      </c>
      <c r="H226" s="36">
        <f t="shared" si="7"/>
        <v>0</v>
      </c>
      <c r="I226" s="36">
        <v>0</v>
      </c>
      <c r="J226" s="36">
        <v>1</v>
      </c>
      <c r="K226" s="39">
        <v>45329</v>
      </c>
      <c r="L226" s="39">
        <v>22335</v>
      </c>
      <c r="M226" s="36" t="s">
        <v>46</v>
      </c>
      <c r="N226" s="36" t="s">
        <v>47</v>
      </c>
      <c r="O226" s="36" t="s">
        <v>48</v>
      </c>
      <c r="P226" s="36" t="s">
        <v>311</v>
      </c>
    </row>
    <row r="227" spans="1:41" ht="14.45">
      <c r="A227" s="36" t="s">
        <v>775</v>
      </c>
      <c r="B227" t="s">
        <v>776</v>
      </c>
      <c r="D227" s="36">
        <v>7257341</v>
      </c>
      <c r="E227" s="36"/>
      <c r="G227" s="36">
        <f t="shared" si="6"/>
        <v>71</v>
      </c>
      <c r="H227" s="36">
        <f t="shared" si="7"/>
        <v>0</v>
      </c>
      <c r="I227" s="36">
        <v>0</v>
      </c>
      <c r="J227" s="36">
        <v>1</v>
      </c>
      <c r="K227" s="39">
        <v>45329</v>
      </c>
      <c r="L227" s="39">
        <v>19311</v>
      </c>
      <c r="M227" s="36" t="s">
        <v>55</v>
      </c>
      <c r="N227" s="36" t="s">
        <v>79</v>
      </c>
      <c r="O227" s="36" t="s">
        <v>48</v>
      </c>
      <c r="P227" s="36" t="s">
        <v>311</v>
      </c>
    </row>
    <row r="228" spans="1:41" ht="14.45">
      <c r="A228" s="36" t="s">
        <v>777</v>
      </c>
      <c r="B228" t="s">
        <v>778</v>
      </c>
      <c r="D228" s="36">
        <v>3934651</v>
      </c>
      <c r="E228" s="36"/>
      <c r="F228" s="36"/>
      <c r="G228" s="36">
        <f t="shared" si="6"/>
        <v>59</v>
      </c>
      <c r="H228" s="36">
        <f t="shared" si="7"/>
        <v>0</v>
      </c>
      <c r="I228" s="36">
        <v>0</v>
      </c>
      <c r="J228" s="36">
        <v>1</v>
      </c>
      <c r="K228" s="39">
        <v>45335</v>
      </c>
      <c r="L228" s="39">
        <v>23617</v>
      </c>
      <c r="M228" s="36" t="s">
        <v>106</v>
      </c>
      <c r="N228" s="36" t="s">
        <v>47</v>
      </c>
      <c r="O228" s="36" t="s">
        <v>48</v>
      </c>
      <c r="P228" s="36" t="s">
        <v>311</v>
      </c>
    </row>
    <row r="229" spans="1:41" ht="14.45">
      <c r="A229" s="36" t="s">
        <v>779</v>
      </c>
      <c r="B229" t="s">
        <v>780</v>
      </c>
      <c r="D229" s="36">
        <v>7262111</v>
      </c>
      <c r="E229" s="36"/>
      <c r="F229" s="36"/>
      <c r="G229" s="36">
        <f t="shared" si="6"/>
        <v>40</v>
      </c>
      <c r="H229" s="36">
        <f t="shared" si="7"/>
        <v>0</v>
      </c>
      <c r="I229" s="36">
        <v>0</v>
      </c>
      <c r="J229" s="36">
        <v>1</v>
      </c>
      <c r="K229" s="39">
        <v>45342</v>
      </c>
      <c r="L229" s="39">
        <v>30426</v>
      </c>
      <c r="M229" s="36" t="s">
        <v>55</v>
      </c>
      <c r="N229" s="36" t="s">
        <v>47</v>
      </c>
      <c r="O229" s="36" t="s">
        <v>48</v>
      </c>
      <c r="P229" s="36" t="s">
        <v>311</v>
      </c>
    </row>
    <row r="230" spans="1:41" ht="14.45">
      <c r="A230" s="36" t="s">
        <v>781</v>
      </c>
      <c r="B230" t="s">
        <v>782</v>
      </c>
      <c r="D230" s="36">
        <v>7263865</v>
      </c>
      <c r="E230" s="36"/>
      <c r="G230" s="36">
        <f t="shared" si="6"/>
        <v>64</v>
      </c>
      <c r="H230" s="36">
        <f t="shared" si="7"/>
        <v>0</v>
      </c>
      <c r="I230" s="36">
        <v>0</v>
      </c>
      <c r="J230" s="36">
        <v>1</v>
      </c>
      <c r="K230" s="39">
        <v>45345</v>
      </c>
      <c r="L230" s="39">
        <v>21704</v>
      </c>
      <c r="M230" s="36" t="s">
        <v>55</v>
      </c>
      <c r="N230" s="36" t="s">
        <v>47</v>
      </c>
      <c r="O230" s="36" t="s">
        <v>48</v>
      </c>
      <c r="P230" s="36" t="s">
        <v>311</v>
      </c>
    </row>
    <row r="231" spans="1:41" s="32" customFormat="1" ht="14.45">
      <c r="A231" s="36" t="s">
        <v>783</v>
      </c>
      <c r="B231" t="s">
        <v>784</v>
      </c>
      <c r="C231"/>
      <c r="D231" s="36">
        <v>7263872</v>
      </c>
      <c r="E231" s="36"/>
      <c r="F231"/>
      <c r="G231" s="36">
        <f t="shared" si="6"/>
        <v>58</v>
      </c>
      <c r="H231" s="36">
        <f t="shared" si="7"/>
        <v>0</v>
      </c>
      <c r="I231" s="36">
        <v>0</v>
      </c>
      <c r="J231" s="36">
        <v>1</v>
      </c>
      <c r="K231" s="39">
        <v>45350</v>
      </c>
      <c r="L231" s="39">
        <v>23978</v>
      </c>
      <c r="M231" s="36" t="s">
        <v>55</v>
      </c>
      <c r="N231" s="36" t="s">
        <v>47</v>
      </c>
      <c r="O231" s="36" t="s">
        <v>48</v>
      </c>
      <c r="P231" s="36" t="s">
        <v>311</v>
      </c>
      <c r="Q231" s="7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</row>
    <row r="232" spans="1:41" ht="14.45">
      <c r="A232" s="36" t="s">
        <v>785</v>
      </c>
      <c r="B232" t="s">
        <v>786</v>
      </c>
      <c r="D232" s="36">
        <v>7265993</v>
      </c>
      <c r="E232" s="36"/>
      <c r="G232" s="36">
        <f t="shared" si="6"/>
        <v>54</v>
      </c>
      <c r="H232" s="36">
        <f t="shared" si="7"/>
        <v>0</v>
      </c>
      <c r="I232" s="36">
        <v>0</v>
      </c>
      <c r="J232" s="36">
        <v>1</v>
      </c>
      <c r="K232" s="39">
        <v>45350</v>
      </c>
      <c r="L232" s="39">
        <v>25333</v>
      </c>
      <c r="M232" s="36" t="s">
        <v>55</v>
      </c>
      <c r="N232" s="36" t="s">
        <v>47</v>
      </c>
      <c r="O232" s="36" t="s">
        <v>48</v>
      </c>
      <c r="P232" s="36" t="s">
        <v>311</v>
      </c>
      <c r="R232" s="32"/>
      <c r="S232" s="32"/>
      <c r="T232" s="32"/>
      <c r="U232" s="32"/>
      <c r="V232" s="32"/>
      <c r="W232" s="32"/>
    </row>
    <row r="233" spans="1:41" ht="14.45">
      <c r="A233" s="36" t="s">
        <v>787</v>
      </c>
      <c r="B233" t="s">
        <v>788</v>
      </c>
      <c r="D233" s="36">
        <v>7265994</v>
      </c>
      <c r="E233" s="36"/>
      <c r="G233" s="36">
        <f t="shared" si="6"/>
        <v>22</v>
      </c>
      <c r="H233" s="36">
        <f t="shared" si="7"/>
        <v>1</v>
      </c>
      <c r="I233" s="36">
        <v>0</v>
      </c>
      <c r="J233" s="36">
        <v>1</v>
      </c>
      <c r="K233" s="39">
        <v>45350</v>
      </c>
      <c r="L233" s="39">
        <v>37014</v>
      </c>
      <c r="M233" s="36" t="s">
        <v>55</v>
      </c>
      <c r="N233" s="36" t="s">
        <v>197</v>
      </c>
      <c r="O233" s="36" t="s">
        <v>48</v>
      </c>
      <c r="P233" s="36" t="s">
        <v>311</v>
      </c>
    </row>
    <row r="234" spans="1:41" ht="14.45">
      <c r="A234" s="36" t="s">
        <v>789</v>
      </c>
      <c r="B234" t="s">
        <v>790</v>
      </c>
      <c r="D234" s="36">
        <v>7267039</v>
      </c>
      <c r="E234" s="36"/>
      <c r="G234" s="36">
        <f t="shared" si="6"/>
        <v>64</v>
      </c>
      <c r="H234" s="36">
        <f t="shared" si="7"/>
        <v>0</v>
      </c>
      <c r="I234" s="36">
        <v>0</v>
      </c>
      <c r="J234" s="36">
        <v>1</v>
      </c>
      <c r="K234" s="39">
        <v>45352</v>
      </c>
      <c r="L234" s="39">
        <v>21688</v>
      </c>
      <c r="M234" s="36" t="s">
        <v>55</v>
      </c>
      <c r="N234" s="36" t="s">
        <v>47</v>
      </c>
      <c r="O234" s="36" t="s">
        <v>48</v>
      </c>
      <c r="P234" s="36" t="s">
        <v>311</v>
      </c>
      <c r="R234" s="32"/>
      <c r="S234" s="32"/>
      <c r="T234" s="32"/>
      <c r="U234" s="32"/>
      <c r="V234" s="32"/>
      <c r="W234" s="32"/>
    </row>
    <row r="235" spans="1:41" ht="14.1">
      <c r="A235" s="34" t="s">
        <v>791</v>
      </c>
      <c r="B235" t="s">
        <v>792</v>
      </c>
      <c r="D235" s="7">
        <v>7267535</v>
      </c>
      <c r="E235" s="7" t="s">
        <v>753</v>
      </c>
      <c r="F235" s="7"/>
      <c r="G235" s="7">
        <f t="shared" si="6"/>
        <v>29</v>
      </c>
      <c r="H235" s="7">
        <f t="shared" si="7"/>
        <v>1</v>
      </c>
      <c r="I235" s="7">
        <v>0</v>
      </c>
      <c r="J235" s="7">
        <v>1</v>
      </c>
      <c r="K235" s="17">
        <v>45415</v>
      </c>
      <c r="L235" s="17">
        <v>34677</v>
      </c>
      <c r="M235" s="7" t="s">
        <v>55</v>
      </c>
      <c r="N235" s="7" t="s">
        <v>47</v>
      </c>
      <c r="O235" s="7" t="s">
        <v>48</v>
      </c>
      <c r="P235" s="7"/>
    </row>
    <row r="236" spans="1:41" ht="14.45">
      <c r="A236" s="36" t="s">
        <v>793</v>
      </c>
      <c r="B236" t="s">
        <v>794</v>
      </c>
      <c r="D236" s="36">
        <v>7268541</v>
      </c>
      <c r="E236" s="36"/>
      <c r="F236" s="36">
        <v>50</v>
      </c>
      <c r="G236" s="36">
        <f t="shared" si="6"/>
        <v>59</v>
      </c>
      <c r="H236" s="36">
        <f t="shared" si="7"/>
        <v>0</v>
      </c>
      <c r="I236" s="36">
        <v>0</v>
      </c>
      <c r="J236" s="36">
        <v>1</v>
      </c>
      <c r="K236" s="39">
        <v>45356</v>
      </c>
      <c r="L236" s="39">
        <v>23559</v>
      </c>
      <c r="M236" s="36" t="s">
        <v>55</v>
      </c>
      <c r="N236" s="36" t="s">
        <v>70</v>
      </c>
      <c r="O236" s="36" t="s">
        <v>43</v>
      </c>
      <c r="P236" s="36" t="s">
        <v>311</v>
      </c>
    </row>
    <row r="237" spans="1:41" ht="14.45">
      <c r="A237" s="36" t="s">
        <v>795</v>
      </c>
      <c r="B237" t="s">
        <v>796</v>
      </c>
      <c r="D237" s="36">
        <v>7272829</v>
      </c>
      <c r="E237" s="36"/>
      <c r="F237" s="36">
        <v>23</v>
      </c>
      <c r="G237" s="36">
        <f t="shared" si="6"/>
        <v>25</v>
      </c>
      <c r="H237" s="36">
        <f t="shared" si="7"/>
        <v>1</v>
      </c>
      <c r="I237" s="36">
        <v>0</v>
      </c>
      <c r="J237" s="36">
        <v>1</v>
      </c>
      <c r="K237" s="39">
        <v>45365</v>
      </c>
      <c r="L237" s="39">
        <v>36151</v>
      </c>
      <c r="M237" s="36" t="s">
        <v>46</v>
      </c>
      <c r="N237" s="36" t="s">
        <v>91</v>
      </c>
      <c r="O237" s="36" t="s">
        <v>43</v>
      </c>
      <c r="P237" s="36" t="s">
        <v>311</v>
      </c>
    </row>
    <row r="238" spans="1:41" ht="14.1">
      <c r="A238" s="32" t="s">
        <v>797</v>
      </c>
      <c r="B238" t="s">
        <v>798</v>
      </c>
      <c r="D238" s="7">
        <v>4690500</v>
      </c>
      <c r="E238" s="7" t="s">
        <v>799</v>
      </c>
      <c r="G238" s="7">
        <f t="shared" si="6"/>
        <v>34</v>
      </c>
      <c r="H238" s="7">
        <f t="shared" si="7"/>
        <v>1</v>
      </c>
      <c r="I238" s="7">
        <v>0</v>
      </c>
      <c r="J238" s="7">
        <v>1</v>
      </c>
      <c r="K238" s="17">
        <v>45365</v>
      </c>
      <c r="L238" s="16">
        <v>32825</v>
      </c>
      <c r="M238" s="7" t="s">
        <v>106</v>
      </c>
      <c r="N238" s="7" t="s">
        <v>79</v>
      </c>
      <c r="O238" s="7" t="s">
        <v>48</v>
      </c>
    </row>
    <row r="239" spans="1:41" s="32" customFormat="1" ht="14.1">
      <c r="A239" s="32" t="s">
        <v>800</v>
      </c>
      <c r="B239" t="s">
        <v>801</v>
      </c>
      <c r="C239"/>
      <c r="D239" s="7">
        <v>7175295</v>
      </c>
      <c r="E239" s="7" t="s">
        <v>799</v>
      </c>
      <c r="F239"/>
      <c r="G239" s="7">
        <f t="shared" si="6"/>
        <v>33</v>
      </c>
      <c r="H239" s="7">
        <f t="shared" si="7"/>
        <v>1</v>
      </c>
      <c r="I239" s="7">
        <v>0</v>
      </c>
      <c r="J239" s="7">
        <v>1</v>
      </c>
      <c r="K239" s="16">
        <v>45366</v>
      </c>
      <c r="L239" s="16">
        <v>33103</v>
      </c>
      <c r="M239" s="7" t="s">
        <v>164</v>
      </c>
      <c r="N239" t="s">
        <v>91</v>
      </c>
      <c r="O239" s="7" t="s">
        <v>48</v>
      </c>
      <c r="P239"/>
      <c r="Q239" s="7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</row>
    <row r="240" spans="1:41" ht="14.45">
      <c r="A240" s="36" t="s">
        <v>802</v>
      </c>
      <c r="B240" t="s">
        <v>803</v>
      </c>
      <c r="D240" s="36">
        <v>7277363</v>
      </c>
      <c r="E240" s="36"/>
      <c r="F240" s="36"/>
      <c r="G240" s="36">
        <f t="shared" si="6"/>
        <v>79</v>
      </c>
      <c r="H240" s="36">
        <f t="shared" si="7"/>
        <v>0</v>
      </c>
      <c r="I240" s="36">
        <v>0</v>
      </c>
      <c r="J240" s="36">
        <v>1</v>
      </c>
      <c r="K240" s="39">
        <v>45376</v>
      </c>
      <c r="L240" s="39">
        <v>16222</v>
      </c>
      <c r="M240" s="36" t="s">
        <v>55</v>
      </c>
      <c r="N240" s="36" t="s">
        <v>47</v>
      </c>
      <c r="O240" s="36" t="s">
        <v>48</v>
      </c>
      <c r="P240" s="36" t="s">
        <v>311</v>
      </c>
      <c r="R240" s="32"/>
      <c r="S240" s="32"/>
      <c r="T240" s="32"/>
      <c r="U240" s="32"/>
      <c r="V240" s="32"/>
      <c r="W240" s="32"/>
    </row>
    <row r="241" spans="1:41" ht="14.45">
      <c r="A241" s="36" t="s">
        <v>804</v>
      </c>
      <c r="B241" t="s">
        <v>805</v>
      </c>
      <c r="D241" s="36">
        <v>7277369</v>
      </c>
      <c r="E241" s="36"/>
      <c r="F241" s="36"/>
      <c r="G241" s="36">
        <f t="shared" si="6"/>
        <v>56</v>
      </c>
      <c r="H241" s="36">
        <f t="shared" si="7"/>
        <v>0</v>
      </c>
      <c r="I241" s="36">
        <v>0</v>
      </c>
      <c r="J241" s="36">
        <v>1</v>
      </c>
      <c r="K241" s="39">
        <v>45376</v>
      </c>
      <c r="L241" s="39">
        <v>24678</v>
      </c>
      <c r="M241" s="36" t="s">
        <v>46</v>
      </c>
      <c r="N241" s="36" t="s">
        <v>91</v>
      </c>
      <c r="O241" s="36" t="s">
        <v>48</v>
      </c>
      <c r="P241" s="36" t="s">
        <v>311</v>
      </c>
    </row>
    <row r="242" spans="1:41" ht="14.45">
      <c r="A242" s="36" t="s">
        <v>806</v>
      </c>
      <c r="B242" t="s">
        <v>807</v>
      </c>
      <c r="D242" s="36">
        <v>7277372</v>
      </c>
      <c r="E242" s="36"/>
      <c r="F242" s="36"/>
      <c r="G242" s="36">
        <f t="shared" si="6"/>
        <v>73</v>
      </c>
      <c r="H242" s="36">
        <f t="shared" si="7"/>
        <v>0</v>
      </c>
      <c r="I242" s="36">
        <v>0</v>
      </c>
      <c r="J242" s="36">
        <v>1</v>
      </c>
      <c r="K242" s="39">
        <v>45376</v>
      </c>
      <c r="L242" s="39">
        <v>18545</v>
      </c>
      <c r="M242" s="36" t="s">
        <v>106</v>
      </c>
      <c r="N242" s="36" t="s">
        <v>47</v>
      </c>
      <c r="O242" s="36" t="s">
        <v>48</v>
      </c>
      <c r="P242" s="36" t="s">
        <v>311</v>
      </c>
      <c r="R242" s="32"/>
      <c r="S242" s="32"/>
      <c r="T242" s="32"/>
      <c r="U242" s="32"/>
      <c r="V242" s="32"/>
      <c r="W242" s="32"/>
    </row>
    <row r="243" spans="1:41" s="32" customFormat="1" ht="14.1">
      <c r="A243" s="34" t="s">
        <v>808</v>
      </c>
      <c r="B243" t="s">
        <v>809</v>
      </c>
      <c r="C243"/>
      <c r="D243" s="7">
        <v>3879460</v>
      </c>
      <c r="E243" s="7" t="s">
        <v>799</v>
      </c>
      <c r="F243" s="7"/>
      <c r="G243" s="7">
        <f t="shared" si="6"/>
        <v>30</v>
      </c>
      <c r="H243" s="7">
        <f t="shared" si="7"/>
        <v>1</v>
      </c>
      <c r="I243" s="7">
        <v>0</v>
      </c>
      <c r="J243" s="7">
        <v>1</v>
      </c>
      <c r="K243" s="17">
        <v>45378</v>
      </c>
      <c r="L243" s="17">
        <v>34402</v>
      </c>
      <c r="M243" s="7" t="s">
        <v>106</v>
      </c>
      <c r="N243" s="7" t="s">
        <v>70</v>
      </c>
      <c r="O243" s="7" t="s">
        <v>48</v>
      </c>
      <c r="P243" s="7"/>
      <c r="Q243" s="7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</row>
    <row r="244" spans="1:41" ht="14.1">
      <c r="A244" s="34" t="s">
        <v>810</v>
      </c>
      <c r="B244" t="s">
        <v>811</v>
      </c>
      <c r="D244" s="7">
        <v>7167145</v>
      </c>
      <c r="E244" s="7" t="s">
        <v>799</v>
      </c>
      <c r="F244" s="7"/>
      <c r="G244" s="7">
        <f t="shared" si="6"/>
        <v>46</v>
      </c>
      <c r="H244" s="7">
        <f t="shared" si="7"/>
        <v>0</v>
      </c>
      <c r="I244" s="7">
        <v>0</v>
      </c>
      <c r="J244" s="7">
        <v>1</v>
      </c>
      <c r="K244" s="17">
        <v>45379</v>
      </c>
      <c r="L244" s="17">
        <v>28315</v>
      </c>
      <c r="M244" s="7" t="s">
        <v>106</v>
      </c>
      <c r="N244" s="7" t="s">
        <v>70</v>
      </c>
      <c r="O244" s="7" t="s">
        <v>48</v>
      </c>
      <c r="P244" s="7"/>
      <c r="R244" s="32"/>
      <c r="S244" s="32"/>
      <c r="T244" s="32"/>
      <c r="U244" s="32"/>
      <c r="V244" s="32"/>
      <c r="W244" s="32"/>
    </row>
    <row r="245" spans="1:41" ht="14.45">
      <c r="A245" s="36" t="s">
        <v>812</v>
      </c>
      <c r="B245" t="s">
        <v>813</v>
      </c>
      <c r="D245" s="36">
        <v>7281090</v>
      </c>
      <c r="E245" s="36"/>
      <c r="F245" s="36"/>
      <c r="G245" s="36">
        <f t="shared" si="6"/>
        <v>69</v>
      </c>
      <c r="H245" s="36">
        <f t="shared" si="7"/>
        <v>0</v>
      </c>
      <c r="I245" s="36">
        <v>0</v>
      </c>
      <c r="J245" s="36">
        <v>1</v>
      </c>
      <c r="K245" s="39">
        <v>45386</v>
      </c>
      <c r="L245" s="39">
        <v>20180</v>
      </c>
      <c r="M245" s="36" t="s">
        <v>106</v>
      </c>
      <c r="N245" s="36" t="s">
        <v>47</v>
      </c>
      <c r="O245" s="36" t="s">
        <v>48</v>
      </c>
      <c r="P245" s="36" t="s">
        <v>311</v>
      </c>
    </row>
    <row r="246" spans="1:41" ht="14.1">
      <c r="A246" s="34" t="s">
        <v>814</v>
      </c>
      <c r="B246" t="s">
        <v>815</v>
      </c>
      <c r="D246" s="7">
        <v>7279562</v>
      </c>
      <c r="E246" s="7" t="s">
        <v>753</v>
      </c>
      <c r="G246" s="7">
        <f t="shared" si="6"/>
        <v>31</v>
      </c>
      <c r="H246" s="7">
        <f t="shared" si="7"/>
        <v>1</v>
      </c>
      <c r="I246" s="7">
        <v>0</v>
      </c>
      <c r="J246" s="7">
        <v>1</v>
      </c>
      <c r="K246" s="16">
        <v>45390</v>
      </c>
      <c r="L246" s="16">
        <v>33744</v>
      </c>
      <c r="M246" s="7" t="s">
        <v>164</v>
      </c>
      <c r="N246" s="7" t="s">
        <v>70</v>
      </c>
      <c r="O246" s="7" t="s">
        <v>48</v>
      </c>
    </row>
    <row r="247" spans="1:41" ht="14.45">
      <c r="A247" s="36" t="s">
        <v>816</v>
      </c>
      <c r="B247" t="s">
        <v>817</v>
      </c>
      <c r="D247" s="36">
        <v>7282841</v>
      </c>
      <c r="E247" s="36"/>
      <c r="F247" s="36"/>
      <c r="G247" s="36">
        <f t="shared" si="6"/>
        <v>87</v>
      </c>
      <c r="H247" s="36">
        <f t="shared" si="7"/>
        <v>0</v>
      </c>
      <c r="I247" s="36">
        <v>0</v>
      </c>
      <c r="J247" s="36">
        <v>1</v>
      </c>
      <c r="K247" s="39">
        <v>45390</v>
      </c>
      <c r="L247" s="39">
        <v>13341</v>
      </c>
      <c r="M247" s="36" t="s">
        <v>106</v>
      </c>
      <c r="N247" s="36" t="s">
        <v>70</v>
      </c>
      <c r="O247" s="36" t="s">
        <v>48</v>
      </c>
      <c r="P247" s="36" t="s">
        <v>311</v>
      </c>
    </row>
    <row r="248" spans="1:41" ht="14.45">
      <c r="A248" s="36" t="s">
        <v>818</v>
      </c>
      <c r="B248" t="s">
        <v>819</v>
      </c>
      <c r="D248" s="36">
        <v>7282853</v>
      </c>
      <c r="E248" s="36"/>
      <c r="F248" s="36"/>
      <c r="G248" s="36">
        <f t="shared" si="6"/>
        <v>46</v>
      </c>
      <c r="H248" s="36">
        <f t="shared" si="7"/>
        <v>0</v>
      </c>
      <c r="I248" s="36">
        <v>0</v>
      </c>
      <c r="J248" s="36">
        <v>1</v>
      </c>
      <c r="K248" s="39">
        <v>45390</v>
      </c>
      <c r="L248" s="39">
        <v>28461</v>
      </c>
      <c r="M248" s="36" t="s">
        <v>46</v>
      </c>
      <c r="N248" s="36" t="s">
        <v>47</v>
      </c>
      <c r="O248" s="36" t="s">
        <v>48</v>
      </c>
      <c r="P248" s="36" t="s">
        <v>311</v>
      </c>
    </row>
    <row r="249" spans="1:41" ht="14.1">
      <c r="A249" s="34" t="s">
        <v>820</v>
      </c>
      <c r="B249" t="s">
        <v>821</v>
      </c>
      <c r="D249">
        <v>1313954</v>
      </c>
      <c r="E249" t="s">
        <v>799</v>
      </c>
      <c r="F249">
        <v>41</v>
      </c>
      <c r="G249" s="7">
        <f t="shared" si="6"/>
        <v>57</v>
      </c>
      <c r="H249" s="7">
        <f t="shared" si="7"/>
        <v>0</v>
      </c>
      <c r="I249">
        <v>0</v>
      </c>
      <c r="J249">
        <v>1</v>
      </c>
      <c r="K249" s="16">
        <v>45392</v>
      </c>
      <c r="L249" s="16">
        <v>24380</v>
      </c>
      <c r="M249" t="s">
        <v>55</v>
      </c>
      <c r="N249" t="s">
        <v>155</v>
      </c>
      <c r="O249" t="s">
        <v>43</v>
      </c>
      <c r="P249" s="7"/>
    </row>
    <row r="250" spans="1:41" ht="14.45">
      <c r="A250" s="36" t="s">
        <v>822</v>
      </c>
      <c r="B250" t="s">
        <v>823</v>
      </c>
      <c r="D250" s="36">
        <v>7267783</v>
      </c>
      <c r="E250" s="36"/>
      <c r="F250" s="36"/>
      <c r="G250" s="36">
        <f t="shared" si="6"/>
        <v>35</v>
      </c>
      <c r="H250" s="36">
        <f t="shared" si="7"/>
        <v>1</v>
      </c>
      <c r="I250" s="36">
        <v>0</v>
      </c>
      <c r="J250" s="36">
        <v>1</v>
      </c>
      <c r="K250" s="39">
        <v>45397</v>
      </c>
      <c r="L250" s="39">
        <v>32520</v>
      </c>
      <c r="M250" s="36" t="s">
        <v>55</v>
      </c>
      <c r="N250" s="36" t="s">
        <v>79</v>
      </c>
      <c r="O250" s="36" t="s">
        <v>48</v>
      </c>
      <c r="P250" s="36" t="s">
        <v>311</v>
      </c>
      <c r="R250" s="32"/>
      <c r="S250" s="32"/>
      <c r="T250" s="32"/>
      <c r="U250" s="32"/>
      <c r="V250" s="32"/>
      <c r="W250" s="32"/>
    </row>
    <row r="251" spans="1:41" ht="14.1">
      <c r="A251" s="34" t="s">
        <v>824</v>
      </c>
      <c r="B251" t="s">
        <v>825</v>
      </c>
      <c r="D251">
        <v>7275647</v>
      </c>
      <c r="E251" t="s">
        <v>753</v>
      </c>
      <c r="G251" s="7">
        <f t="shared" si="6"/>
        <v>37</v>
      </c>
      <c r="H251" s="7">
        <f t="shared" si="7"/>
        <v>1</v>
      </c>
      <c r="I251">
        <v>0</v>
      </c>
      <c r="J251">
        <v>1</v>
      </c>
      <c r="K251" s="16">
        <v>45404</v>
      </c>
      <c r="L251" s="16">
        <v>31797</v>
      </c>
      <c r="M251" t="s">
        <v>826</v>
      </c>
      <c r="N251" t="s">
        <v>155</v>
      </c>
      <c r="O251" t="s">
        <v>43</v>
      </c>
    </row>
    <row r="252" spans="1:41" ht="14.45">
      <c r="A252" s="36" t="s">
        <v>827</v>
      </c>
      <c r="B252" t="s">
        <v>828</v>
      </c>
      <c r="D252" s="36">
        <v>7292534</v>
      </c>
      <c r="E252" s="36"/>
      <c r="F252" s="36"/>
      <c r="G252" s="36">
        <f t="shared" si="6"/>
        <v>53</v>
      </c>
      <c r="H252" s="36">
        <f t="shared" si="7"/>
        <v>0</v>
      </c>
      <c r="I252" s="36">
        <v>0</v>
      </c>
      <c r="J252" s="36">
        <v>1</v>
      </c>
      <c r="K252" s="39">
        <v>45411</v>
      </c>
      <c r="L252" s="39">
        <v>25931</v>
      </c>
      <c r="M252" s="36" t="s">
        <v>826</v>
      </c>
      <c r="N252" s="36" t="s">
        <v>47</v>
      </c>
      <c r="O252" s="36" t="s">
        <v>48</v>
      </c>
      <c r="P252" s="36" t="s">
        <v>311</v>
      </c>
    </row>
    <row r="253" spans="1:41" s="32" customFormat="1" ht="14.45">
      <c r="A253" s="36" t="s">
        <v>829</v>
      </c>
      <c r="B253" t="s">
        <v>830</v>
      </c>
      <c r="C253"/>
      <c r="D253" s="36">
        <v>7292563</v>
      </c>
      <c r="E253" s="36"/>
      <c r="F253" s="36"/>
      <c r="G253" s="36">
        <f t="shared" si="6"/>
        <v>69</v>
      </c>
      <c r="H253" s="36">
        <f t="shared" si="7"/>
        <v>0</v>
      </c>
      <c r="I253" s="36">
        <v>0</v>
      </c>
      <c r="J253" s="36">
        <v>1</v>
      </c>
      <c r="K253" s="39">
        <v>45411</v>
      </c>
      <c r="L253" s="39">
        <v>20059</v>
      </c>
      <c r="M253" s="36" t="s">
        <v>106</v>
      </c>
      <c r="N253" s="36" t="s">
        <v>47</v>
      </c>
      <c r="O253" s="36" t="s">
        <v>48</v>
      </c>
      <c r="P253" s="36" t="s">
        <v>311</v>
      </c>
      <c r="Q253" s="7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</row>
    <row r="254" spans="1:41" ht="14.45">
      <c r="A254" s="36" t="s">
        <v>831</v>
      </c>
      <c r="B254" t="s">
        <v>832</v>
      </c>
      <c r="D254" s="36">
        <v>7292578</v>
      </c>
      <c r="E254" s="36"/>
      <c r="F254" s="36"/>
      <c r="G254" s="36">
        <f t="shared" si="6"/>
        <v>58</v>
      </c>
      <c r="H254" s="36">
        <f t="shared" si="7"/>
        <v>0</v>
      </c>
      <c r="I254" s="36">
        <v>0</v>
      </c>
      <c r="J254" s="36">
        <v>1</v>
      </c>
      <c r="K254" s="39">
        <v>45411</v>
      </c>
      <c r="L254" s="39">
        <v>23980</v>
      </c>
      <c r="M254" s="36" t="s">
        <v>55</v>
      </c>
      <c r="N254" s="36" t="s">
        <v>47</v>
      </c>
      <c r="O254" s="36" t="s">
        <v>48</v>
      </c>
      <c r="P254" s="36" t="s">
        <v>311</v>
      </c>
    </row>
    <row r="255" spans="1:41" s="32" customFormat="1" ht="14.45">
      <c r="A255" s="36" t="s">
        <v>833</v>
      </c>
      <c r="B255" t="s">
        <v>834</v>
      </c>
      <c r="C255"/>
      <c r="D255" s="36">
        <v>7292594</v>
      </c>
      <c r="E255" s="36"/>
      <c r="F255" s="36"/>
      <c r="G255" s="36">
        <f t="shared" si="6"/>
        <v>58</v>
      </c>
      <c r="H255" s="36">
        <f t="shared" si="7"/>
        <v>0</v>
      </c>
      <c r="I255" s="36">
        <v>0</v>
      </c>
      <c r="J255" s="36">
        <v>1</v>
      </c>
      <c r="K255" s="39">
        <v>45411</v>
      </c>
      <c r="L255" s="39">
        <v>23937</v>
      </c>
      <c r="M255" s="36" t="s">
        <v>55</v>
      </c>
      <c r="N255" s="36" t="s">
        <v>47</v>
      </c>
      <c r="O255" s="36" t="s">
        <v>48</v>
      </c>
      <c r="P255" s="36" t="s">
        <v>311</v>
      </c>
      <c r="Q255" s="7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</row>
    <row r="256" spans="1:41" ht="14.45">
      <c r="A256" s="36" t="s">
        <v>835</v>
      </c>
      <c r="B256" t="s">
        <v>836</v>
      </c>
      <c r="D256" s="36">
        <v>7292601</v>
      </c>
      <c r="E256" s="36"/>
      <c r="F256" s="36"/>
      <c r="G256" s="36">
        <f t="shared" si="6"/>
        <v>67</v>
      </c>
      <c r="H256" s="36">
        <f t="shared" si="7"/>
        <v>0</v>
      </c>
      <c r="I256" s="36">
        <v>0</v>
      </c>
      <c r="J256" s="36">
        <v>1</v>
      </c>
      <c r="K256" s="39">
        <v>45411</v>
      </c>
      <c r="L256" s="39">
        <v>20803</v>
      </c>
      <c r="M256" s="36" t="s">
        <v>46</v>
      </c>
      <c r="N256" s="36" t="s">
        <v>47</v>
      </c>
      <c r="O256" s="36" t="s">
        <v>48</v>
      </c>
      <c r="P256" s="36" t="s">
        <v>311</v>
      </c>
    </row>
    <row r="257" spans="1:41" ht="14.45">
      <c r="A257" s="36" t="s">
        <v>837</v>
      </c>
      <c r="B257" t="s">
        <v>838</v>
      </c>
      <c r="D257" s="36">
        <v>7292610</v>
      </c>
      <c r="E257" s="36"/>
      <c r="F257" s="36"/>
      <c r="G257" s="36">
        <f t="shared" si="6"/>
        <v>63</v>
      </c>
      <c r="H257" s="36">
        <f t="shared" si="7"/>
        <v>0</v>
      </c>
      <c r="I257" s="36">
        <v>0</v>
      </c>
      <c r="J257" s="36">
        <v>1</v>
      </c>
      <c r="K257" s="39">
        <v>45411</v>
      </c>
      <c r="L257" s="39">
        <v>22285</v>
      </c>
      <c r="M257" s="36" t="s">
        <v>55</v>
      </c>
      <c r="N257" s="36" t="s">
        <v>70</v>
      </c>
      <c r="O257" s="36" t="s">
        <v>43</v>
      </c>
      <c r="P257" s="36" t="s">
        <v>311</v>
      </c>
    </row>
    <row r="258" spans="1:41" ht="14.45">
      <c r="A258" s="36" t="s">
        <v>839</v>
      </c>
      <c r="B258" t="s">
        <v>840</v>
      </c>
      <c r="D258" s="36">
        <v>7292676</v>
      </c>
      <c r="E258" s="36"/>
      <c r="F258" s="36"/>
      <c r="G258" s="36">
        <f t="shared" ref="G258:G291" si="8">DATEDIF(L258,K258,"Y")</f>
        <v>56</v>
      </c>
      <c r="H258" s="36">
        <f t="shared" ref="H258:H291" si="9">IF(G258&lt;=39,1,0)</f>
        <v>0</v>
      </c>
      <c r="I258" s="36">
        <v>0</v>
      </c>
      <c r="J258" s="36">
        <v>1</v>
      </c>
      <c r="K258" s="39">
        <v>45411</v>
      </c>
      <c r="L258" s="39">
        <v>24912</v>
      </c>
      <c r="M258" s="36" t="s">
        <v>685</v>
      </c>
      <c r="N258" s="36" t="s">
        <v>47</v>
      </c>
      <c r="O258" s="36" t="s">
        <v>48</v>
      </c>
      <c r="P258" s="36" t="s">
        <v>311</v>
      </c>
    </row>
    <row r="259" spans="1:41" ht="14.1">
      <c r="A259" s="63" t="s">
        <v>841</v>
      </c>
      <c r="B259" t="s">
        <v>842</v>
      </c>
      <c r="D259" s="21">
        <v>7289013</v>
      </c>
      <c r="E259" s="21" t="s">
        <v>753</v>
      </c>
      <c r="F259" s="21"/>
      <c r="G259" s="60">
        <f t="shared" si="8"/>
        <v>39</v>
      </c>
      <c r="H259" s="60">
        <f t="shared" si="9"/>
        <v>1</v>
      </c>
      <c r="I259" s="21">
        <v>0</v>
      </c>
      <c r="J259" s="21">
        <v>1</v>
      </c>
      <c r="K259" s="23">
        <v>45412</v>
      </c>
      <c r="L259" s="23">
        <v>31090</v>
      </c>
      <c r="M259" s="60" t="s">
        <v>46</v>
      </c>
      <c r="N259" s="60" t="s">
        <v>47</v>
      </c>
      <c r="O259" s="60" t="s">
        <v>48</v>
      </c>
    </row>
    <row r="260" spans="1:41" s="32" customFormat="1" ht="14.45">
      <c r="A260" s="36" t="s">
        <v>843</v>
      </c>
      <c r="B260" t="s">
        <v>844</v>
      </c>
      <c r="C260"/>
      <c r="D260" s="36">
        <v>7293944</v>
      </c>
      <c r="E260" s="36"/>
      <c r="F260" s="36"/>
      <c r="G260" s="36">
        <f t="shared" si="8"/>
        <v>67</v>
      </c>
      <c r="H260" s="36">
        <f t="shared" si="9"/>
        <v>0</v>
      </c>
      <c r="I260" s="36">
        <v>0</v>
      </c>
      <c r="J260" s="36">
        <v>0</v>
      </c>
      <c r="K260" s="39">
        <v>45413</v>
      </c>
      <c r="L260" s="39">
        <v>20931</v>
      </c>
      <c r="M260" s="36" t="s">
        <v>232</v>
      </c>
      <c r="N260" s="36" t="s">
        <v>452</v>
      </c>
      <c r="O260" s="36" t="s">
        <v>48</v>
      </c>
      <c r="P260" s="36" t="s">
        <v>311</v>
      </c>
      <c r="Q260" s="7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</row>
    <row r="261" spans="1:41" s="32" customFormat="1" ht="14.45">
      <c r="A261" s="36" t="s">
        <v>845</v>
      </c>
      <c r="B261" t="s">
        <v>846</v>
      </c>
      <c r="C261"/>
      <c r="D261" s="36">
        <v>7294647</v>
      </c>
      <c r="E261" s="36"/>
      <c r="F261" s="36"/>
      <c r="G261" s="36">
        <f t="shared" si="8"/>
        <v>56</v>
      </c>
      <c r="H261" s="36">
        <f t="shared" si="9"/>
        <v>0</v>
      </c>
      <c r="I261" s="36">
        <v>0</v>
      </c>
      <c r="J261" s="36">
        <v>1</v>
      </c>
      <c r="K261" s="39">
        <v>45414</v>
      </c>
      <c r="L261" s="39">
        <v>24871</v>
      </c>
      <c r="M261" s="36" t="s">
        <v>55</v>
      </c>
      <c r="N261" s="36" t="s">
        <v>47</v>
      </c>
      <c r="O261" s="36" t="s">
        <v>43</v>
      </c>
      <c r="P261" s="36" t="s">
        <v>311</v>
      </c>
      <c r="Q261" s="7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</row>
    <row r="262" spans="1:41" ht="14.45">
      <c r="A262" s="36" t="s">
        <v>847</v>
      </c>
      <c r="B262" t="s">
        <v>848</v>
      </c>
      <c r="D262" s="36">
        <v>7294664</v>
      </c>
      <c r="E262" s="36"/>
      <c r="F262" s="36"/>
      <c r="G262" s="36">
        <f t="shared" si="8"/>
        <v>64</v>
      </c>
      <c r="H262" s="36">
        <f t="shared" si="9"/>
        <v>0</v>
      </c>
      <c r="I262" s="36">
        <v>0</v>
      </c>
      <c r="J262" s="36">
        <v>1</v>
      </c>
      <c r="K262" s="39">
        <v>45414</v>
      </c>
      <c r="L262" s="39">
        <v>21746</v>
      </c>
      <c r="M262" s="36" t="s">
        <v>55</v>
      </c>
      <c r="N262" s="36" t="s">
        <v>47</v>
      </c>
      <c r="O262" s="36" t="s">
        <v>48</v>
      </c>
      <c r="P262" s="36" t="s">
        <v>311</v>
      </c>
      <c r="R262" s="32"/>
      <c r="S262" s="32"/>
      <c r="T262" s="32"/>
      <c r="U262" s="32"/>
      <c r="V262" s="32"/>
      <c r="W262" s="32"/>
    </row>
    <row r="263" spans="1:41" ht="14.45">
      <c r="A263" s="36" t="s">
        <v>849</v>
      </c>
      <c r="B263" t="s">
        <v>850</v>
      </c>
      <c r="D263" s="36">
        <v>7294711</v>
      </c>
      <c r="E263" s="36"/>
      <c r="F263" s="36"/>
      <c r="G263" s="36">
        <f t="shared" si="8"/>
        <v>63</v>
      </c>
      <c r="H263" s="36">
        <f t="shared" si="9"/>
        <v>0</v>
      </c>
      <c r="I263" s="36">
        <v>0</v>
      </c>
      <c r="J263" s="36">
        <v>1</v>
      </c>
      <c r="K263" s="39">
        <v>45414</v>
      </c>
      <c r="L263" s="39">
        <v>22376</v>
      </c>
      <c r="M263" s="36" t="s">
        <v>55</v>
      </c>
      <c r="N263" s="36" t="s">
        <v>47</v>
      </c>
      <c r="O263" s="36" t="s">
        <v>48</v>
      </c>
      <c r="P263" s="36" t="s">
        <v>311</v>
      </c>
    </row>
    <row r="264" spans="1:41" ht="14.45">
      <c r="A264" s="36" t="s">
        <v>851</v>
      </c>
      <c r="B264" t="s">
        <v>852</v>
      </c>
      <c r="D264" s="36">
        <v>7295484</v>
      </c>
      <c r="G264" s="36">
        <f t="shared" si="8"/>
        <v>42</v>
      </c>
      <c r="H264" s="36">
        <f t="shared" si="9"/>
        <v>0</v>
      </c>
      <c r="I264" s="36">
        <v>0</v>
      </c>
      <c r="J264" s="36">
        <v>1</v>
      </c>
      <c r="K264" s="39">
        <v>45415</v>
      </c>
      <c r="L264" s="39">
        <v>30003</v>
      </c>
      <c r="M264" s="36" t="s">
        <v>55</v>
      </c>
      <c r="N264" s="36" t="s">
        <v>70</v>
      </c>
      <c r="O264" s="36" t="s">
        <v>43</v>
      </c>
      <c r="P264" s="36" t="s">
        <v>311</v>
      </c>
    </row>
    <row r="265" spans="1:41" ht="14.45">
      <c r="A265" s="36" t="s">
        <v>853</v>
      </c>
      <c r="B265" t="s">
        <v>854</v>
      </c>
      <c r="D265" s="36">
        <v>7295502</v>
      </c>
      <c r="G265" s="36">
        <f t="shared" si="8"/>
        <v>37</v>
      </c>
      <c r="H265" s="36">
        <f t="shared" si="9"/>
        <v>1</v>
      </c>
      <c r="I265" s="36">
        <v>0</v>
      </c>
      <c r="J265" s="36">
        <v>1</v>
      </c>
      <c r="K265" s="39">
        <v>45415</v>
      </c>
      <c r="L265" s="39">
        <v>31665</v>
      </c>
      <c r="M265" s="36" t="s">
        <v>55</v>
      </c>
      <c r="N265" s="36" t="s">
        <v>47</v>
      </c>
      <c r="O265" s="36" t="s">
        <v>48</v>
      </c>
      <c r="P265" s="36" t="s">
        <v>311</v>
      </c>
    </row>
    <row r="266" spans="1:41" s="32" customFormat="1" ht="14.1">
      <c r="A266" s="34" t="s">
        <v>855</v>
      </c>
      <c r="B266" t="s">
        <v>856</v>
      </c>
      <c r="C266"/>
      <c r="D266" s="7">
        <v>7242562</v>
      </c>
      <c r="E266" s="7" t="s">
        <v>799</v>
      </c>
      <c r="F266" s="7"/>
      <c r="G266" s="7">
        <f t="shared" si="8"/>
        <v>36</v>
      </c>
      <c r="H266" s="7">
        <f t="shared" si="9"/>
        <v>1</v>
      </c>
      <c r="I266" s="7">
        <v>0</v>
      </c>
      <c r="J266" s="7">
        <v>1</v>
      </c>
      <c r="K266" s="17">
        <v>45420</v>
      </c>
      <c r="L266" s="17">
        <v>32047</v>
      </c>
      <c r="M266" s="7" t="s">
        <v>106</v>
      </c>
      <c r="N266" s="7" t="s">
        <v>70</v>
      </c>
      <c r="O266" s="7" t="s">
        <v>48</v>
      </c>
      <c r="P266" s="7"/>
      <c r="Q266" s="7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</row>
    <row r="267" spans="1:41" s="32" customFormat="1" ht="14.1">
      <c r="A267" s="32" t="s">
        <v>857</v>
      </c>
      <c r="B267" t="s">
        <v>858</v>
      </c>
      <c r="C267"/>
      <c r="D267">
        <v>3697960</v>
      </c>
      <c r="E267" t="s">
        <v>799</v>
      </c>
      <c r="F267">
        <v>46</v>
      </c>
      <c r="G267" s="7">
        <f t="shared" si="8"/>
        <v>62</v>
      </c>
      <c r="H267" s="7">
        <f t="shared" si="9"/>
        <v>0</v>
      </c>
      <c r="I267">
        <v>0</v>
      </c>
      <c r="J267">
        <v>1</v>
      </c>
      <c r="K267" s="16">
        <v>45426</v>
      </c>
      <c r="L267" s="16">
        <v>22668</v>
      </c>
      <c r="M267" t="s">
        <v>55</v>
      </c>
      <c r="N267" t="s">
        <v>155</v>
      </c>
      <c r="O267" t="s">
        <v>43</v>
      </c>
      <c r="P267"/>
      <c r="Q267" s="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</row>
    <row r="268" spans="1:41" ht="14.1">
      <c r="A268" s="32" t="s">
        <v>859</v>
      </c>
      <c r="B268" t="s">
        <v>860</v>
      </c>
      <c r="D268">
        <v>2774509</v>
      </c>
      <c r="E268" t="s">
        <v>799</v>
      </c>
      <c r="G268" s="7">
        <f t="shared" si="8"/>
        <v>61</v>
      </c>
      <c r="H268" s="7">
        <f t="shared" si="9"/>
        <v>0</v>
      </c>
      <c r="I268">
        <v>0</v>
      </c>
      <c r="J268">
        <v>1</v>
      </c>
      <c r="K268" s="16">
        <v>45429</v>
      </c>
      <c r="L268" s="16">
        <v>23141</v>
      </c>
      <c r="M268" t="s">
        <v>55</v>
      </c>
      <c r="N268" t="s">
        <v>155</v>
      </c>
      <c r="O268" t="s">
        <v>48</v>
      </c>
    </row>
    <row r="269" spans="1:41" s="32" customFormat="1" ht="14.45">
      <c r="A269" s="36" t="s">
        <v>861</v>
      </c>
      <c r="B269" t="s">
        <v>862</v>
      </c>
      <c r="C269"/>
      <c r="D269" s="36">
        <v>7302801</v>
      </c>
      <c r="E269" s="36"/>
      <c r="F269" s="36"/>
      <c r="G269" s="36">
        <f t="shared" si="8"/>
        <v>58</v>
      </c>
      <c r="H269" s="36">
        <f t="shared" si="9"/>
        <v>0</v>
      </c>
      <c r="I269" s="36">
        <v>0</v>
      </c>
      <c r="J269" s="36">
        <v>1</v>
      </c>
      <c r="K269" s="39">
        <v>45429</v>
      </c>
      <c r="L269" s="39">
        <v>24071</v>
      </c>
      <c r="M269" s="36" t="s">
        <v>55</v>
      </c>
      <c r="N269" s="36" t="s">
        <v>47</v>
      </c>
      <c r="O269" s="36" t="s">
        <v>43</v>
      </c>
      <c r="P269" s="36" t="s">
        <v>311</v>
      </c>
      <c r="Q269" s="7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</row>
    <row r="270" spans="1:41" ht="14.45">
      <c r="A270" s="36" t="s">
        <v>863</v>
      </c>
      <c r="B270" t="s">
        <v>864</v>
      </c>
      <c r="D270" s="36">
        <v>7302813</v>
      </c>
      <c r="E270" s="36"/>
      <c r="F270" s="36"/>
      <c r="G270" s="36">
        <f t="shared" si="8"/>
        <v>63</v>
      </c>
      <c r="H270" s="36">
        <f t="shared" si="9"/>
        <v>0</v>
      </c>
      <c r="I270" s="36">
        <v>0</v>
      </c>
      <c r="J270" s="36">
        <v>1</v>
      </c>
      <c r="K270" s="39">
        <v>45429</v>
      </c>
      <c r="L270" s="39">
        <v>22174</v>
      </c>
      <c r="M270" s="36" t="s">
        <v>55</v>
      </c>
      <c r="N270" s="36" t="s">
        <v>47</v>
      </c>
      <c r="O270" s="36" t="s">
        <v>48</v>
      </c>
      <c r="P270" s="36" t="s">
        <v>311</v>
      </c>
    </row>
    <row r="271" spans="1:41" ht="14.45">
      <c r="A271" s="36" t="s">
        <v>865</v>
      </c>
      <c r="B271" t="s">
        <v>866</v>
      </c>
      <c r="D271" s="36">
        <v>7302817</v>
      </c>
      <c r="E271" s="36"/>
      <c r="F271" s="36"/>
      <c r="G271" s="36">
        <f t="shared" si="8"/>
        <v>51</v>
      </c>
      <c r="H271" s="36">
        <f t="shared" si="9"/>
        <v>0</v>
      </c>
      <c r="I271" s="36">
        <v>0</v>
      </c>
      <c r="J271" s="36">
        <v>1</v>
      </c>
      <c r="K271" s="39">
        <v>45429</v>
      </c>
      <c r="L271" s="39">
        <v>26700</v>
      </c>
      <c r="M271" s="36" t="s">
        <v>106</v>
      </c>
      <c r="N271" s="36" t="s">
        <v>47</v>
      </c>
      <c r="O271" s="36" t="s">
        <v>48</v>
      </c>
      <c r="P271" s="36" t="s">
        <v>311</v>
      </c>
    </row>
    <row r="272" spans="1:41" ht="14.45">
      <c r="A272" s="36" t="s">
        <v>867</v>
      </c>
      <c r="B272" t="s">
        <v>868</v>
      </c>
      <c r="D272" s="36">
        <v>7297966</v>
      </c>
      <c r="E272" s="36"/>
      <c r="F272" s="36"/>
      <c r="G272" s="36">
        <f t="shared" si="8"/>
        <v>18</v>
      </c>
      <c r="H272" s="36">
        <f t="shared" si="9"/>
        <v>1</v>
      </c>
      <c r="I272" s="36">
        <v>0</v>
      </c>
      <c r="J272" s="36"/>
      <c r="K272" s="39">
        <v>45429</v>
      </c>
      <c r="L272" s="39">
        <v>38557</v>
      </c>
      <c r="M272" s="36" t="s">
        <v>106</v>
      </c>
      <c r="N272" s="36" t="s">
        <v>869</v>
      </c>
      <c r="O272" s="36" t="s">
        <v>48</v>
      </c>
      <c r="P272" s="36" t="s">
        <v>311</v>
      </c>
      <c r="R272" s="32"/>
      <c r="S272" s="32"/>
      <c r="T272" s="32"/>
      <c r="U272" s="32"/>
      <c r="V272" s="32"/>
      <c r="W272" s="32"/>
    </row>
    <row r="273" spans="1:41" ht="14.1">
      <c r="A273" s="32" t="s">
        <v>870</v>
      </c>
      <c r="B273" t="s">
        <v>871</v>
      </c>
      <c r="D273">
        <v>7271892</v>
      </c>
      <c r="E273" t="s">
        <v>799</v>
      </c>
      <c r="G273" s="7">
        <f t="shared" si="8"/>
        <v>39</v>
      </c>
      <c r="H273" s="7">
        <f t="shared" si="9"/>
        <v>1</v>
      </c>
      <c r="I273">
        <v>0</v>
      </c>
      <c r="J273">
        <v>1</v>
      </c>
      <c r="K273" s="16">
        <v>45434</v>
      </c>
      <c r="L273" s="16">
        <v>30882</v>
      </c>
      <c r="M273" t="s">
        <v>55</v>
      </c>
      <c r="N273" s="7" t="s">
        <v>79</v>
      </c>
      <c r="O273" t="s">
        <v>48</v>
      </c>
      <c r="R273" s="32"/>
      <c r="S273" s="32"/>
      <c r="T273" s="32"/>
      <c r="U273" s="32"/>
      <c r="V273" s="32"/>
      <c r="W273" s="32"/>
    </row>
    <row r="274" spans="1:41" ht="14.1">
      <c r="A274" s="34" t="s">
        <v>872</v>
      </c>
      <c r="B274" t="s">
        <v>873</v>
      </c>
      <c r="D274" s="7">
        <v>7277987</v>
      </c>
      <c r="E274" s="7" t="s">
        <v>799</v>
      </c>
      <c r="F274" s="7"/>
      <c r="G274" s="7">
        <f t="shared" si="8"/>
        <v>36</v>
      </c>
      <c r="H274" s="7">
        <f t="shared" si="9"/>
        <v>1</v>
      </c>
      <c r="I274" s="7">
        <v>0</v>
      </c>
      <c r="J274" s="7">
        <v>1</v>
      </c>
      <c r="K274" s="17">
        <v>45435</v>
      </c>
      <c r="L274" s="17">
        <v>32080</v>
      </c>
      <c r="M274" s="7" t="s">
        <v>55</v>
      </c>
      <c r="N274" s="7" t="s">
        <v>70</v>
      </c>
      <c r="O274" s="7" t="s">
        <v>48</v>
      </c>
      <c r="P274" s="7"/>
    </row>
    <row r="275" spans="1:41" ht="14.45">
      <c r="A275" s="36" t="s">
        <v>874</v>
      </c>
      <c r="B275" t="s">
        <v>875</v>
      </c>
      <c r="D275" s="36">
        <v>7307534</v>
      </c>
      <c r="E275" s="36"/>
      <c r="F275" s="36"/>
      <c r="G275" s="36">
        <f t="shared" si="8"/>
        <v>60</v>
      </c>
      <c r="H275" s="36">
        <f t="shared" si="9"/>
        <v>0</v>
      </c>
      <c r="I275" s="36">
        <v>0</v>
      </c>
      <c r="J275" s="36">
        <v>1</v>
      </c>
      <c r="K275" s="39">
        <v>45440</v>
      </c>
      <c r="L275" s="39">
        <v>23283</v>
      </c>
      <c r="M275" s="36" t="s">
        <v>106</v>
      </c>
      <c r="N275" s="36" t="s">
        <v>47</v>
      </c>
      <c r="O275" s="36" t="s">
        <v>48</v>
      </c>
      <c r="P275" s="36" t="s">
        <v>311</v>
      </c>
    </row>
    <row r="276" spans="1:41" ht="14.45">
      <c r="A276" s="36" t="s">
        <v>876</v>
      </c>
      <c r="B276" t="s">
        <v>877</v>
      </c>
      <c r="D276" s="36">
        <v>7307538</v>
      </c>
      <c r="E276" s="36"/>
      <c r="F276" s="36"/>
      <c r="G276" s="36">
        <f t="shared" si="8"/>
        <v>36</v>
      </c>
      <c r="H276" s="36">
        <f t="shared" si="9"/>
        <v>1</v>
      </c>
      <c r="I276" s="36">
        <v>0</v>
      </c>
      <c r="J276" s="36">
        <v>1</v>
      </c>
      <c r="K276" s="39">
        <v>45440</v>
      </c>
      <c r="L276" s="39">
        <v>32224</v>
      </c>
      <c r="M276" s="36" t="s">
        <v>55</v>
      </c>
      <c r="N276" s="36" t="s">
        <v>47</v>
      </c>
      <c r="O276" s="36" t="s">
        <v>48</v>
      </c>
      <c r="P276" s="36" t="s">
        <v>311</v>
      </c>
    </row>
    <row r="277" spans="1:41" ht="14.45">
      <c r="A277" s="36" t="s">
        <v>878</v>
      </c>
      <c r="B277" t="s">
        <v>879</v>
      </c>
      <c r="D277" s="36">
        <v>7308515</v>
      </c>
      <c r="E277" s="36"/>
      <c r="F277" s="36"/>
      <c r="G277" s="36">
        <f t="shared" si="8"/>
        <v>36</v>
      </c>
      <c r="H277" s="36">
        <f t="shared" si="9"/>
        <v>1</v>
      </c>
      <c r="I277" s="36">
        <v>0</v>
      </c>
      <c r="J277" s="36">
        <v>1</v>
      </c>
      <c r="K277" s="39">
        <v>45441</v>
      </c>
      <c r="L277" s="39">
        <v>32185</v>
      </c>
      <c r="M277" s="36" t="s">
        <v>46</v>
      </c>
      <c r="N277" s="36" t="s">
        <v>47</v>
      </c>
      <c r="O277" s="36" t="s">
        <v>48</v>
      </c>
      <c r="P277" s="36" t="s">
        <v>311</v>
      </c>
    </row>
    <row r="278" spans="1:41" ht="14.45">
      <c r="A278" s="36" t="s">
        <v>880</v>
      </c>
      <c r="B278" t="s">
        <v>881</v>
      </c>
      <c r="D278" s="36">
        <v>7308520</v>
      </c>
      <c r="E278" s="36"/>
      <c r="F278" s="36"/>
      <c r="G278" s="36">
        <f t="shared" si="8"/>
        <v>50</v>
      </c>
      <c r="H278" s="36">
        <f t="shared" si="9"/>
        <v>0</v>
      </c>
      <c r="I278" s="36">
        <v>0</v>
      </c>
      <c r="J278" s="36">
        <v>1</v>
      </c>
      <c r="K278" s="39">
        <v>45441</v>
      </c>
      <c r="L278" s="39">
        <v>27123</v>
      </c>
      <c r="M278" s="36" t="s">
        <v>55</v>
      </c>
      <c r="N278" s="36" t="s">
        <v>47</v>
      </c>
      <c r="O278" s="36" t="s">
        <v>48</v>
      </c>
      <c r="P278" s="36" t="s">
        <v>311</v>
      </c>
    </row>
    <row r="279" spans="1:41" ht="14.45">
      <c r="A279" s="36" t="s">
        <v>882</v>
      </c>
      <c r="B279" t="s">
        <v>883</v>
      </c>
      <c r="D279" s="36">
        <v>7308523</v>
      </c>
      <c r="E279" s="36"/>
      <c r="F279" s="36"/>
      <c r="G279" s="36">
        <f t="shared" si="8"/>
        <v>56</v>
      </c>
      <c r="H279" s="36">
        <f t="shared" si="9"/>
        <v>0</v>
      </c>
      <c r="I279" s="36">
        <v>0</v>
      </c>
      <c r="J279" s="36">
        <v>1</v>
      </c>
      <c r="K279" s="39">
        <v>45441</v>
      </c>
      <c r="L279" s="39">
        <v>24833</v>
      </c>
      <c r="M279" s="36" t="s">
        <v>55</v>
      </c>
      <c r="N279" s="36" t="s">
        <v>47</v>
      </c>
      <c r="O279" s="36" t="s">
        <v>48</v>
      </c>
      <c r="P279" s="36" t="s">
        <v>311</v>
      </c>
    </row>
    <row r="280" spans="1:41" s="32" customFormat="1" ht="14.45">
      <c r="A280" s="36" t="s">
        <v>884</v>
      </c>
      <c r="B280" t="s">
        <v>885</v>
      </c>
      <c r="C280"/>
      <c r="D280" s="36">
        <v>7310564</v>
      </c>
      <c r="E280"/>
      <c r="F280"/>
      <c r="G280" s="36">
        <f t="shared" si="8"/>
        <v>50</v>
      </c>
      <c r="H280" s="36">
        <f t="shared" si="9"/>
        <v>0</v>
      </c>
      <c r="I280" s="36">
        <v>0</v>
      </c>
      <c r="J280" s="36">
        <v>1</v>
      </c>
      <c r="K280" s="39">
        <v>45446</v>
      </c>
      <c r="L280" s="39">
        <v>26971</v>
      </c>
      <c r="M280" s="36" t="s">
        <v>106</v>
      </c>
      <c r="N280" s="36" t="s">
        <v>47</v>
      </c>
      <c r="O280" s="36" t="s">
        <v>48</v>
      </c>
      <c r="P280" s="36" t="s">
        <v>311</v>
      </c>
      <c r="Q280" s="7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</row>
    <row r="281" spans="1:41" s="32" customFormat="1" ht="14.45">
      <c r="A281" s="34" t="s">
        <v>886</v>
      </c>
      <c r="B281" t="s">
        <v>887</v>
      </c>
      <c r="C281"/>
      <c r="D281" s="7">
        <v>3049219</v>
      </c>
      <c r="E281" s="7" t="s">
        <v>799</v>
      </c>
      <c r="F281" s="7"/>
      <c r="G281" s="7">
        <f t="shared" si="8"/>
        <v>53</v>
      </c>
      <c r="H281" s="7">
        <f t="shared" si="9"/>
        <v>0</v>
      </c>
      <c r="I281" s="7">
        <v>0</v>
      </c>
      <c r="J281" s="7">
        <v>0</v>
      </c>
      <c r="K281" s="17">
        <v>45448</v>
      </c>
      <c r="L281" s="17">
        <v>25744</v>
      </c>
      <c r="M281" s="7" t="s">
        <v>232</v>
      </c>
      <c r="N281" s="7" t="s">
        <v>452</v>
      </c>
      <c r="O281" s="7" t="s">
        <v>48</v>
      </c>
      <c r="P281" s="36"/>
      <c r="Q281" s="7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</row>
    <row r="282" spans="1:41" s="32" customFormat="1" ht="14.45">
      <c r="A282" s="36" t="s">
        <v>888</v>
      </c>
      <c r="B282" t="s">
        <v>889</v>
      </c>
      <c r="C282"/>
      <c r="D282" s="36">
        <v>4490146</v>
      </c>
      <c r="E282" s="36"/>
      <c r="F282" s="36">
        <v>18</v>
      </c>
      <c r="G282" s="36">
        <f t="shared" si="8"/>
        <v>35</v>
      </c>
      <c r="H282" s="36">
        <f t="shared" si="9"/>
        <v>1</v>
      </c>
      <c r="I282" s="36">
        <v>0</v>
      </c>
      <c r="J282" s="36">
        <v>1</v>
      </c>
      <c r="K282" s="39">
        <v>45453</v>
      </c>
      <c r="L282" s="39">
        <v>32612</v>
      </c>
      <c r="M282" s="36" t="s">
        <v>106</v>
      </c>
      <c r="N282" s="36" t="s">
        <v>70</v>
      </c>
      <c r="O282" s="36" t="s">
        <v>48</v>
      </c>
      <c r="P282" s="36" t="s">
        <v>890</v>
      </c>
      <c r="Q282" s="7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</row>
    <row r="283" spans="1:41" s="32" customFormat="1" ht="14.45">
      <c r="A283" s="36" t="s">
        <v>891</v>
      </c>
      <c r="B283" t="s">
        <v>892</v>
      </c>
      <c r="C283"/>
      <c r="D283" s="36">
        <v>3237998</v>
      </c>
      <c r="E283"/>
      <c r="F283"/>
      <c r="G283" s="36">
        <f t="shared" si="8"/>
        <v>62</v>
      </c>
      <c r="H283" s="36">
        <f t="shared" si="9"/>
        <v>0</v>
      </c>
      <c r="I283" s="36">
        <v>0</v>
      </c>
      <c r="J283" s="36">
        <v>1</v>
      </c>
      <c r="K283" s="39">
        <v>45453</v>
      </c>
      <c r="L283" s="39">
        <v>22574</v>
      </c>
      <c r="M283" s="36" t="s">
        <v>55</v>
      </c>
      <c r="N283" s="36" t="s">
        <v>47</v>
      </c>
      <c r="O283" s="36" t="s">
        <v>43</v>
      </c>
      <c r="P283" s="36" t="s">
        <v>311</v>
      </c>
      <c r="Q283" s="7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</row>
    <row r="284" spans="1:41" ht="14.45">
      <c r="A284" s="36" t="s">
        <v>893</v>
      </c>
      <c r="B284" t="s">
        <v>894</v>
      </c>
      <c r="D284" s="36">
        <v>3907910</v>
      </c>
      <c r="G284" s="36">
        <f t="shared" si="8"/>
        <v>71</v>
      </c>
      <c r="H284" s="36">
        <f t="shared" si="9"/>
        <v>0</v>
      </c>
      <c r="I284" s="36">
        <v>0</v>
      </c>
      <c r="J284" s="36">
        <v>1</v>
      </c>
      <c r="K284" s="39">
        <v>45454</v>
      </c>
      <c r="L284" s="39">
        <v>19362</v>
      </c>
      <c r="M284" s="36" t="s">
        <v>106</v>
      </c>
      <c r="N284" s="36" t="s">
        <v>47</v>
      </c>
      <c r="O284" s="36" t="s">
        <v>48</v>
      </c>
      <c r="P284" s="36" t="s">
        <v>528</v>
      </c>
    </row>
    <row r="285" spans="1:41" s="32" customFormat="1" ht="14.45">
      <c r="A285" s="36" t="s">
        <v>895</v>
      </c>
      <c r="B285" t="s">
        <v>896</v>
      </c>
      <c r="C285"/>
      <c r="D285" s="36">
        <v>7315395</v>
      </c>
      <c r="E285"/>
      <c r="F285"/>
      <c r="G285" s="36">
        <f t="shared" si="8"/>
        <v>65</v>
      </c>
      <c r="H285" s="36">
        <f t="shared" si="9"/>
        <v>0</v>
      </c>
      <c r="I285" s="36">
        <v>0</v>
      </c>
      <c r="J285" s="36">
        <v>1</v>
      </c>
      <c r="K285" s="39">
        <v>45455</v>
      </c>
      <c r="L285" s="39">
        <v>21417</v>
      </c>
      <c r="M285" s="36" t="s">
        <v>106</v>
      </c>
      <c r="N285" s="36" t="s">
        <v>47</v>
      </c>
      <c r="O285" s="36" t="s">
        <v>48</v>
      </c>
      <c r="P285" s="36" t="s">
        <v>311</v>
      </c>
      <c r="Q285" s="7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</row>
    <row r="286" spans="1:41" ht="14.45">
      <c r="A286" s="36" t="s">
        <v>897</v>
      </c>
      <c r="B286" t="s">
        <v>898</v>
      </c>
      <c r="D286" s="36">
        <v>7315405</v>
      </c>
      <c r="G286" s="36">
        <f t="shared" si="8"/>
        <v>65</v>
      </c>
      <c r="H286" s="36">
        <f t="shared" si="9"/>
        <v>0</v>
      </c>
      <c r="I286" s="36">
        <v>0</v>
      </c>
      <c r="J286" s="36">
        <v>1</v>
      </c>
      <c r="K286" s="39">
        <v>45455</v>
      </c>
      <c r="L286" s="39">
        <v>21473</v>
      </c>
      <c r="M286" s="36" t="s">
        <v>55</v>
      </c>
      <c r="N286" s="36" t="s">
        <v>91</v>
      </c>
      <c r="O286" s="36" t="s">
        <v>48</v>
      </c>
      <c r="P286" s="36" t="s">
        <v>311</v>
      </c>
    </row>
    <row r="287" spans="1:41" s="32" customFormat="1" ht="14.45">
      <c r="A287" s="36" t="s">
        <v>899</v>
      </c>
      <c r="B287" t="s">
        <v>900</v>
      </c>
      <c r="C287"/>
      <c r="D287" s="36">
        <v>7316893</v>
      </c>
      <c r="E287"/>
      <c r="F287"/>
      <c r="G287" s="36">
        <f t="shared" si="8"/>
        <v>48</v>
      </c>
      <c r="H287" s="36">
        <f t="shared" si="9"/>
        <v>0</v>
      </c>
      <c r="I287" s="36">
        <v>0</v>
      </c>
      <c r="J287" s="36">
        <v>1</v>
      </c>
      <c r="K287" s="39">
        <v>45457</v>
      </c>
      <c r="L287" s="39">
        <v>27833</v>
      </c>
      <c r="M287" s="36" t="s">
        <v>55</v>
      </c>
      <c r="N287" s="36" t="s">
        <v>79</v>
      </c>
      <c r="O287" s="36" t="s">
        <v>48</v>
      </c>
      <c r="P287" s="36" t="s">
        <v>311</v>
      </c>
      <c r="Q287" s="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</row>
    <row r="288" spans="1:41" ht="14.45">
      <c r="A288" s="36" t="s">
        <v>901</v>
      </c>
      <c r="B288" t="s">
        <v>902</v>
      </c>
      <c r="D288" s="36">
        <v>7316903</v>
      </c>
      <c r="G288" s="36">
        <f t="shared" si="8"/>
        <v>72</v>
      </c>
      <c r="H288" s="36">
        <f t="shared" si="9"/>
        <v>0</v>
      </c>
      <c r="I288" s="36">
        <v>0</v>
      </c>
      <c r="J288" s="36">
        <v>1</v>
      </c>
      <c r="K288" s="39">
        <v>45457</v>
      </c>
      <c r="L288" s="39">
        <v>19153</v>
      </c>
      <c r="M288" s="36" t="s">
        <v>46</v>
      </c>
      <c r="N288" s="36" t="s">
        <v>47</v>
      </c>
      <c r="O288" s="36" t="s">
        <v>48</v>
      </c>
      <c r="P288" s="36" t="s">
        <v>311</v>
      </c>
    </row>
    <row r="289" spans="1:41" ht="14.45">
      <c r="A289" s="36" t="s">
        <v>903</v>
      </c>
      <c r="B289" t="s">
        <v>904</v>
      </c>
      <c r="D289" s="36">
        <v>7316920</v>
      </c>
      <c r="G289" s="36">
        <f t="shared" si="8"/>
        <v>72</v>
      </c>
      <c r="H289" s="36">
        <f t="shared" si="9"/>
        <v>0</v>
      </c>
      <c r="I289" s="36">
        <v>0</v>
      </c>
      <c r="J289" s="36">
        <v>1</v>
      </c>
      <c r="K289" s="39">
        <v>45457</v>
      </c>
      <c r="L289" s="39">
        <v>19089</v>
      </c>
      <c r="M289" s="36" t="s">
        <v>106</v>
      </c>
      <c r="N289" s="36" t="s">
        <v>47</v>
      </c>
      <c r="O289" s="36" t="s">
        <v>48</v>
      </c>
      <c r="P289" s="36" t="s">
        <v>311</v>
      </c>
    </row>
    <row r="290" spans="1:41" ht="14.45">
      <c r="A290" s="36" t="s">
        <v>905</v>
      </c>
      <c r="B290" t="s">
        <v>906</v>
      </c>
      <c r="D290" s="36">
        <v>7318350</v>
      </c>
      <c r="G290" s="36">
        <f t="shared" si="8"/>
        <v>39</v>
      </c>
      <c r="H290" s="36">
        <f t="shared" si="9"/>
        <v>1</v>
      </c>
      <c r="I290" s="36">
        <v>0</v>
      </c>
      <c r="J290" s="36">
        <v>1</v>
      </c>
      <c r="K290" s="39">
        <v>45461</v>
      </c>
      <c r="L290" s="39">
        <v>30975</v>
      </c>
      <c r="M290" s="36" t="s">
        <v>46</v>
      </c>
      <c r="N290" s="36" t="s">
        <v>47</v>
      </c>
      <c r="O290" s="36" t="s">
        <v>48</v>
      </c>
      <c r="P290" s="36" t="s">
        <v>311</v>
      </c>
    </row>
    <row r="291" spans="1:41" ht="14.1">
      <c r="A291" s="7" t="s">
        <v>907</v>
      </c>
      <c r="B291" t="s">
        <v>908</v>
      </c>
      <c r="D291" s="7">
        <v>7271907</v>
      </c>
      <c r="E291" s="7" t="s">
        <v>753</v>
      </c>
      <c r="F291" s="7"/>
      <c r="G291" s="7">
        <f t="shared" si="8"/>
        <v>64</v>
      </c>
      <c r="H291" s="7">
        <f t="shared" si="9"/>
        <v>0</v>
      </c>
      <c r="I291" s="7">
        <v>0</v>
      </c>
      <c r="J291" s="7">
        <v>1</v>
      </c>
      <c r="K291" s="17">
        <v>45461</v>
      </c>
      <c r="L291" s="17">
        <v>21982</v>
      </c>
      <c r="M291" s="7" t="s">
        <v>55</v>
      </c>
      <c r="N291" s="7" t="s">
        <v>79</v>
      </c>
      <c r="O291" s="7" t="s">
        <v>48</v>
      </c>
      <c r="P291" s="7"/>
    </row>
    <row r="292" spans="1:41" ht="14.1">
      <c r="A292" s="42" t="s">
        <v>909</v>
      </c>
    </row>
    <row r="293" spans="1:41" ht="14.45">
      <c r="A293" s="31" t="s">
        <v>910</v>
      </c>
      <c r="B293" s="27" t="s">
        <v>911</v>
      </c>
      <c r="C293" s="27"/>
      <c r="D293" s="32" t="s">
        <v>912</v>
      </c>
      <c r="E293" s="32"/>
      <c r="F293" s="5" t="s">
        <v>370</v>
      </c>
      <c r="G293" s="31">
        <f t="shared" ref="G293:G324" si="10">DATEDIF(L293,K293,"Y")</f>
        <v>68</v>
      </c>
      <c r="H293" s="31">
        <f t="shared" ref="H293:H324" si="11">IF(G293&lt;=39,1,0)</f>
        <v>0</v>
      </c>
      <c r="I293" s="33">
        <v>1</v>
      </c>
      <c r="J293" s="34">
        <v>0</v>
      </c>
      <c r="K293" s="35">
        <v>44942</v>
      </c>
      <c r="L293" s="35">
        <v>20027</v>
      </c>
      <c r="M293" s="31" t="s">
        <v>55</v>
      </c>
      <c r="N293" s="34" t="s">
        <v>180</v>
      </c>
      <c r="O293" s="32" t="s">
        <v>48</v>
      </c>
      <c r="P293" s="32"/>
      <c r="Q293" s="7" t="s">
        <v>50</v>
      </c>
      <c r="X293" t="s">
        <v>50</v>
      </c>
      <c r="Y293" t="s">
        <v>913</v>
      </c>
      <c r="Z293" t="s">
        <v>50</v>
      </c>
      <c r="AA293" t="s">
        <v>50</v>
      </c>
      <c r="AB293" t="s">
        <v>64</v>
      </c>
    </row>
    <row r="294" spans="1:41" s="32" customFormat="1" ht="14.45">
      <c r="A294" s="31" t="s">
        <v>914</v>
      </c>
      <c r="B294" s="27" t="s">
        <v>915</v>
      </c>
      <c r="C294" s="27"/>
      <c r="D294" s="34">
        <v>7010487</v>
      </c>
      <c r="E294" s="34"/>
      <c r="G294" s="31">
        <f t="shared" si="10"/>
        <v>74</v>
      </c>
      <c r="H294" s="31">
        <f t="shared" si="11"/>
        <v>0</v>
      </c>
      <c r="I294" s="33">
        <v>0</v>
      </c>
      <c r="J294" s="34">
        <v>1</v>
      </c>
      <c r="K294" s="35">
        <v>44943</v>
      </c>
      <c r="L294" s="35">
        <v>17684</v>
      </c>
      <c r="M294" s="31" t="s">
        <v>55</v>
      </c>
      <c r="N294" s="34" t="s">
        <v>47</v>
      </c>
      <c r="O294" s="34" t="s">
        <v>48</v>
      </c>
      <c r="Q294" s="7" t="s">
        <v>49</v>
      </c>
      <c r="R294"/>
      <c r="S294"/>
      <c r="T294"/>
      <c r="U294"/>
      <c r="V294"/>
      <c r="W294"/>
      <c r="X294" t="s">
        <v>50</v>
      </c>
      <c r="Y294" t="s">
        <v>50</v>
      </c>
      <c r="Z294" t="s">
        <v>50</v>
      </c>
      <c r="AA294" t="s">
        <v>50</v>
      </c>
      <c r="AB294" t="s">
        <v>916</v>
      </c>
      <c r="AC294" t="s">
        <v>917</v>
      </c>
      <c r="AD294" t="s">
        <v>918</v>
      </c>
      <c r="AE294" t="s">
        <v>919</v>
      </c>
      <c r="AF294" t="s">
        <v>270</v>
      </c>
      <c r="AG294" t="s">
        <v>920</v>
      </c>
      <c r="AH294"/>
      <c r="AI294"/>
      <c r="AJ294"/>
      <c r="AK294"/>
      <c r="AL294"/>
      <c r="AM294"/>
      <c r="AN294"/>
      <c r="AO294"/>
    </row>
    <row r="295" spans="1:41" ht="14.45">
      <c r="A295" s="32" t="s">
        <v>921</v>
      </c>
      <c r="B295" s="27" t="s">
        <v>922</v>
      </c>
      <c r="C295" s="27"/>
      <c r="D295" s="32">
        <v>4928756</v>
      </c>
      <c r="E295" s="32"/>
      <c r="F295" s="32">
        <v>6</v>
      </c>
      <c r="G295" s="31">
        <f t="shared" si="10"/>
        <v>19</v>
      </c>
      <c r="H295" s="31">
        <f t="shared" si="11"/>
        <v>1</v>
      </c>
      <c r="I295" s="33">
        <v>0</v>
      </c>
      <c r="J295" s="32">
        <v>0</v>
      </c>
      <c r="K295" s="35">
        <v>44944</v>
      </c>
      <c r="L295" s="35">
        <v>37737</v>
      </c>
      <c r="M295" s="31" t="s">
        <v>99</v>
      </c>
      <c r="N295" s="32" t="s">
        <v>180</v>
      </c>
      <c r="O295" s="32" t="s">
        <v>43</v>
      </c>
      <c r="P295" s="32"/>
      <c r="Q295" s="7" t="s">
        <v>50</v>
      </c>
      <c r="X295" t="s">
        <v>50</v>
      </c>
      <c r="Y295" t="s">
        <v>50</v>
      </c>
      <c r="Z295" t="s">
        <v>50</v>
      </c>
      <c r="AA295" t="s">
        <v>50</v>
      </c>
      <c r="AB295" t="s">
        <v>923</v>
      </c>
    </row>
    <row r="296" spans="1:41" s="32" customFormat="1" ht="14.45">
      <c r="A296" s="32" t="s">
        <v>924</v>
      </c>
      <c r="B296" s="27" t="s">
        <v>925</v>
      </c>
      <c r="C296" s="27"/>
      <c r="D296" s="32">
        <v>7092260</v>
      </c>
      <c r="G296" s="31">
        <f t="shared" si="10"/>
        <v>65</v>
      </c>
      <c r="H296" s="31">
        <f t="shared" si="11"/>
        <v>0</v>
      </c>
      <c r="I296" s="33">
        <v>0</v>
      </c>
      <c r="J296" s="32">
        <v>1</v>
      </c>
      <c r="K296" s="35">
        <v>44946</v>
      </c>
      <c r="L296" s="35">
        <v>20904</v>
      </c>
      <c r="M296" s="31" t="s">
        <v>140</v>
      </c>
      <c r="N296" s="32" t="s">
        <v>47</v>
      </c>
      <c r="O296" s="32" t="s">
        <v>48</v>
      </c>
      <c r="Q296" s="7" t="s">
        <v>201</v>
      </c>
      <c r="R296"/>
      <c r="S296"/>
      <c r="T296"/>
      <c r="U296"/>
      <c r="V296"/>
      <c r="W296"/>
      <c r="X296" t="s">
        <v>50</v>
      </c>
      <c r="Y296" t="s">
        <v>50</v>
      </c>
      <c r="Z296" t="s">
        <v>50</v>
      </c>
      <c r="AA296" t="s">
        <v>50</v>
      </c>
      <c r="AB296" t="s">
        <v>926</v>
      </c>
      <c r="AC296" t="s">
        <v>927</v>
      </c>
      <c r="AD296" t="s">
        <v>928</v>
      </c>
      <c r="AE296"/>
      <c r="AF296"/>
      <c r="AG296"/>
      <c r="AH296"/>
      <c r="AI296"/>
      <c r="AJ296"/>
      <c r="AK296"/>
      <c r="AL296"/>
      <c r="AM296"/>
      <c r="AN296"/>
      <c r="AO296"/>
    </row>
    <row r="297" spans="1:41" ht="14.45">
      <c r="A297" s="34" t="s">
        <v>929</v>
      </c>
      <c r="B297" s="27" t="s">
        <v>930</v>
      </c>
      <c r="C297" s="27"/>
      <c r="D297" s="34">
        <v>2777656</v>
      </c>
      <c r="E297" s="34"/>
      <c r="F297" s="34"/>
      <c r="G297" s="31">
        <f t="shared" si="10"/>
        <v>71</v>
      </c>
      <c r="H297" s="31">
        <f t="shared" si="11"/>
        <v>0</v>
      </c>
      <c r="I297" s="33">
        <v>0</v>
      </c>
      <c r="J297" s="34">
        <v>1</v>
      </c>
      <c r="K297" s="40">
        <v>44959</v>
      </c>
      <c r="L297" s="40">
        <v>18769</v>
      </c>
      <c r="M297" s="31" t="s">
        <v>90</v>
      </c>
      <c r="N297" s="34" t="s">
        <v>47</v>
      </c>
      <c r="O297" s="34" t="s">
        <v>48</v>
      </c>
      <c r="P297" s="34"/>
      <c r="Q297" s="7" t="s">
        <v>49</v>
      </c>
      <c r="X297" t="s">
        <v>50</v>
      </c>
      <c r="Y297" t="s">
        <v>50</v>
      </c>
      <c r="Z297" t="s">
        <v>931</v>
      </c>
      <c r="AB297" t="s">
        <v>932</v>
      </c>
      <c r="AC297" t="s">
        <v>933</v>
      </c>
      <c r="AD297" t="s">
        <v>934</v>
      </c>
    </row>
    <row r="298" spans="1:41" ht="14.45">
      <c r="A298" s="34" t="s">
        <v>935</v>
      </c>
      <c r="B298" s="27" t="s">
        <v>936</v>
      </c>
      <c r="C298" s="27"/>
      <c r="D298" s="34">
        <v>7102968</v>
      </c>
      <c r="E298" s="34"/>
      <c r="F298" s="34"/>
      <c r="G298" s="31">
        <f t="shared" si="10"/>
        <v>46</v>
      </c>
      <c r="H298" s="31">
        <f t="shared" si="11"/>
        <v>0</v>
      </c>
      <c r="I298" s="33">
        <v>0</v>
      </c>
      <c r="J298" s="34">
        <v>1</v>
      </c>
      <c r="K298" s="40">
        <v>44966</v>
      </c>
      <c r="L298" s="40">
        <v>27907</v>
      </c>
      <c r="M298" s="31" t="s">
        <v>55</v>
      </c>
      <c r="N298" s="34" t="s">
        <v>47</v>
      </c>
      <c r="O298" s="34" t="s">
        <v>48</v>
      </c>
      <c r="P298" s="34"/>
      <c r="Q298" s="7" t="s">
        <v>49</v>
      </c>
      <c r="X298" t="s">
        <v>50</v>
      </c>
      <c r="Y298" t="s">
        <v>50</v>
      </c>
      <c r="Z298" t="s">
        <v>50</v>
      </c>
      <c r="AA298" t="s">
        <v>50</v>
      </c>
      <c r="AB298" t="s">
        <v>81</v>
      </c>
      <c r="AC298" t="s">
        <v>937</v>
      </c>
      <c r="AD298" t="s">
        <v>938</v>
      </c>
    </row>
    <row r="299" spans="1:41" ht="14.45">
      <c r="A299" s="34" t="s">
        <v>939</v>
      </c>
      <c r="B299" s="27" t="s">
        <v>940</v>
      </c>
      <c r="C299" s="27"/>
      <c r="D299" s="34">
        <v>7040425</v>
      </c>
      <c r="E299" s="34"/>
      <c r="F299" s="32">
        <v>12</v>
      </c>
      <c r="G299" s="31">
        <f t="shared" si="10"/>
        <v>25</v>
      </c>
      <c r="H299" s="31">
        <f t="shared" si="11"/>
        <v>1</v>
      </c>
      <c r="I299" s="33">
        <v>0</v>
      </c>
      <c r="J299" s="34">
        <v>1</v>
      </c>
      <c r="K299" s="35">
        <v>44973</v>
      </c>
      <c r="L299" s="35">
        <v>35727</v>
      </c>
      <c r="M299" s="31" t="s">
        <v>55</v>
      </c>
      <c r="N299" s="34" t="s">
        <v>70</v>
      </c>
      <c r="O299" s="34" t="s">
        <v>48</v>
      </c>
      <c r="P299" s="32"/>
      <c r="Q299" s="7" t="s">
        <v>49</v>
      </c>
      <c r="X299" t="s">
        <v>50</v>
      </c>
      <c r="Y299" t="s">
        <v>64</v>
      </c>
      <c r="Z299" t="s">
        <v>50</v>
      </c>
      <c r="AA299" t="s">
        <v>50</v>
      </c>
      <c r="AB299" t="s">
        <v>314</v>
      </c>
      <c r="AC299" t="s">
        <v>941</v>
      </c>
      <c r="AD299" t="s">
        <v>942</v>
      </c>
    </row>
    <row r="300" spans="1:41" ht="14.45">
      <c r="A300" s="34" t="s">
        <v>943</v>
      </c>
      <c r="B300" s="27" t="s">
        <v>944</v>
      </c>
      <c r="C300" s="27"/>
      <c r="D300" s="34">
        <v>7073529</v>
      </c>
      <c r="E300" s="34"/>
      <c r="F300" s="32"/>
      <c r="G300" s="31">
        <f t="shared" si="10"/>
        <v>32</v>
      </c>
      <c r="H300" s="31">
        <f t="shared" si="11"/>
        <v>1</v>
      </c>
      <c r="I300" s="33">
        <v>0</v>
      </c>
      <c r="J300" s="34">
        <v>1</v>
      </c>
      <c r="K300" s="35">
        <v>44974</v>
      </c>
      <c r="L300" s="35">
        <v>33255</v>
      </c>
      <c r="M300" s="31" t="s">
        <v>46</v>
      </c>
      <c r="N300" s="34" t="s">
        <v>47</v>
      </c>
      <c r="O300" s="34" t="s">
        <v>48</v>
      </c>
      <c r="P300" s="32"/>
      <c r="Q300" s="7" t="s">
        <v>50</v>
      </c>
      <c r="X300" t="s">
        <v>50</v>
      </c>
      <c r="Y300" t="s">
        <v>945</v>
      </c>
      <c r="Z300" t="s">
        <v>50</v>
      </c>
      <c r="AA300" t="s">
        <v>50</v>
      </c>
      <c r="AB300" t="s">
        <v>314</v>
      </c>
      <c r="AC300" t="s">
        <v>941</v>
      </c>
      <c r="AD300" t="s">
        <v>942</v>
      </c>
    </row>
    <row r="301" spans="1:41" ht="14.45">
      <c r="A301" s="34" t="s">
        <v>946</v>
      </c>
      <c r="B301" s="27" t="s">
        <v>947</v>
      </c>
      <c r="C301" s="27"/>
      <c r="D301" s="34">
        <v>7030599</v>
      </c>
      <c r="E301" s="34"/>
      <c r="F301" s="32"/>
      <c r="G301" s="31">
        <f t="shared" si="10"/>
        <v>48</v>
      </c>
      <c r="H301" s="31">
        <f t="shared" si="11"/>
        <v>0</v>
      </c>
      <c r="I301" s="33">
        <v>0</v>
      </c>
      <c r="J301" s="34">
        <v>1</v>
      </c>
      <c r="K301" s="35">
        <v>44978</v>
      </c>
      <c r="L301" s="35">
        <v>27400</v>
      </c>
      <c r="M301" s="31" t="s">
        <v>55</v>
      </c>
      <c r="N301" s="34" t="s">
        <v>47</v>
      </c>
      <c r="O301" s="34" t="s">
        <v>48</v>
      </c>
      <c r="P301" s="32"/>
      <c r="Q301" s="7" t="s">
        <v>49</v>
      </c>
      <c r="X301" t="s">
        <v>50</v>
      </c>
      <c r="Y301" t="s">
        <v>50</v>
      </c>
      <c r="Z301" t="s">
        <v>50</v>
      </c>
      <c r="AA301" t="s">
        <v>50</v>
      </c>
      <c r="AB301" t="s">
        <v>81</v>
      </c>
    </row>
    <row r="302" spans="1:41" ht="14.45">
      <c r="A302" s="34" t="s">
        <v>948</v>
      </c>
      <c r="B302" s="27" t="s">
        <v>949</v>
      </c>
      <c r="C302" s="27"/>
      <c r="D302" s="34">
        <v>4863979</v>
      </c>
      <c r="E302" s="34"/>
      <c r="F302" s="32"/>
      <c r="G302" s="31">
        <f t="shared" si="10"/>
        <v>69</v>
      </c>
      <c r="H302" s="31">
        <f t="shared" si="11"/>
        <v>0</v>
      </c>
      <c r="I302" s="33">
        <v>0</v>
      </c>
      <c r="J302" s="34">
        <v>1</v>
      </c>
      <c r="K302" s="35">
        <v>44981</v>
      </c>
      <c r="L302" s="35">
        <v>19521</v>
      </c>
      <c r="M302" s="31" t="s">
        <v>140</v>
      </c>
      <c r="N302" s="34" t="s">
        <v>70</v>
      </c>
      <c r="O302" s="34" t="s">
        <v>48</v>
      </c>
      <c r="P302" s="32"/>
      <c r="Q302" s="7" t="s">
        <v>49</v>
      </c>
      <c r="X302" t="s">
        <v>50</v>
      </c>
      <c r="Y302" t="s">
        <v>50</v>
      </c>
      <c r="Z302" t="s">
        <v>50</v>
      </c>
      <c r="AA302" t="s">
        <v>50</v>
      </c>
      <c r="AB302" t="s">
        <v>81</v>
      </c>
      <c r="AC302" t="s">
        <v>950</v>
      </c>
    </row>
    <row r="303" spans="1:41" ht="14.45">
      <c r="A303" s="34" t="s">
        <v>951</v>
      </c>
      <c r="B303" s="27" t="s">
        <v>952</v>
      </c>
      <c r="C303" s="27"/>
      <c r="D303" s="34">
        <v>3669762</v>
      </c>
      <c r="E303" s="34"/>
      <c r="F303" s="32">
        <v>45</v>
      </c>
      <c r="G303" s="31">
        <f t="shared" si="10"/>
        <v>61</v>
      </c>
      <c r="H303" s="31">
        <f t="shared" si="11"/>
        <v>0</v>
      </c>
      <c r="I303" s="33">
        <v>0</v>
      </c>
      <c r="J303" s="34">
        <v>1</v>
      </c>
      <c r="K303" s="35">
        <v>44988</v>
      </c>
      <c r="L303" s="35">
        <v>22583</v>
      </c>
      <c r="M303" s="31" t="s">
        <v>55</v>
      </c>
      <c r="N303" s="34" t="s">
        <v>155</v>
      </c>
      <c r="O303" s="34" t="s">
        <v>43</v>
      </c>
      <c r="P303" s="32"/>
      <c r="Q303" s="7" t="s">
        <v>71</v>
      </c>
      <c r="X303" t="s">
        <v>50</v>
      </c>
      <c r="Y303" t="s">
        <v>50</v>
      </c>
      <c r="Z303" t="s">
        <v>50</v>
      </c>
      <c r="AA303" t="s">
        <v>50</v>
      </c>
      <c r="AB303" t="s">
        <v>81</v>
      </c>
      <c r="AC303" t="s">
        <v>314</v>
      </c>
      <c r="AD303" t="s">
        <v>953</v>
      </c>
      <c r="AE303" t="s">
        <v>954</v>
      </c>
      <c r="AF303" t="s">
        <v>955</v>
      </c>
      <c r="AG303" t="s">
        <v>956</v>
      </c>
      <c r="AH303" t="s">
        <v>957</v>
      </c>
    </row>
    <row r="304" spans="1:41" s="32" customFormat="1" ht="14.45">
      <c r="A304" s="34" t="s">
        <v>958</v>
      </c>
      <c r="B304" s="27" t="s">
        <v>959</v>
      </c>
      <c r="C304" s="27"/>
      <c r="D304" s="34">
        <v>7116300</v>
      </c>
      <c r="E304" s="34"/>
      <c r="G304" s="31">
        <f t="shared" si="10"/>
        <v>58</v>
      </c>
      <c r="H304" s="31">
        <f t="shared" si="11"/>
        <v>0</v>
      </c>
      <c r="I304" s="33">
        <v>0</v>
      </c>
      <c r="J304" s="34">
        <v>1</v>
      </c>
      <c r="K304" s="35">
        <v>44991</v>
      </c>
      <c r="L304" s="35">
        <v>23487</v>
      </c>
      <c r="M304" s="31" t="s">
        <v>55</v>
      </c>
      <c r="N304" s="34" t="s">
        <v>70</v>
      </c>
      <c r="O304" s="34" t="s">
        <v>48</v>
      </c>
      <c r="Q304" s="7" t="s">
        <v>50</v>
      </c>
      <c r="R304"/>
      <c r="S304"/>
      <c r="T304"/>
      <c r="U304"/>
      <c r="V304"/>
      <c r="W304"/>
      <c r="X304" t="s">
        <v>50</v>
      </c>
      <c r="Y304" t="s">
        <v>50</v>
      </c>
      <c r="Z304" t="s">
        <v>50</v>
      </c>
      <c r="AA304" t="s">
        <v>50</v>
      </c>
      <c r="AB304" t="s">
        <v>81</v>
      </c>
      <c r="AC304" t="s">
        <v>960</v>
      </c>
      <c r="AD304"/>
      <c r="AE304"/>
      <c r="AF304"/>
      <c r="AG304"/>
      <c r="AH304"/>
      <c r="AI304"/>
      <c r="AJ304"/>
      <c r="AK304"/>
      <c r="AL304"/>
      <c r="AM304"/>
      <c r="AN304"/>
      <c r="AO304"/>
    </row>
    <row r="305" spans="1:41" ht="14.45">
      <c r="A305" s="34" t="s">
        <v>961</v>
      </c>
      <c r="B305" s="27" t="s">
        <v>962</v>
      </c>
      <c r="C305" s="27"/>
      <c r="D305" s="34">
        <v>7124879</v>
      </c>
      <c r="E305" s="34"/>
      <c r="F305" s="32"/>
      <c r="G305" s="31">
        <f t="shared" si="10"/>
        <v>60</v>
      </c>
      <c r="H305" s="31">
        <f t="shared" si="11"/>
        <v>0</v>
      </c>
      <c r="I305" s="33">
        <v>0</v>
      </c>
      <c r="J305" s="34">
        <v>1</v>
      </c>
      <c r="K305" s="35">
        <v>45014</v>
      </c>
      <c r="L305" s="35">
        <v>23051</v>
      </c>
      <c r="M305" s="31" t="s">
        <v>46</v>
      </c>
      <c r="N305" s="34" t="s">
        <v>47</v>
      </c>
      <c r="O305" s="34" t="s">
        <v>48</v>
      </c>
      <c r="P305" s="32"/>
      <c r="Q305" s="7" t="s">
        <v>50</v>
      </c>
      <c r="X305" t="s">
        <v>50</v>
      </c>
      <c r="Y305" t="s">
        <v>50</v>
      </c>
      <c r="Z305" t="s">
        <v>50</v>
      </c>
      <c r="AA305" t="s">
        <v>50</v>
      </c>
      <c r="AB305" t="s">
        <v>963</v>
      </c>
      <c r="AC305" t="s">
        <v>964</v>
      </c>
      <c r="AD305" t="s">
        <v>965</v>
      </c>
      <c r="AE305" t="s">
        <v>966</v>
      </c>
      <c r="AF305" t="s">
        <v>967</v>
      </c>
    </row>
    <row r="306" spans="1:41" s="32" customFormat="1" ht="14.45">
      <c r="A306" s="34" t="s">
        <v>968</v>
      </c>
      <c r="B306" s="27" t="s">
        <v>969</v>
      </c>
      <c r="C306" s="27"/>
      <c r="D306" s="34">
        <v>4737963</v>
      </c>
      <c r="E306" s="34"/>
      <c r="G306" s="31">
        <f t="shared" si="10"/>
        <v>62</v>
      </c>
      <c r="H306" s="31">
        <f t="shared" si="11"/>
        <v>0</v>
      </c>
      <c r="I306" s="33">
        <v>0</v>
      </c>
      <c r="J306" s="34">
        <v>1</v>
      </c>
      <c r="K306" s="35">
        <v>45021</v>
      </c>
      <c r="L306" s="35">
        <v>22196</v>
      </c>
      <c r="M306" s="31" t="s">
        <v>55</v>
      </c>
      <c r="N306" s="34" t="s">
        <v>47</v>
      </c>
      <c r="O306" s="34" t="s">
        <v>48</v>
      </c>
      <c r="Q306" s="7" t="s">
        <v>71</v>
      </c>
      <c r="R306"/>
      <c r="S306"/>
      <c r="T306"/>
      <c r="U306"/>
      <c r="V306"/>
      <c r="W306"/>
      <c r="X306" t="s">
        <v>50</v>
      </c>
      <c r="Y306" t="s">
        <v>50</v>
      </c>
      <c r="Z306" t="s">
        <v>50</v>
      </c>
      <c r="AA306" t="s">
        <v>50</v>
      </c>
      <c r="AB306" t="s">
        <v>970</v>
      </c>
      <c r="AC306" t="s">
        <v>971</v>
      </c>
      <c r="AD306" t="s">
        <v>972</v>
      </c>
      <c r="AE306"/>
      <c r="AF306"/>
      <c r="AG306"/>
      <c r="AH306"/>
      <c r="AI306"/>
      <c r="AJ306"/>
      <c r="AK306"/>
      <c r="AL306"/>
      <c r="AM306"/>
      <c r="AN306"/>
      <c r="AO306"/>
    </row>
    <row r="307" spans="1:41" ht="14.45">
      <c r="A307" s="34" t="s">
        <v>973</v>
      </c>
      <c r="B307" s="27" t="s">
        <v>974</v>
      </c>
      <c r="C307" s="27"/>
      <c r="D307" s="34">
        <v>4918796</v>
      </c>
      <c r="E307" s="34"/>
      <c r="F307" s="32"/>
      <c r="G307" s="31">
        <f t="shared" si="10"/>
        <v>26</v>
      </c>
      <c r="H307" s="31">
        <f t="shared" si="11"/>
        <v>1</v>
      </c>
      <c r="I307" s="33">
        <v>0</v>
      </c>
      <c r="J307" s="34">
        <v>0</v>
      </c>
      <c r="K307" s="35">
        <v>45032</v>
      </c>
      <c r="L307" s="35">
        <v>35503</v>
      </c>
      <c r="M307" s="31" t="s">
        <v>99</v>
      </c>
      <c r="N307" s="34" t="s">
        <v>180</v>
      </c>
      <c r="O307" s="34" t="s">
        <v>48</v>
      </c>
      <c r="P307" s="32"/>
      <c r="Q307" s="7" t="s">
        <v>50</v>
      </c>
      <c r="X307" t="s">
        <v>50</v>
      </c>
      <c r="Y307" t="s">
        <v>50</v>
      </c>
      <c r="Z307" t="s">
        <v>50</v>
      </c>
      <c r="AA307" t="s">
        <v>50</v>
      </c>
      <c r="AB307" t="s">
        <v>64</v>
      </c>
    </row>
    <row r="308" spans="1:41" s="32" customFormat="1" ht="14.45">
      <c r="A308" s="34" t="s">
        <v>975</v>
      </c>
      <c r="B308" s="27" t="s">
        <v>976</v>
      </c>
      <c r="C308" s="27"/>
      <c r="D308" s="34">
        <v>7138664</v>
      </c>
      <c r="E308" s="34"/>
      <c r="F308" s="34"/>
      <c r="G308" s="31">
        <f t="shared" si="10"/>
        <v>41</v>
      </c>
      <c r="H308" s="31">
        <f t="shared" si="11"/>
        <v>0</v>
      </c>
      <c r="I308" s="33">
        <v>0</v>
      </c>
      <c r="J308" s="34">
        <v>1</v>
      </c>
      <c r="K308" s="40">
        <v>45050</v>
      </c>
      <c r="L308" s="40">
        <v>30013</v>
      </c>
      <c r="M308" s="34" t="s">
        <v>106</v>
      </c>
      <c r="N308" s="34" t="s">
        <v>47</v>
      </c>
      <c r="O308" s="34" t="s">
        <v>48</v>
      </c>
      <c r="P308" s="34"/>
      <c r="Q308" s="7" t="s">
        <v>49</v>
      </c>
      <c r="R308"/>
      <c r="S308"/>
      <c r="T308"/>
      <c r="U308"/>
      <c r="V308"/>
      <c r="W308"/>
      <c r="X308" t="s">
        <v>50</v>
      </c>
      <c r="Y308" t="s">
        <v>977</v>
      </c>
      <c r="Z308" t="s">
        <v>50</v>
      </c>
      <c r="AA308" t="s">
        <v>50</v>
      </c>
      <c r="AB308" t="s">
        <v>978</v>
      </c>
      <c r="AC308" t="s">
        <v>979</v>
      </c>
      <c r="AD308" t="s">
        <v>980</v>
      </c>
      <c r="AE308"/>
      <c r="AF308"/>
      <c r="AG308"/>
      <c r="AH308"/>
      <c r="AI308"/>
      <c r="AJ308"/>
      <c r="AK308"/>
      <c r="AL308"/>
      <c r="AM308"/>
      <c r="AN308"/>
      <c r="AO308"/>
    </row>
    <row r="309" spans="1:41" ht="14.45">
      <c r="A309" s="32" t="s">
        <v>981</v>
      </c>
      <c r="B309" s="27" t="s">
        <v>982</v>
      </c>
      <c r="C309" s="27"/>
      <c r="D309" s="32">
        <v>2809170</v>
      </c>
      <c r="E309" s="32"/>
      <c r="F309" s="32">
        <v>42</v>
      </c>
      <c r="G309" s="32">
        <f t="shared" si="10"/>
        <v>65</v>
      </c>
      <c r="H309" s="32">
        <f t="shared" si="11"/>
        <v>0</v>
      </c>
      <c r="I309" s="32">
        <v>0</v>
      </c>
      <c r="J309" s="32">
        <v>1</v>
      </c>
      <c r="K309" s="35">
        <v>45062</v>
      </c>
      <c r="L309" s="35">
        <v>21104</v>
      </c>
      <c r="M309" s="32" t="s">
        <v>55</v>
      </c>
      <c r="N309" s="32" t="s">
        <v>155</v>
      </c>
      <c r="O309" s="32" t="s">
        <v>43</v>
      </c>
      <c r="P309" s="32"/>
      <c r="Q309" s="7" t="s">
        <v>71</v>
      </c>
      <c r="X309" t="s">
        <v>983</v>
      </c>
      <c r="AB309" t="s">
        <v>984</v>
      </c>
      <c r="AC309" t="s">
        <v>985</v>
      </c>
      <c r="AD309" t="s">
        <v>986</v>
      </c>
      <c r="AE309" t="s">
        <v>987</v>
      </c>
      <c r="AF309" t="s">
        <v>988</v>
      </c>
      <c r="AG309" t="s">
        <v>989</v>
      </c>
      <c r="AH309" t="s">
        <v>990</v>
      </c>
      <c r="AI309" t="s">
        <v>991</v>
      </c>
      <c r="AJ309" t="s">
        <v>992</v>
      </c>
      <c r="AK309" t="s">
        <v>993</v>
      </c>
    </row>
    <row r="310" spans="1:41" ht="14.45">
      <c r="A310" s="32" t="s">
        <v>994</v>
      </c>
      <c r="B310" s="27" t="s">
        <v>995</v>
      </c>
      <c r="C310" s="27"/>
      <c r="D310" s="32">
        <v>4805179</v>
      </c>
      <c r="E310" s="32"/>
      <c r="F310" s="5" t="s">
        <v>996</v>
      </c>
      <c r="G310" s="31">
        <f t="shared" si="10"/>
        <v>35</v>
      </c>
      <c r="H310" s="31">
        <f t="shared" si="11"/>
        <v>1</v>
      </c>
      <c r="I310" s="32">
        <v>1</v>
      </c>
      <c r="J310" s="32">
        <v>1</v>
      </c>
      <c r="K310" s="40">
        <v>45064</v>
      </c>
      <c r="L310" s="35">
        <v>32143</v>
      </c>
      <c r="M310" s="32" t="s">
        <v>106</v>
      </c>
      <c r="N310" s="32" t="s">
        <v>133</v>
      </c>
      <c r="O310" s="32" t="s">
        <v>48</v>
      </c>
      <c r="P310" s="32"/>
      <c r="Q310" s="7" t="s">
        <v>49</v>
      </c>
      <c r="X310" t="s">
        <v>50</v>
      </c>
      <c r="Y310" t="s">
        <v>64</v>
      </c>
      <c r="Z310" t="s">
        <v>50</v>
      </c>
      <c r="AA310" t="s">
        <v>50</v>
      </c>
      <c r="AB310" t="s">
        <v>64</v>
      </c>
    </row>
    <row r="311" spans="1:41" ht="14.45">
      <c r="A311" s="32" t="s">
        <v>997</v>
      </c>
      <c r="B311" s="27" t="s">
        <v>998</v>
      </c>
      <c r="C311" s="27"/>
      <c r="D311" s="32">
        <v>4064076</v>
      </c>
      <c r="E311" s="32"/>
      <c r="F311" s="32">
        <v>34</v>
      </c>
      <c r="G311" s="31">
        <f t="shared" si="10"/>
        <v>45</v>
      </c>
      <c r="H311" s="31">
        <f t="shared" si="11"/>
        <v>0</v>
      </c>
      <c r="I311" s="32">
        <v>0</v>
      </c>
      <c r="J311" s="32">
        <v>1</v>
      </c>
      <c r="K311" s="35">
        <v>45069</v>
      </c>
      <c r="L311" s="35">
        <v>28584</v>
      </c>
      <c r="M311" s="32" t="s">
        <v>46</v>
      </c>
      <c r="N311" s="32" t="s">
        <v>47</v>
      </c>
      <c r="O311" s="32" t="s">
        <v>43</v>
      </c>
      <c r="P311" s="32"/>
      <c r="Q311" s="7" t="s">
        <v>71</v>
      </c>
      <c r="Y311" t="s">
        <v>999</v>
      </c>
      <c r="AB311" t="s">
        <v>1000</v>
      </c>
      <c r="AC311" t="s">
        <v>1001</v>
      </c>
      <c r="AD311" t="s">
        <v>314</v>
      </c>
      <c r="AE311" t="s">
        <v>1002</v>
      </c>
      <c r="AF311" t="s">
        <v>1003</v>
      </c>
      <c r="AG311" t="s">
        <v>1004</v>
      </c>
      <c r="AH311" t="s">
        <v>1005</v>
      </c>
      <c r="AI311" t="s">
        <v>1006</v>
      </c>
      <c r="AJ311" t="s">
        <v>1007</v>
      </c>
      <c r="AK311" t="s">
        <v>377</v>
      </c>
      <c r="AL311" t="s">
        <v>1008</v>
      </c>
      <c r="AM311" t="s">
        <v>1009</v>
      </c>
    </row>
    <row r="312" spans="1:41" ht="14.45">
      <c r="A312" s="32" t="s">
        <v>1010</v>
      </c>
      <c r="B312" s="27" t="s">
        <v>1011</v>
      </c>
      <c r="C312" s="27"/>
      <c r="D312" s="32">
        <v>7145082</v>
      </c>
      <c r="E312" s="32"/>
      <c r="F312" s="32"/>
      <c r="G312" s="31">
        <f t="shared" si="10"/>
        <v>43</v>
      </c>
      <c r="H312" s="31">
        <f t="shared" si="11"/>
        <v>0</v>
      </c>
      <c r="I312" s="32">
        <v>0</v>
      </c>
      <c r="J312" s="32">
        <v>0</v>
      </c>
      <c r="K312" s="35">
        <v>45070</v>
      </c>
      <c r="L312" s="35">
        <v>29176</v>
      </c>
      <c r="M312" s="32" t="s">
        <v>55</v>
      </c>
      <c r="N312" s="32" t="s">
        <v>869</v>
      </c>
      <c r="O312" s="32" t="s">
        <v>48</v>
      </c>
      <c r="P312" s="32"/>
      <c r="Q312" s="7" t="s">
        <v>50</v>
      </c>
      <c r="X312" t="s">
        <v>50</v>
      </c>
      <c r="Y312" t="s">
        <v>50</v>
      </c>
      <c r="Z312" t="s">
        <v>50</v>
      </c>
      <c r="AA312" t="s">
        <v>50</v>
      </c>
      <c r="AB312" t="s">
        <v>1012</v>
      </c>
      <c r="AC312" t="s">
        <v>1013</v>
      </c>
      <c r="AD312" t="s">
        <v>1014</v>
      </c>
    </row>
    <row r="313" spans="1:41" s="32" customFormat="1" ht="14.45">
      <c r="A313" s="32" t="s">
        <v>1015</v>
      </c>
      <c r="B313" s="27" t="s">
        <v>1016</v>
      </c>
      <c r="C313" s="27"/>
      <c r="D313" s="32">
        <v>4791200</v>
      </c>
      <c r="G313" s="31">
        <f t="shared" si="10"/>
        <v>29</v>
      </c>
      <c r="H313" s="31">
        <f t="shared" si="11"/>
        <v>1</v>
      </c>
      <c r="I313" s="32">
        <v>0</v>
      </c>
      <c r="J313" s="32">
        <v>1</v>
      </c>
      <c r="K313" s="40">
        <v>45092</v>
      </c>
      <c r="L313" s="35">
        <v>34268</v>
      </c>
      <c r="M313" s="32" t="s">
        <v>46</v>
      </c>
      <c r="N313" s="34" t="s">
        <v>91</v>
      </c>
      <c r="O313" s="32" t="s">
        <v>48</v>
      </c>
      <c r="Q313" s="7" t="s">
        <v>71</v>
      </c>
      <c r="R313"/>
      <c r="S313"/>
      <c r="T313"/>
      <c r="U313"/>
      <c r="V313"/>
      <c r="W313"/>
      <c r="X313" t="s">
        <v>50</v>
      </c>
      <c r="Y313" t="s">
        <v>1017</v>
      </c>
      <c r="Z313"/>
      <c r="AA313"/>
      <c r="AB313" t="s">
        <v>1018</v>
      </c>
      <c r="AC313" t="s">
        <v>314</v>
      </c>
      <c r="AD313" t="s">
        <v>1019</v>
      </c>
      <c r="AE313"/>
      <c r="AF313"/>
      <c r="AG313"/>
      <c r="AH313"/>
      <c r="AI313"/>
      <c r="AJ313"/>
      <c r="AK313"/>
      <c r="AL313"/>
      <c r="AM313"/>
      <c r="AN313"/>
      <c r="AO313"/>
    </row>
    <row r="314" spans="1:41" s="70" customFormat="1">
      <c r="A314" s="70" t="s">
        <v>1020</v>
      </c>
      <c r="B314" s="71" t="s">
        <v>1021</v>
      </c>
      <c r="C314" s="71"/>
      <c r="D314" s="70">
        <v>7160356</v>
      </c>
      <c r="G314" s="72">
        <f t="shared" si="10"/>
        <v>49</v>
      </c>
      <c r="H314" s="72">
        <f t="shared" si="11"/>
        <v>0</v>
      </c>
      <c r="I314" s="70">
        <v>0</v>
      </c>
      <c r="J314" s="70">
        <v>1</v>
      </c>
      <c r="K314" s="73">
        <v>45099</v>
      </c>
      <c r="L314" s="73">
        <v>27198</v>
      </c>
      <c r="M314" s="70" t="s">
        <v>55</v>
      </c>
      <c r="N314" s="70" t="s">
        <v>47</v>
      </c>
      <c r="O314" s="70" t="s">
        <v>48</v>
      </c>
      <c r="Q314" s="74" t="s">
        <v>71</v>
      </c>
      <c r="R314" s="74"/>
      <c r="S314" s="74"/>
      <c r="T314" s="74"/>
      <c r="U314" s="74"/>
      <c r="V314" s="74"/>
      <c r="W314" s="74"/>
      <c r="X314" s="74" t="s">
        <v>50</v>
      </c>
      <c r="Y314" s="74" t="s">
        <v>50</v>
      </c>
      <c r="Z314" s="74" t="s">
        <v>50</v>
      </c>
      <c r="AA314" s="74" t="s">
        <v>50</v>
      </c>
      <c r="AB314" s="74" t="s">
        <v>81</v>
      </c>
      <c r="AC314" s="74" t="s">
        <v>1022</v>
      </c>
      <c r="AD314" s="74" t="s">
        <v>114</v>
      </c>
      <c r="AE314" s="74" t="s">
        <v>1023</v>
      </c>
      <c r="AF314" s="74" t="s">
        <v>1024</v>
      </c>
      <c r="AG314" s="74"/>
      <c r="AH314" s="74"/>
      <c r="AI314" s="74"/>
      <c r="AJ314" s="74"/>
      <c r="AK314" s="74"/>
      <c r="AL314" s="74"/>
      <c r="AM314" s="74"/>
      <c r="AN314" s="74"/>
      <c r="AO314" s="74"/>
    </row>
    <row r="315" spans="1:41" s="43" customFormat="1">
      <c r="A315" s="70" t="s">
        <v>1025</v>
      </c>
      <c r="B315" s="71" t="s">
        <v>1026</v>
      </c>
      <c r="C315" s="71"/>
      <c r="D315" s="70">
        <v>7161463</v>
      </c>
      <c r="E315" s="70"/>
      <c r="F315" s="70"/>
      <c r="G315" s="72">
        <f t="shared" si="10"/>
        <v>62</v>
      </c>
      <c r="H315" s="72">
        <f t="shared" si="11"/>
        <v>0</v>
      </c>
      <c r="I315" s="70">
        <v>0</v>
      </c>
      <c r="J315" s="70">
        <v>1</v>
      </c>
      <c r="K315" s="73">
        <v>45100</v>
      </c>
      <c r="L315" s="73">
        <v>22231</v>
      </c>
      <c r="M315" s="70" t="s">
        <v>55</v>
      </c>
      <c r="N315" s="70" t="s">
        <v>47</v>
      </c>
      <c r="O315" s="70" t="s">
        <v>48</v>
      </c>
      <c r="P315" s="70"/>
      <c r="Q315" s="74" t="s">
        <v>71</v>
      </c>
      <c r="R315" s="74"/>
      <c r="S315" s="74"/>
      <c r="T315" s="74"/>
      <c r="U315" s="74"/>
      <c r="V315" s="74"/>
      <c r="W315" s="74"/>
      <c r="X315" s="74" t="s">
        <v>50</v>
      </c>
      <c r="Y315" s="74" t="s">
        <v>50</v>
      </c>
      <c r="Z315" s="74" t="s">
        <v>50</v>
      </c>
      <c r="AA315" s="74" t="s">
        <v>50</v>
      </c>
      <c r="AB315" t="s">
        <v>963</v>
      </c>
      <c r="AC315" t="s">
        <v>916</v>
      </c>
      <c r="AD315" t="s">
        <v>917</v>
      </c>
      <c r="AE315" t="s">
        <v>1027</v>
      </c>
      <c r="AF315" t="s">
        <v>1028</v>
      </c>
    </row>
    <row r="316" spans="1:41" s="32" customFormat="1" ht="14.45">
      <c r="A316" s="32" t="s">
        <v>1029</v>
      </c>
      <c r="B316" s="27" t="s">
        <v>1030</v>
      </c>
      <c r="C316" s="27"/>
      <c r="D316" s="32">
        <v>7159958</v>
      </c>
      <c r="G316" s="41">
        <f t="shared" si="10"/>
        <v>54</v>
      </c>
      <c r="H316" s="41">
        <f t="shared" si="11"/>
        <v>0</v>
      </c>
      <c r="I316" s="32">
        <v>0</v>
      </c>
      <c r="J316" s="32">
        <v>1</v>
      </c>
      <c r="K316" s="35">
        <v>45103</v>
      </c>
      <c r="L316" s="35">
        <v>25306</v>
      </c>
      <c r="M316" s="32" t="s">
        <v>55</v>
      </c>
      <c r="N316" s="32" t="s">
        <v>47</v>
      </c>
      <c r="O316" s="32" t="s">
        <v>48</v>
      </c>
      <c r="Q316" s="7" t="s">
        <v>71</v>
      </c>
      <c r="R316"/>
      <c r="S316"/>
      <c r="T316"/>
      <c r="U316"/>
      <c r="V316"/>
      <c r="W316"/>
      <c r="X316" t="s">
        <v>50</v>
      </c>
      <c r="Y316" t="s">
        <v>50</v>
      </c>
      <c r="Z316" t="s">
        <v>50</v>
      </c>
      <c r="AA316" t="s">
        <v>50</v>
      </c>
      <c r="AB316" t="s">
        <v>81</v>
      </c>
      <c r="AC316" t="s">
        <v>1031</v>
      </c>
      <c r="AD316" t="s">
        <v>1032</v>
      </c>
      <c r="AE316" t="s">
        <v>1033</v>
      </c>
      <c r="AF316" t="s">
        <v>1034</v>
      </c>
      <c r="AG316"/>
      <c r="AH316"/>
      <c r="AI316"/>
      <c r="AJ316"/>
      <c r="AK316"/>
      <c r="AL316"/>
      <c r="AM316"/>
      <c r="AN316"/>
      <c r="AO316"/>
    </row>
    <row r="317" spans="1:41" ht="14.45">
      <c r="A317" s="34" t="s">
        <v>1035</v>
      </c>
      <c r="B317" s="27" t="s">
        <v>1036</v>
      </c>
      <c r="C317" s="27"/>
      <c r="D317" s="34">
        <v>3000946</v>
      </c>
      <c r="E317" s="34"/>
      <c r="F317" s="34">
        <v>24</v>
      </c>
      <c r="G317" s="34">
        <f t="shared" si="10"/>
        <v>44</v>
      </c>
      <c r="H317" s="34">
        <f t="shared" si="11"/>
        <v>0</v>
      </c>
      <c r="I317" s="34">
        <v>0</v>
      </c>
      <c r="J317" s="34">
        <v>1</v>
      </c>
      <c r="K317" s="40">
        <v>45135</v>
      </c>
      <c r="L317" s="40">
        <v>28749</v>
      </c>
      <c r="M317" s="34" t="s">
        <v>55</v>
      </c>
      <c r="N317" s="34" t="s">
        <v>47</v>
      </c>
      <c r="O317" s="34" t="s">
        <v>43</v>
      </c>
      <c r="P317" s="34"/>
      <c r="Q317" s="7" t="s">
        <v>71</v>
      </c>
      <c r="X317" t="s">
        <v>50</v>
      </c>
      <c r="Y317" t="s">
        <v>50</v>
      </c>
      <c r="Z317" t="s">
        <v>50</v>
      </c>
      <c r="AA317" t="s">
        <v>50</v>
      </c>
      <c r="AB317" t="s">
        <v>314</v>
      </c>
      <c r="AC317" t="s">
        <v>1037</v>
      </c>
      <c r="AD317" t="s">
        <v>1038</v>
      </c>
      <c r="AE317" t="s">
        <v>1039</v>
      </c>
      <c r="AF317" t="s">
        <v>1040</v>
      </c>
      <c r="AG317" t="s">
        <v>1041</v>
      </c>
    </row>
    <row r="318" spans="1:41" s="32" customFormat="1" ht="14.45">
      <c r="A318" s="31" t="s">
        <v>1042</v>
      </c>
      <c r="B318" s="27" t="s">
        <v>1043</v>
      </c>
      <c r="C318" s="27"/>
      <c r="D318" s="34">
        <v>2210524</v>
      </c>
      <c r="E318" s="34"/>
      <c r="F318" s="34">
        <v>33</v>
      </c>
      <c r="G318" s="31">
        <f t="shared" si="10"/>
        <v>53</v>
      </c>
      <c r="H318" s="31">
        <f t="shared" si="11"/>
        <v>0</v>
      </c>
      <c r="I318" s="33">
        <v>0</v>
      </c>
      <c r="J318" s="34">
        <v>1</v>
      </c>
      <c r="K318" s="40">
        <v>44943</v>
      </c>
      <c r="L318" s="40">
        <v>25544</v>
      </c>
      <c r="M318" s="31" t="s">
        <v>55</v>
      </c>
      <c r="N318" s="34" t="s">
        <v>47</v>
      </c>
      <c r="O318" s="34" t="s">
        <v>43</v>
      </c>
      <c r="P318" s="32" t="s">
        <v>1044</v>
      </c>
      <c r="Q318" s="7" t="s">
        <v>71</v>
      </c>
      <c r="R318"/>
      <c r="S318"/>
      <c r="T318"/>
      <c r="U318"/>
      <c r="V318"/>
      <c r="W318"/>
      <c r="X318" t="s">
        <v>50</v>
      </c>
      <c r="Y318" t="s">
        <v>50</v>
      </c>
      <c r="Z318" t="s">
        <v>50</v>
      </c>
      <c r="AA318" t="s">
        <v>50</v>
      </c>
      <c r="AB318" t="s">
        <v>314</v>
      </c>
      <c r="AC318" t="s">
        <v>1045</v>
      </c>
      <c r="AD318" t="s">
        <v>916</v>
      </c>
      <c r="AE318" t="s">
        <v>377</v>
      </c>
      <c r="AF318" t="s">
        <v>1046</v>
      </c>
      <c r="AG318" t="s">
        <v>1047</v>
      </c>
      <c r="AH318"/>
      <c r="AI318"/>
      <c r="AJ318"/>
      <c r="AK318"/>
      <c r="AL318"/>
      <c r="AM318"/>
      <c r="AN318" t="s">
        <v>1048</v>
      </c>
      <c r="AO318"/>
    </row>
    <row r="319" spans="1:41" s="32" customFormat="1" ht="14.45">
      <c r="A319" s="34" t="s">
        <v>1049</v>
      </c>
      <c r="B319" s="27" t="s">
        <v>1050</v>
      </c>
      <c r="C319" s="27"/>
      <c r="D319" s="34">
        <v>3763791</v>
      </c>
      <c r="E319" s="34"/>
      <c r="F319" s="32">
        <v>50</v>
      </c>
      <c r="G319" s="31">
        <f t="shared" si="10"/>
        <v>65</v>
      </c>
      <c r="H319" s="31">
        <f t="shared" si="11"/>
        <v>0</v>
      </c>
      <c r="I319" s="33">
        <v>0</v>
      </c>
      <c r="J319" s="34">
        <v>1</v>
      </c>
      <c r="K319" s="35">
        <v>45020</v>
      </c>
      <c r="L319" s="35">
        <v>21223</v>
      </c>
      <c r="M319" s="31" t="s">
        <v>55</v>
      </c>
      <c r="N319" s="34" t="s">
        <v>47</v>
      </c>
      <c r="O319" s="34" t="s">
        <v>48</v>
      </c>
      <c r="Q319" s="7" t="s">
        <v>71</v>
      </c>
      <c r="R319"/>
      <c r="S319"/>
      <c r="T319"/>
      <c r="U319"/>
      <c r="V319"/>
      <c r="W319"/>
      <c r="X319" t="s">
        <v>50</v>
      </c>
      <c r="Y319" t="s">
        <v>50</v>
      </c>
      <c r="Z319" t="s">
        <v>1051</v>
      </c>
      <c r="AA319" t="s">
        <v>1052</v>
      </c>
      <c r="AB319" t="s">
        <v>963</v>
      </c>
      <c r="AC319" t="s">
        <v>1053</v>
      </c>
      <c r="AD319" t="s">
        <v>1054</v>
      </c>
      <c r="AE319" t="s">
        <v>1055</v>
      </c>
      <c r="AF319" t="s">
        <v>964</v>
      </c>
      <c r="AG319" t="s">
        <v>314</v>
      </c>
      <c r="AH319" t="s">
        <v>415</v>
      </c>
      <c r="AI319" t="s">
        <v>1056</v>
      </c>
      <c r="AJ319"/>
      <c r="AK319"/>
      <c r="AL319"/>
      <c r="AM319"/>
      <c r="AN319"/>
      <c r="AO319"/>
    </row>
    <row r="320" spans="1:41" ht="14.45">
      <c r="A320" s="34" t="s">
        <v>1057</v>
      </c>
      <c r="B320" s="27" t="s">
        <v>1058</v>
      </c>
      <c r="C320" s="62"/>
      <c r="D320" s="34">
        <v>7130657</v>
      </c>
      <c r="E320" s="34"/>
      <c r="F320" s="32"/>
      <c r="G320" s="31">
        <f t="shared" si="10"/>
        <v>45</v>
      </c>
      <c r="H320" s="31">
        <f t="shared" si="11"/>
        <v>0</v>
      </c>
      <c r="I320" s="33">
        <v>0</v>
      </c>
      <c r="J320" s="34">
        <v>1</v>
      </c>
      <c r="K320" s="35">
        <v>45030</v>
      </c>
      <c r="L320" s="35">
        <v>28432</v>
      </c>
      <c r="M320" s="31" t="s">
        <v>106</v>
      </c>
      <c r="N320" s="34" t="s">
        <v>47</v>
      </c>
      <c r="O320" s="34" t="s">
        <v>48</v>
      </c>
      <c r="P320" s="32"/>
      <c r="Q320" s="7" t="s">
        <v>49</v>
      </c>
      <c r="R320" s="32"/>
      <c r="S320" s="32"/>
      <c r="T320" s="32"/>
      <c r="U320" s="32"/>
      <c r="V320" s="32"/>
      <c r="W320" s="32"/>
      <c r="X320" t="s">
        <v>50</v>
      </c>
      <c r="Y320" t="s">
        <v>50</v>
      </c>
      <c r="Z320" t="s">
        <v>50</v>
      </c>
      <c r="AA320" t="s">
        <v>50</v>
      </c>
      <c r="AB320" t="s">
        <v>916</v>
      </c>
      <c r="AC320" t="s">
        <v>1059</v>
      </c>
      <c r="AD320" t="s">
        <v>81</v>
      </c>
      <c r="AE320" t="s">
        <v>209</v>
      </c>
      <c r="AF320" t="s">
        <v>1060</v>
      </c>
      <c r="AG320" t="s">
        <v>1061</v>
      </c>
    </row>
    <row r="321" spans="1:41" ht="14.45">
      <c r="A321" s="34" t="s">
        <v>1062</v>
      </c>
      <c r="B321" s="27" t="s">
        <v>1063</v>
      </c>
      <c r="C321" s="62"/>
      <c r="D321" s="34">
        <v>7130052</v>
      </c>
      <c r="E321" s="34"/>
      <c r="F321" s="32"/>
      <c r="G321" s="31">
        <f t="shared" si="10"/>
        <v>41</v>
      </c>
      <c r="H321" s="31">
        <f t="shared" si="11"/>
        <v>0</v>
      </c>
      <c r="I321" s="33">
        <v>0</v>
      </c>
      <c r="J321" s="34">
        <v>1</v>
      </c>
      <c r="K321" s="35">
        <v>45036</v>
      </c>
      <c r="L321" s="35">
        <v>29774</v>
      </c>
      <c r="M321" s="31" t="s">
        <v>106</v>
      </c>
      <c r="N321" s="34" t="s">
        <v>91</v>
      </c>
      <c r="O321" s="34" t="s">
        <v>48</v>
      </c>
      <c r="P321" s="32"/>
      <c r="Q321" s="7" t="s">
        <v>515</v>
      </c>
      <c r="R321" s="32"/>
      <c r="S321" s="32"/>
      <c r="T321" s="32"/>
      <c r="U321" s="32"/>
      <c r="V321" s="32"/>
      <c r="W321" s="32"/>
      <c r="X321" t="s">
        <v>50</v>
      </c>
      <c r="Y321" t="s">
        <v>50</v>
      </c>
      <c r="Z321" t="s">
        <v>50</v>
      </c>
      <c r="AA321" t="s">
        <v>1064</v>
      </c>
      <c r="AB321" t="s">
        <v>1065</v>
      </c>
    </row>
    <row r="322" spans="1:41" ht="14.45">
      <c r="A322" s="34" t="s">
        <v>1066</v>
      </c>
      <c r="B322" s="27" t="s">
        <v>1067</v>
      </c>
      <c r="C322" s="62"/>
      <c r="D322" s="34">
        <v>7135357</v>
      </c>
      <c r="E322" s="34"/>
      <c r="F322" s="34"/>
      <c r="G322" s="31">
        <f t="shared" si="10"/>
        <v>58</v>
      </c>
      <c r="H322" s="31">
        <f t="shared" si="11"/>
        <v>0</v>
      </c>
      <c r="I322" s="33">
        <v>0</v>
      </c>
      <c r="J322" s="34">
        <v>1</v>
      </c>
      <c r="K322" s="40">
        <v>45040</v>
      </c>
      <c r="L322" s="40">
        <v>23733</v>
      </c>
      <c r="M322" s="31" t="s">
        <v>106</v>
      </c>
      <c r="N322" s="34" t="s">
        <v>47</v>
      </c>
      <c r="O322" s="34" t="s">
        <v>48</v>
      </c>
      <c r="P322" s="55"/>
      <c r="Q322" s="7" t="s">
        <v>49</v>
      </c>
      <c r="R322" s="32"/>
      <c r="S322" s="32"/>
      <c r="T322" s="32"/>
      <c r="U322" s="32"/>
      <c r="V322" s="32"/>
      <c r="W322" s="32"/>
      <c r="X322" t="s">
        <v>50</v>
      </c>
      <c r="Y322" t="s">
        <v>1068</v>
      </c>
      <c r="Z322" t="s">
        <v>50</v>
      </c>
      <c r="AA322" t="s">
        <v>50</v>
      </c>
      <c r="AB322" t="s">
        <v>1069</v>
      </c>
    </row>
    <row r="323" spans="1:41" ht="14.45">
      <c r="A323" s="34" t="s">
        <v>1070</v>
      </c>
      <c r="B323" s="27" t="s">
        <v>1071</v>
      </c>
      <c r="C323" s="62"/>
      <c r="D323" s="34">
        <v>4094480</v>
      </c>
      <c r="E323" s="34"/>
      <c r="F323" s="32"/>
      <c r="G323" s="31">
        <f t="shared" si="10"/>
        <v>53</v>
      </c>
      <c r="H323" s="31">
        <f t="shared" si="11"/>
        <v>0</v>
      </c>
      <c r="I323" s="33">
        <v>0</v>
      </c>
      <c r="J323" s="34">
        <v>1</v>
      </c>
      <c r="K323" s="35">
        <v>45041</v>
      </c>
      <c r="L323" s="35">
        <v>25375</v>
      </c>
      <c r="M323" s="31" t="s">
        <v>55</v>
      </c>
      <c r="N323" s="34" t="s">
        <v>47</v>
      </c>
      <c r="O323" s="34" t="s">
        <v>48</v>
      </c>
      <c r="P323" s="32"/>
      <c r="Q323" s="7" t="s">
        <v>49</v>
      </c>
      <c r="R323" s="32"/>
      <c r="S323" s="32"/>
      <c r="T323" s="32"/>
      <c r="U323" s="32"/>
      <c r="X323" t="s">
        <v>50</v>
      </c>
      <c r="Y323" t="s">
        <v>50</v>
      </c>
      <c r="Z323" t="s">
        <v>50</v>
      </c>
      <c r="AA323" t="s">
        <v>50</v>
      </c>
      <c r="AB323" t="s">
        <v>81</v>
      </c>
      <c r="AC323" t="s">
        <v>1072</v>
      </c>
    </row>
    <row r="324" spans="1:41" ht="14.45">
      <c r="A324" s="34" t="s">
        <v>1073</v>
      </c>
      <c r="B324" s="27" t="s">
        <v>1074</v>
      </c>
      <c r="C324" s="62"/>
      <c r="D324" s="34">
        <v>7134541</v>
      </c>
      <c r="E324" s="34"/>
      <c r="F324" s="32"/>
      <c r="G324" s="31">
        <f t="shared" si="10"/>
        <v>47</v>
      </c>
      <c r="H324" s="31">
        <f t="shared" si="11"/>
        <v>0</v>
      </c>
      <c r="I324" s="33">
        <v>0</v>
      </c>
      <c r="J324" s="34">
        <v>1</v>
      </c>
      <c r="K324" s="35">
        <v>45042</v>
      </c>
      <c r="L324" s="35">
        <v>27541</v>
      </c>
      <c r="M324" s="31" t="s">
        <v>55</v>
      </c>
      <c r="N324" s="34" t="s">
        <v>47</v>
      </c>
      <c r="O324" s="34" t="s">
        <v>48</v>
      </c>
      <c r="P324" s="32"/>
      <c r="Q324" s="7" t="s">
        <v>71</v>
      </c>
      <c r="X324" t="s">
        <v>50</v>
      </c>
      <c r="Y324" t="s">
        <v>50</v>
      </c>
      <c r="Z324" t="s">
        <v>50</v>
      </c>
      <c r="AA324" t="s">
        <v>50</v>
      </c>
      <c r="AB324" t="s">
        <v>1075</v>
      </c>
      <c r="AC324" t="s">
        <v>81</v>
      </c>
      <c r="AD324" t="s">
        <v>1076</v>
      </c>
      <c r="AE324" t="s">
        <v>1077</v>
      </c>
      <c r="AF324" t="s">
        <v>1078</v>
      </c>
    </row>
    <row r="325" spans="1:41" ht="14.45">
      <c r="A325" s="34" t="s">
        <v>1079</v>
      </c>
      <c r="B325" s="27" t="s">
        <v>1080</v>
      </c>
      <c r="C325" s="62"/>
      <c r="D325" s="34">
        <v>7131159</v>
      </c>
      <c r="E325" s="34"/>
      <c r="F325" s="32"/>
      <c r="G325" s="31">
        <f t="shared" ref="G325:G356" si="12">DATEDIF(L325,K325,"Y")</f>
        <v>47</v>
      </c>
      <c r="H325" s="31">
        <f t="shared" ref="H325:H356" si="13">IF(G325&lt;=39,1,0)</f>
        <v>0</v>
      </c>
      <c r="I325" s="33">
        <v>0</v>
      </c>
      <c r="J325" s="34">
        <v>1</v>
      </c>
      <c r="K325" s="35">
        <v>45043</v>
      </c>
      <c r="L325" s="35">
        <v>27851</v>
      </c>
      <c r="M325" s="31" t="s">
        <v>106</v>
      </c>
      <c r="N325" s="32" t="s">
        <v>47</v>
      </c>
      <c r="O325" s="34" t="s">
        <v>43</v>
      </c>
      <c r="P325" s="32"/>
      <c r="Q325" s="7" t="s">
        <v>50</v>
      </c>
      <c r="X325" t="s">
        <v>50</v>
      </c>
      <c r="Y325" t="s">
        <v>50</v>
      </c>
      <c r="Z325" t="s">
        <v>50</v>
      </c>
      <c r="AA325" t="s">
        <v>50</v>
      </c>
      <c r="AB325" t="s">
        <v>81</v>
      </c>
      <c r="AC325" t="s">
        <v>963</v>
      </c>
      <c r="AD325" t="s">
        <v>1053</v>
      </c>
      <c r="AE325" t="s">
        <v>1054</v>
      </c>
      <c r="AF325" t="s">
        <v>1081</v>
      </c>
      <c r="AG325" t="s">
        <v>1082</v>
      </c>
      <c r="AH325" t="s">
        <v>1083</v>
      </c>
    </row>
    <row r="326" spans="1:41" ht="14.45">
      <c r="A326" s="34" t="s">
        <v>1084</v>
      </c>
      <c r="B326" s="27" t="s">
        <v>1085</v>
      </c>
      <c r="C326" s="62" t="s">
        <v>1086</v>
      </c>
      <c r="D326" s="34">
        <v>7136349</v>
      </c>
      <c r="E326" s="34"/>
      <c r="F326" s="32"/>
      <c r="G326" s="31">
        <f t="shared" si="12"/>
        <v>44</v>
      </c>
      <c r="H326" s="31">
        <f t="shared" si="13"/>
        <v>0</v>
      </c>
      <c r="I326" s="33">
        <v>0</v>
      </c>
      <c r="J326" s="34">
        <v>1</v>
      </c>
      <c r="K326" s="35">
        <v>45047</v>
      </c>
      <c r="L326" s="35">
        <v>28888</v>
      </c>
      <c r="M326" s="31" t="s">
        <v>55</v>
      </c>
      <c r="N326" s="32" t="s">
        <v>47</v>
      </c>
      <c r="O326" s="34" t="s">
        <v>48</v>
      </c>
      <c r="P326" s="32"/>
      <c r="Q326" s="7" t="s">
        <v>49</v>
      </c>
      <c r="R326" s="32"/>
      <c r="S326" s="32"/>
      <c r="T326" s="32"/>
      <c r="U326" s="32"/>
      <c r="V326" s="32"/>
      <c r="W326" s="32"/>
      <c r="X326" t="s">
        <v>50</v>
      </c>
      <c r="Y326" t="s">
        <v>50</v>
      </c>
      <c r="Z326" t="s">
        <v>50</v>
      </c>
      <c r="AA326" t="s">
        <v>50</v>
      </c>
      <c r="AB326" t="s">
        <v>963</v>
      </c>
      <c r="AC326" t="s">
        <v>1087</v>
      </c>
      <c r="AD326" t="s">
        <v>1088</v>
      </c>
    </row>
    <row r="327" spans="1:41" ht="14.45">
      <c r="A327" s="32" t="s">
        <v>1089</v>
      </c>
      <c r="B327" s="27" t="s">
        <v>1090</v>
      </c>
      <c r="C327" s="62"/>
      <c r="D327" s="32">
        <v>4291310</v>
      </c>
      <c r="E327" s="32"/>
      <c r="F327" s="32"/>
      <c r="G327" s="32">
        <f t="shared" si="12"/>
        <v>41</v>
      </c>
      <c r="H327" s="32">
        <f t="shared" si="13"/>
        <v>0</v>
      </c>
      <c r="I327" s="32">
        <v>0</v>
      </c>
      <c r="J327" s="32">
        <v>1</v>
      </c>
      <c r="K327" s="35">
        <v>45062</v>
      </c>
      <c r="L327" s="35">
        <v>29727</v>
      </c>
      <c r="M327" s="32" t="s">
        <v>46</v>
      </c>
      <c r="N327" s="32" t="s">
        <v>47</v>
      </c>
      <c r="O327" s="32" t="s">
        <v>48</v>
      </c>
      <c r="P327" s="32"/>
      <c r="Q327" s="7" t="s">
        <v>49</v>
      </c>
      <c r="X327" t="s">
        <v>50</v>
      </c>
      <c r="Y327" t="s">
        <v>50</v>
      </c>
      <c r="Z327" t="s">
        <v>50</v>
      </c>
      <c r="AA327" t="s">
        <v>50</v>
      </c>
      <c r="AB327" t="s">
        <v>1091</v>
      </c>
      <c r="AC327" t="s">
        <v>963</v>
      </c>
      <c r="AD327" t="s">
        <v>81</v>
      </c>
      <c r="AE327" t="s">
        <v>916</v>
      </c>
      <c r="AF327" t="s">
        <v>1054</v>
      </c>
    </row>
    <row r="328" spans="1:41" ht="14.45">
      <c r="A328" s="34" t="s">
        <v>1092</v>
      </c>
      <c r="B328" s="27" t="s">
        <v>1093</v>
      </c>
      <c r="C328" s="62"/>
      <c r="D328" s="34">
        <v>3931735</v>
      </c>
      <c r="E328" s="34"/>
      <c r="F328" s="34"/>
      <c r="G328" s="31">
        <f t="shared" si="12"/>
        <v>37</v>
      </c>
      <c r="H328" s="31">
        <f t="shared" si="13"/>
        <v>1</v>
      </c>
      <c r="I328" s="33">
        <v>0</v>
      </c>
      <c r="J328" s="34">
        <v>1</v>
      </c>
      <c r="K328" s="40">
        <v>45063</v>
      </c>
      <c r="L328" s="40">
        <v>31440</v>
      </c>
      <c r="M328" s="31" t="s">
        <v>106</v>
      </c>
      <c r="N328" s="34" t="s">
        <v>47</v>
      </c>
      <c r="O328" s="34" t="s">
        <v>48</v>
      </c>
      <c r="P328" s="32"/>
      <c r="Q328" s="7" t="s">
        <v>71</v>
      </c>
      <c r="X328" t="s">
        <v>50</v>
      </c>
      <c r="Y328" t="s">
        <v>50</v>
      </c>
      <c r="Z328" t="s">
        <v>50</v>
      </c>
      <c r="AA328" t="s">
        <v>50</v>
      </c>
      <c r="AB328" t="s">
        <v>1094</v>
      </c>
      <c r="AC328" t="s">
        <v>81</v>
      </c>
      <c r="AD328" t="s">
        <v>1095</v>
      </c>
    </row>
    <row r="329" spans="1:41" s="32" customFormat="1" ht="14.45">
      <c r="A329" s="32" t="s">
        <v>1096</v>
      </c>
      <c r="B329" s="27" t="s">
        <v>1097</v>
      </c>
      <c r="C329" s="62"/>
      <c r="D329" s="32">
        <v>7092234</v>
      </c>
      <c r="G329" s="31">
        <f t="shared" si="12"/>
        <v>39</v>
      </c>
      <c r="H329" s="31">
        <f t="shared" si="13"/>
        <v>1</v>
      </c>
      <c r="I329" s="32">
        <v>0</v>
      </c>
      <c r="J329" s="32">
        <v>1</v>
      </c>
      <c r="K329" s="40">
        <v>45092</v>
      </c>
      <c r="L329" s="35">
        <v>30612</v>
      </c>
      <c r="M329" s="32" t="s">
        <v>106</v>
      </c>
      <c r="N329" s="32" t="s">
        <v>47</v>
      </c>
      <c r="O329" s="32" t="s">
        <v>48</v>
      </c>
      <c r="Q329" s="7" t="s">
        <v>49</v>
      </c>
      <c r="R329"/>
      <c r="S329"/>
      <c r="T329"/>
      <c r="U329"/>
      <c r="V329"/>
      <c r="W329"/>
      <c r="X329" t="s">
        <v>50</v>
      </c>
      <c r="Y329" t="s">
        <v>50</v>
      </c>
      <c r="Z329" t="s">
        <v>50</v>
      </c>
      <c r="AA329" t="s">
        <v>50</v>
      </c>
      <c r="AB329" t="s">
        <v>1098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</row>
    <row r="330" spans="1:41" ht="14.45">
      <c r="A330" s="32" t="s">
        <v>1099</v>
      </c>
      <c r="B330" s="27" t="s">
        <v>1100</v>
      </c>
      <c r="C330" s="62"/>
      <c r="D330" s="32">
        <v>7157326</v>
      </c>
      <c r="E330" s="32"/>
      <c r="F330" s="32"/>
      <c r="G330" s="31">
        <f t="shared" si="12"/>
        <v>69</v>
      </c>
      <c r="H330" s="31">
        <f t="shared" si="13"/>
        <v>0</v>
      </c>
      <c r="I330" s="32">
        <v>0</v>
      </c>
      <c r="J330" s="32">
        <v>1</v>
      </c>
      <c r="K330" s="40">
        <v>45094</v>
      </c>
      <c r="L330" s="35">
        <v>19562</v>
      </c>
      <c r="M330" s="32" t="s">
        <v>106</v>
      </c>
      <c r="N330" s="32" t="s">
        <v>91</v>
      </c>
      <c r="O330" s="32" t="s">
        <v>48</v>
      </c>
      <c r="P330" s="32"/>
      <c r="Q330" s="7" t="s">
        <v>49</v>
      </c>
      <c r="X330" t="s">
        <v>50</v>
      </c>
      <c r="Y330" t="s">
        <v>50</v>
      </c>
      <c r="Z330" t="s">
        <v>50</v>
      </c>
      <c r="AA330" t="s">
        <v>50</v>
      </c>
      <c r="AB330" t="s">
        <v>1101</v>
      </c>
      <c r="AC330" t="s">
        <v>81</v>
      </c>
      <c r="AD330" t="s">
        <v>1102</v>
      </c>
      <c r="AE330" t="s">
        <v>1103</v>
      </c>
      <c r="AF330" t="s">
        <v>1104</v>
      </c>
      <c r="AG330" t="s">
        <v>1105</v>
      </c>
    </row>
    <row r="331" spans="1:41" ht="14.45">
      <c r="A331" s="34" t="s">
        <v>1106</v>
      </c>
      <c r="B331" s="27" t="s">
        <v>1107</v>
      </c>
      <c r="C331" s="62"/>
      <c r="D331" s="34">
        <v>7161340</v>
      </c>
      <c r="E331" s="34"/>
      <c r="F331" s="34"/>
      <c r="G331" s="31">
        <f t="shared" si="12"/>
        <v>45</v>
      </c>
      <c r="H331" s="31">
        <f t="shared" si="13"/>
        <v>0</v>
      </c>
      <c r="I331" s="34">
        <v>0</v>
      </c>
      <c r="J331" s="34">
        <v>1</v>
      </c>
      <c r="K331" s="40">
        <v>45123</v>
      </c>
      <c r="L331" s="40">
        <v>28340</v>
      </c>
      <c r="M331" s="34" t="s">
        <v>55</v>
      </c>
      <c r="N331" s="34" t="s">
        <v>47</v>
      </c>
      <c r="O331" s="34" t="s">
        <v>48</v>
      </c>
      <c r="P331" s="55"/>
      <c r="Q331" s="7" t="s">
        <v>201</v>
      </c>
      <c r="X331" t="s">
        <v>50</v>
      </c>
      <c r="Y331" t="s">
        <v>50</v>
      </c>
      <c r="Z331" t="s">
        <v>50</v>
      </c>
      <c r="AA331" t="s">
        <v>50</v>
      </c>
      <c r="AB331" t="s">
        <v>81</v>
      </c>
      <c r="AC331" t="s">
        <v>963</v>
      </c>
    </row>
    <row r="332" spans="1:41" ht="14.45">
      <c r="A332" s="34" t="s">
        <v>1108</v>
      </c>
      <c r="B332" s="27" t="s">
        <v>1109</v>
      </c>
      <c r="C332" s="62"/>
      <c r="D332" s="34">
        <v>7170042</v>
      </c>
      <c r="E332" s="34"/>
      <c r="F332" s="34"/>
      <c r="G332" s="31">
        <f t="shared" si="12"/>
        <v>49</v>
      </c>
      <c r="H332" s="31">
        <f t="shared" si="13"/>
        <v>0</v>
      </c>
      <c r="I332" s="34">
        <v>0</v>
      </c>
      <c r="J332" s="34">
        <v>1</v>
      </c>
      <c r="K332" s="40">
        <v>45124</v>
      </c>
      <c r="L332" s="40">
        <v>27182</v>
      </c>
      <c r="M332" s="34" t="s">
        <v>55</v>
      </c>
      <c r="N332" s="34" t="s">
        <v>47</v>
      </c>
      <c r="O332" s="34" t="s">
        <v>48</v>
      </c>
      <c r="P332" s="55"/>
      <c r="Q332" s="7" t="s">
        <v>71</v>
      </c>
      <c r="X332" t="s">
        <v>50</v>
      </c>
      <c r="Y332" t="s">
        <v>50</v>
      </c>
      <c r="Z332" t="s">
        <v>50</v>
      </c>
      <c r="AA332" t="s">
        <v>50</v>
      </c>
      <c r="AB332" t="s">
        <v>963</v>
      </c>
      <c r="AC332" t="s">
        <v>916</v>
      </c>
      <c r="AD332" t="s">
        <v>917</v>
      </c>
      <c r="AE332" t="s">
        <v>1110</v>
      </c>
      <c r="AF332" t="s">
        <v>1111</v>
      </c>
    </row>
    <row r="333" spans="1:41" ht="14.45">
      <c r="A333" s="32" t="s">
        <v>1112</v>
      </c>
      <c r="B333" s="27" t="s">
        <v>1113</v>
      </c>
      <c r="C333" s="62"/>
      <c r="D333" s="32">
        <v>4559425</v>
      </c>
      <c r="E333" s="32"/>
      <c r="F333" s="32"/>
      <c r="G333" s="32">
        <f t="shared" si="12"/>
        <v>35</v>
      </c>
      <c r="H333" s="32">
        <f t="shared" si="13"/>
        <v>1</v>
      </c>
      <c r="I333" s="32">
        <v>0</v>
      </c>
      <c r="J333" s="32">
        <v>1</v>
      </c>
      <c r="K333" s="35">
        <v>45125</v>
      </c>
      <c r="L333" s="35">
        <v>32281</v>
      </c>
      <c r="M333" s="32" t="s">
        <v>106</v>
      </c>
      <c r="N333" s="34" t="s">
        <v>47</v>
      </c>
      <c r="O333" s="32" t="s">
        <v>48</v>
      </c>
      <c r="P333" s="32"/>
      <c r="Q333" s="7" t="s">
        <v>71</v>
      </c>
      <c r="X333" t="s">
        <v>50</v>
      </c>
      <c r="Y333" t="s">
        <v>50</v>
      </c>
      <c r="Z333" t="s">
        <v>50</v>
      </c>
      <c r="AA333" t="s">
        <v>50</v>
      </c>
      <c r="AB333" t="s">
        <v>1114</v>
      </c>
      <c r="AC333" t="s">
        <v>1115</v>
      </c>
      <c r="AD333" t="s">
        <v>1116</v>
      </c>
      <c r="AE333" t="s">
        <v>1117</v>
      </c>
    </row>
    <row r="334" spans="1:41" ht="14.45">
      <c r="A334" s="34" t="s">
        <v>1118</v>
      </c>
      <c r="B334" s="27" t="s">
        <v>1119</v>
      </c>
      <c r="C334" s="62"/>
      <c r="D334" s="34">
        <v>4518621</v>
      </c>
      <c r="E334" s="34"/>
      <c r="F334" s="34">
        <v>37</v>
      </c>
      <c r="G334" s="34">
        <f t="shared" si="12"/>
        <v>42</v>
      </c>
      <c r="H334" s="34">
        <f t="shared" si="13"/>
        <v>0</v>
      </c>
      <c r="I334" s="34">
        <v>0</v>
      </c>
      <c r="J334" s="34">
        <v>1</v>
      </c>
      <c r="K334" s="40">
        <v>45133</v>
      </c>
      <c r="L334" s="40">
        <v>29626</v>
      </c>
      <c r="M334" s="34" t="s">
        <v>55</v>
      </c>
      <c r="N334" s="34" t="s">
        <v>47</v>
      </c>
      <c r="O334" s="34" t="s">
        <v>43</v>
      </c>
      <c r="P334" s="34"/>
      <c r="X334" t="s">
        <v>50</v>
      </c>
      <c r="Y334" t="s">
        <v>50</v>
      </c>
      <c r="Z334" t="s">
        <v>50</v>
      </c>
      <c r="AA334" t="s">
        <v>50</v>
      </c>
      <c r="AB334" t="s">
        <v>1120</v>
      </c>
      <c r="AC334" t="s">
        <v>1121</v>
      </c>
      <c r="AD334" t="s">
        <v>1122</v>
      </c>
      <c r="AE334" t="s">
        <v>1123</v>
      </c>
      <c r="AF334" t="s">
        <v>1124</v>
      </c>
      <c r="AG334" t="s">
        <v>1125</v>
      </c>
      <c r="AH334" t="s">
        <v>1126</v>
      </c>
      <c r="AI334" t="s">
        <v>1127</v>
      </c>
      <c r="AJ334" t="s">
        <v>1128</v>
      </c>
      <c r="AK334" t="s">
        <v>1129</v>
      </c>
    </row>
    <row r="335" spans="1:41" s="32" customFormat="1" ht="14.45">
      <c r="A335" s="34" t="s">
        <v>1130</v>
      </c>
      <c r="B335" s="27" t="s">
        <v>1131</v>
      </c>
      <c r="C335" s="62"/>
      <c r="D335" s="34">
        <v>7172105</v>
      </c>
      <c r="E335" s="34"/>
      <c r="F335" s="34"/>
      <c r="G335" s="34">
        <f t="shared" si="12"/>
        <v>57</v>
      </c>
      <c r="H335" s="34">
        <f t="shared" si="13"/>
        <v>0</v>
      </c>
      <c r="I335" s="34">
        <v>0</v>
      </c>
      <c r="J335" s="34">
        <v>1</v>
      </c>
      <c r="K335" s="40">
        <v>45134</v>
      </c>
      <c r="L335" s="40">
        <v>23976</v>
      </c>
      <c r="M335" s="34" t="s">
        <v>106</v>
      </c>
      <c r="N335" s="34" t="s">
        <v>47</v>
      </c>
      <c r="O335" s="34" t="s">
        <v>48</v>
      </c>
      <c r="P335" s="34"/>
      <c r="Q335" s="7" t="s">
        <v>49</v>
      </c>
      <c r="X335" t="s">
        <v>50</v>
      </c>
      <c r="Y335" t="s">
        <v>50</v>
      </c>
      <c r="Z335" t="s">
        <v>50</v>
      </c>
      <c r="AA335" t="s">
        <v>50</v>
      </c>
      <c r="AB335" t="s">
        <v>1132</v>
      </c>
      <c r="AC335" t="s">
        <v>963</v>
      </c>
      <c r="AD335" t="s">
        <v>81</v>
      </c>
      <c r="AE335"/>
      <c r="AF335"/>
      <c r="AG335"/>
      <c r="AH335"/>
      <c r="AI335"/>
      <c r="AJ335"/>
      <c r="AK335"/>
      <c r="AL335"/>
      <c r="AM335"/>
      <c r="AN335"/>
      <c r="AO335"/>
    </row>
    <row r="336" spans="1:41" ht="14.45">
      <c r="A336" s="34" t="s">
        <v>1133</v>
      </c>
      <c r="B336" s="27" t="s">
        <v>1134</v>
      </c>
      <c r="C336" s="62"/>
      <c r="D336" s="34">
        <v>7176921</v>
      </c>
      <c r="E336" s="34"/>
      <c r="F336" s="34"/>
      <c r="G336" s="34">
        <f t="shared" si="12"/>
        <v>32</v>
      </c>
      <c r="H336" s="34">
        <f t="shared" si="13"/>
        <v>1</v>
      </c>
      <c r="I336" s="34">
        <v>0</v>
      </c>
      <c r="J336" s="34">
        <v>0</v>
      </c>
      <c r="K336" s="40">
        <v>45138</v>
      </c>
      <c r="L336" s="40">
        <v>33413</v>
      </c>
      <c r="M336" s="34" t="s">
        <v>99</v>
      </c>
      <c r="N336" s="34" t="s">
        <v>1135</v>
      </c>
      <c r="O336" s="34" t="s">
        <v>48</v>
      </c>
      <c r="P336" s="34"/>
      <c r="Q336" s="7" t="s">
        <v>201</v>
      </c>
      <c r="X336" t="s">
        <v>50</v>
      </c>
      <c r="Y336" t="s">
        <v>1136</v>
      </c>
      <c r="Z336" t="s">
        <v>50</v>
      </c>
      <c r="AA336" t="s">
        <v>50</v>
      </c>
      <c r="AB336" t="s">
        <v>1137</v>
      </c>
      <c r="AC336" t="s">
        <v>1138</v>
      </c>
    </row>
    <row r="337" spans="1:41" ht="14.45">
      <c r="A337" s="34" t="s">
        <v>1139</v>
      </c>
      <c r="B337" s="27" t="s">
        <v>1140</v>
      </c>
      <c r="C337" s="62"/>
      <c r="D337" s="34">
        <v>7175822</v>
      </c>
      <c r="E337" s="34"/>
      <c r="F337" s="32"/>
      <c r="G337" s="34">
        <f t="shared" si="12"/>
        <v>61</v>
      </c>
      <c r="H337" s="34">
        <f t="shared" si="13"/>
        <v>0</v>
      </c>
      <c r="I337" s="34">
        <v>0</v>
      </c>
      <c r="J337" s="34">
        <v>1</v>
      </c>
      <c r="K337" s="35">
        <v>45155</v>
      </c>
      <c r="L337" s="35">
        <v>22676</v>
      </c>
      <c r="M337" s="34" t="s">
        <v>106</v>
      </c>
      <c r="N337" s="34" t="s">
        <v>70</v>
      </c>
      <c r="O337" s="34" t="s">
        <v>48</v>
      </c>
      <c r="P337" s="32"/>
      <c r="Q337" s="7" t="s">
        <v>50</v>
      </c>
      <c r="X337" t="s">
        <v>50</v>
      </c>
      <c r="Y337" t="s">
        <v>50</v>
      </c>
      <c r="Z337" t="s">
        <v>50</v>
      </c>
      <c r="AA337" t="s">
        <v>50</v>
      </c>
      <c r="AB337" t="s">
        <v>81</v>
      </c>
      <c r="AC337" t="s">
        <v>1141</v>
      </c>
      <c r="AD337" t="s">
        <v>1142</v>
      </c>
      <c r="AE337" t="s">
        <v>1143</v>
      </c>
    </row>
    <row r="338" spans="1:41" ht="14.45">
      <c r="A338" s="34" t="s">
        <v>1144</v>
      </c>
      <c r="B338" s="27" t="s">
        <v>1145</v>
      </c>
      <c r="C338" s="62"/>
      <c r="D338" s="34">
        <v>2502652</v>
      </c>
      <c r="E338" s="34"/>
      <c r="F338" s="34"/>
      <c r="G338" s="34">
        <f t="shared" si="12"/>
        <v>49</v>
      </c>
      <c r="H338" s="34">
        <f t="shared" si="13"/>
        <v>0</v>
      </c>
      <c r="I338" s="34">
        <v>1</v>
      </c>
      <c r="J338" s="34">
        <v>1</v>
      </c>
      <c r="K338" s="40">
        <v>45167</v>
      </c>
      <c r="L338" s="40">
        <v>27138</v>
      </c>
      <c r="M338" s="34" t="s">
        <v>106</v>
      </c>
      <c r="N338" s="34" t="s">
        <v>133</v>
      </c>
      <c r="O338" s="34" t="s">
        <v>48</v>
      </c>
      <c r="P338" s="34"/>
      <c r="Q338" s="7" t="s">
        <v>50</v>
      </c>
      <c r="X338" t="s">
        <v>50</v>
      </c>
      <c r="Y338" t="s">
        <v>1146</v>
      </c>
      <c r="Z338" t="s">
        <v>50</v>
      </c>
      <c r="AA338" t="s">
        <v>50</v>
      </c>
      <c r="AB338" t="s">
        <v>1147</v>
      </c>
    </row>
    <row r="339" spans="1:41" ht="14.45">
      <c r="A339" s="34" t="s">
        <v>1148</v>
      </c>
      <c r="B339" s="27" t="s">
        <v>1149</v>
      </c>
      <c r="C339" s="62"/>
      <c r="D339" s="34">
        <v>7154190</v>
      </c>
      <c r="E339" s="34"/>
      <c r="F339" s="34"/>
      <c r="G339" s="34">
        <f t="shared" si="12"/>
        <v>21</v>
      </c>
      <c r="H339" s="34">
        <f t="shared" si="13"/>
        <v>1</v>
      </c>
      <c r="I339" s="34">
        <v>0</v>
      </c>
      <c r="J339" s="34">
        <v>1</v>
      </c>
      <c r="K339" s="40">
        <v>45176</v>
      </c>
      <c r="L339" s="40">
        <v>37403</v>
      </c>
      <c r="M339" s="34" t="s">
        <v>55</v>
      </c>
      <c r="N339" s="34" t="s">
        <v>91</v>
      </c>
      <c r="O339" s="34" t="s">
        <v>48</v>
      </c>
      <c r="P339" s="32"/>
      <c r="Q339" s="7" t="s">
        <v>71</v>
      </c>
      <c r="X339" t="s">
        <v>50</v>
      </c>
      <c r="Y339" t="s">
        <v>64</v>
      </c>
      <c r="Z339" t="s">
        <v>50</v>
      </c>
      <c r="AA339" t="s">
        <v>50</v>
      </c>
      <c r="AB339" t="s">
        <v>314</v>
      </c>
      <c r="AC339" t="s">
        <v>1150</v>
      </c>
    </row>
    <row r="340" spans="1:41" ht="14.45">
      <c r="A340" s="34" t="s">
        <v>1151</v>
      </c>
      <c r="B340" s="27" t="s">
        <v>1152</v>
      </c>
      <c r="C340" s="62"/>
      <c r="D340" s="34">
        <v>4429140</v>
      </c>
      <c r="E340" s="34"/>
      <c r="F340" s="34"/>
      <c r="G340" s="34">
        <f t="shared" si="12"/>
        <v>57</v>
      </c>
      <c r="H340" s="34">
        <f t="shared" si="13"/>
        <v>0</v>
      </c>
      <c r="I340" s="34">
        <v>0</v>
      </c>
      <c r="J340" s="34">
        <v>1</v>
      </c>
      <c r="K340" s="40">
        <v>45177</v>
      </c>
      <c r="L340" s="40">
        <v>24155</v>
      </c>
      <c r="M340" s="34" t="s">
        <v>106</v>
      </c>
      <c r="N340" s="34" t="s">
        <v>47</v>
      </c>
      <c r="O340" s="34" t="s">
        <v>48</v>
      </c>
      <c r="P340" s="34"/>
      <c r="Q340" s="7" t="s">
        <v>49</v>
      </c>
      <c r="X340" t="s">
        <v>50</v>
      </c>
      <c r="Y340" t="s">
        <v>50</v>
      </c>
      <c r="Z340" t="s">
        <v>50</v>
      </c>
      <c r="AA340" t="s">
        <v>50</v>
      </c>
      <c r="AB340" t="s">
        <v>81</v>
      </c>
      <c r="AC340" t="s">
        <v>1153</v>
      </c>
      <c r="AD340" t="s">
        <v>1154</v>
      </c>
      <c r="AE340" t="s">
        <v>1155</v>
      </c>
    </row>
    <row r="341" spans="1:41" ht="14.45">
      <c r="A341" s="34" t="s">
        <v>1156</v>
      </c>
      <c r="B341" s="27" t="s">
        <v>1157</v>
      </c>
      <c r="C341" s="62"/>
      <c r="D341" s="34">
        <v>4646479</v>
      </c>
      <c r="E341" s="34"/>
      <c r="F341" s="34">
        <v>40</v>
      </c>
      <c r="G341" s="34">
        <f t="shared" si="12"/>
        <v>50</v>
      </c>
      <c r="H341" s="34">
        <f t="shared" si="13"/>
        <v>0</v>
      </c>
      <c r="I341" s="34">
        <v>0</v>
      </c>
      <c r="J341" s="34">
        <v>1</v>
      </c>
      <c r="K341" s="40">
        <v>45198</v>
      </c>
      <c r="L341" s="40">
        <v>26905</v>
      </c>
      <c r="M341" s="34" t="s">
        <v>55</v>
      </c>
      <c r="N341" s="34" t="s">
        <v>155</v>
      </c>
      <c r="O341" s="34" t="s">
        <v>43</v>
      </c>
      <c r="P341" s="34"/>
      <c r="Q341" s="7" t="s">
        <v>71</v>
      </c>
      <c r="R341" s="32"/>
      <c r="S341" s="32"/>
      <c r="T341" s="32"/>
      <c r="U341" s="32"/>
      <c r="V341" s="32"/>
      <c r="W341" s="32"/>
      <c r="X341" t="s">
        <v>1158</v>
      </c>
      <c r="Y341" t="s">
        <v>50</v>
      </c>
      <c r="Z341" t="s">
        <v>50</v>
      </c>
      <c r="AA341" t="s">
        <v>50</v>
      </c>
      <c r="AB341" t="s">
        <v>1159</v>
      </c>
    </row>
    <row r="342" spans="1:41" ht="14.45">
      <c r="A342" s="34" t="s">
        <v>1160</v>
      </c>
      <c r="B342" s="27" t="s">
        <v>1161</v>
      </c>
      <c r="C342" s="62"/>
      <c r="D342" s="34">
        <v>4452993</v>
      </c>
      <c r="E342" s="34"/>
      <c r="F342" s="34">
        <v>50</v>
      </c>
      <c r="G342" s="34">
        <f t="shared" si="12"/>
        <v>56</v>
      </c>
      <c r="H342" s="34">
        <f t="shared" si="13"/>
        <v>0</v>
      </c>
      <c r="I342" s="34">
        <v>0</v>
      </c>
      <c r="J342" s="34">
        <v>1</v>
      </c>
      <c r="K342" s="40">
        <v>45210</v>
      </c>
      <c r="L342" s="40">
        <v>24533</v>
      </c>
      <c r="M342" s="34" t="s">
        <v>55</v>
      </c>
      <c r="N342" s="34" t="s">
        <v>47</v>
      </c>
      <c r="O342" s="34" t="s">
        <v>43</v>
      </c>
      <c r="P342" s="34"/>
      <c r="Q342" s="7" t="s">
        <v>50</v>
      </c>
      <c r="X342" t="s">
        <v>50</v>
      </c>
      <c r="Y342" t="s">
        <v>50</v>
      </c>
      <c r="Z342" t="s">
        <v>50</v>
      </c>
      <c r="AA342" t="s">
        <v>50</v>
      </c>
      <c r="AB342" t="s">
        <v>81</v>
      </c>
      <c r="AC342" t="s">
        <v>1162</v>
      </c>
    </row>
    <row r="343" spans="1:41" ht="14.45">
      <c r="A343" s="34" t="s">
        <v>1163</v>
      </c>
      <c r="B343" s="27" t="s">
        <v>1164</v>
      </c>
      <c r="C343" s="62"/>
      <c r="D343" s="34">
        <v>7203923</v>
      </c>
      <c r="E343" s="34"/>
      <c r="F343" s="34"/>
      <c r="G343" s="34">
        <f t="shared" si="12"/>
        <v>71</v>
      </c>
      <c r="H343" s="34">
        <f t="shared" si="13"/>
        <v>0</v>
      </c>
      <c r="I343" s="34">
        <v>0</v>
      </c>
      <c r="J343" s="34">
        <v>1</v>
      </c>
      <c r="K343" s="40">
        <v>45211</v>
      </c>
      <c r="L343" s="40">
        <v>19138</v>
      </c>
      <c r="M343" s="34" t="s">
        <v>106</v>
      </c>
      <c r="N343" s="34" t="s">
        <v>47</v>
      </c>
      <c r="O343" s="34" t="s">
        <v>48</v>
      </c>
      <c r="P343" s="34"/>
      <c r="Q343" s="7" t="s">
        <v>71</v>
      </c>
      <c r="X343" t="s">
        <v>50</v>
      </c>
      <c r="Y343" t="s">
        <v>50</v>
      </c>
      <c r="Z343" t="s">
        <v>50</v>
      </c>
      <c r="AA343" t="s">
        <v>50</v>
      </c>
      <c r="AB343" t="s">
        <v>1165</v>
      </c>
      <c r="AC343" t="s">
        <v>1053</v>
      </c>
    </row>
    <row r="344" spans="1:41" ht="14.45">
      <c r="A344" s="32" t="s">
        <v>1166</v>
      </c>
      <c r="B344" s="27" t="s">
        <v>1167</v>
      </c>
      <c r="C344" s="62"/>
      <c r="D344" s="32">
        <v>4957274</v>
      </c>
      <c r="E344" s="32"/>
      <c r="F344" s="5" t="s">
        <v>1168</v>
      </c>
      <c r="G344" s="34">
        <f t="shared" si="12"/>
        <v>19</v>
      </c>
      <c r="H344" s="34">
        <f t="shared" si="13"/>
        <v>1</v>
      </c>
      <c r="I344" s="32">
        <v>0</v>
      </c>
      <c r="J344" s="32">
        <v>0</v>
      </c>
      <c r="K344" s="40">
        <v>45217</v>
      </c>
      <c r="L344" s="35">
        <v>37925</v>
      </c>
      <c r="M344" s="34" t="s">
        <v>99</v>
      </c>
      <c r="N344" s="32" t="s">
        <v>180</v>
      </c>
      <c r="O344" s="32" t="s">
        <v>43</v>
      </c>
      <c r="P344" s="34"/>
      <c r="Q344" s="7" t="s">
        <v>50</v>
      </c>
      <c r="X344" t="s">
        <v>50</v>
      </c>
      <c r="Y344" t="s">
        <v>64</v>
      </c>
      <c r="Z344" t="s">
        <v>50</v>
      </c>
      <c r="AA344" t="s">
        <v>50</v>
      </c>
      <c r="AB344" t="s">
        <v>1169</v>
      </c>
    </row>
    <row r="345" spans="1:41" s="32" customFormat="1" ht="14.45">
      <c r="A345" s="32" t="s">
        <v>1170</v>
      </c>
      <c r="B345" s="27" t="s">
        <v>1171</v>
      </c>
      <c r="C345" s="62"/>
      <c r="D345" s="32">
        <v>4949074</v>
      </c>
      <c r="G345" s="34">
        <f t="shared" si="12"/>
        <v>29</v>
      </c>
      <c r="H345" s="34">
        <f t="shared" si="13"/>
        <v>1</v>
      </c>
      <c r="I345" s="32">
        <v>1</v>
      </c>
      <c r="J345" s="32">
        <v>1</v>
      </c>
      <c r="K345" s="35">
        <v>45218</v>
      </c>
      <c r="L345" s="35">
        <v>34291</v>
      </c>
      <c r="M345" s="32" t="s">
        <v>106</v>
      </c>
      <c r="N345" s="32" t="s">
        <v>197</v>
      </c>
      <c r="O345" s="32" t="s">
        <v>48</v>
      </c>
      <c r="Q345" s="7" t="s">
        <v>50</v>
      </c>
      <c r="R345"/>
      <c r="S345"/>
      <c r="T345"/>
      <c r="U345"/>
      <c r="V345"/>
      <c r="W345"/>
      <c r="X345" t="s">
        <v>50</v>
      </c>
      <c r="Y345" t="s">
        <v>50</v>
      </c>
      <c r="Z345" t="s">
        <v>50</v>
      </c>
      <c r="AA345" t="s">
        <v>50</v>
      </c>
      <c r="AB345" t="s">
        <v>1172</v>
      </c>
      <c r="AC345" t="s">
        <v>1173</v>
      </c>
      <c r="AD345"/>
      <c r="AE345"/>
      <c r="AF345"/>
      <c r="AG345"/>
      <c r="AH345"/>
      <c r="AI345"/>
      <c r="AJ345"/>
      <c r="AK345"/>
      <c r="AL345"/>
      <c r="AM345"/>
      <c r="AN345"/>
      <c r="AO345"/>
    </row>
    <row r="346" spans="1:41" ht="14.45">
      <c r="A346" s="32" t="s">
        <v>1174</v>
      </c>
      <c r="B346" s="27" t="s">
        <v>1175</v>
      </c>
      <c r="C346" s="62"/>
      <c r="D346" s="32">
        <v>7203313</v>
      </c>
      <c r="E346" s="32"/>
      <c r="F346" s="32"/>
      <c r="G346" s="34">
        <f t="shared" si="12"/>
        <v>52</v>
      </c>
      <c r="H346" s="34">
        <f t="shared" si="13"/>
        <v>0</v>
      </c>
      <c r="I346" s="32">
        <v>0</v>
      </c>
      <c r="J346" s="32">
        <v>1</v>
      </c>
      <c r="K346" s="35">
        <v>45218</v>
      </c>
      <c r="L346" s="35">
        <v>25862</v>
      </c>
      <c r="M346" s="32" t="s">
        <v>164</v>
      </c>
      <c r="N346" s="32" t="s">
        <v>47</v>
      </c>
      <c r="O346" s="32" t="s">
        <v>48</v>
      </c>
      <c r="P346" s="32"/>
      <c r="Q346" s="7" t="s">
        <v>71</v>
      </c>
      <c r="X346" t="s">
        <v>50</v>
      </c>
      <c r="Y346" t="s">
        <v>50</v>
      </c>
      <c r="Z346" t="s">
        <v>50</v>
      </c>
      <c r="AA346" t="s">
        <v>50</v>
      </c>
      <c r="AB346" t="s">
        <v>1176</v>
      </c>
      <c r="AC346" t="s">
        <v>1177</v>
      </c>
      <c r="AD346" t="s">
        <v>1178</v>
      </c>
    </row>
    <row r="347" spans="1:41" ht="14.45">
      <c r="A347" s="32" t="s">
        <v>1179</v>
      </c>
      <c r="B347" s="27" t="s">
        <v>1180</v>
      </c>
      <c r="C347" s="62"/>
      <c r="D347" s="32">
        <v>7210273</v>
      </c>
      <c r="E347" s="32"/>
      <c r="F347" s="32"/>
      <c r="G347" s="34">
        <f t="shared" si="12"/>
        <v>52</v>
      </c>
      <c r="H347" s="34">
        <f t="shared" si="13"/>
        <v>0</v>
      </c>
      <c r="I347" s="32">
        <v>0</v>
      </c>
      <c r="J347" s="32">
        <v>1</v>
      </c>
      <c r="K347" s="35">
        <v>45223</v>
      </c>
      <c r="L347" s="35">
        <v>25897</v>
      </c>
      <c r="M347" s="32" t="s">
        <v>55</v>
      </c>
      <c r="N347" s="32" t="s">
        <v>47</v>
      </c>
      <c r="O347" s="32" t="s">
        <v>48</v>
      </c>
      <c r="P347" s="32"/>
      <c r="Q347" s="7" t="s">
        <v>49</v>
      </c>
      <c r="X347" t="s">
        <v>50</v>
      </c>
      <c r="Y347" t="s">
        <v>50</v>
      </c>
      <c r="Z347" t="s">
        <v>50</v>
      </c>
      <c r="AA347" t="s">
        <v>50</v>
      </c>
      <c r="AB347" t="s">
        <v>963</v>
      </c>
      <c r="AC347" t="s">
        <v>1000</v>
      </c>
      <c r="AD347" t="s">
        <v>1001</v>
      </c>
      <c r="AE347" t="s">
        <v>1181</v>
      </c>
      <c r="AF347" t="s">
        <v>81</v>
      </c>
      <c r="AG347" t="s">
        <v>1182</v>
      </c>
      <c r="AH347" t="s">
        <v>1060</v>
      </c>
      <c r="AI347" t="s">
        <v>1183</v>
      </c>
    </row>
    <row r="348" spans="1:41" ht="14.45">
      <c r="A348" s="34" t="s">
        <v>1184</v>
      </c>
      <c r="B348" s="27" t="s">
        <v>1185</v>
      </c>
      <c r="C348" s="62"/>
      <c r="D348" s="34">
        <v>7212064</v>
      </c>
      <c r="E348" s="34"/>
      <c r="F348" s="34">
        <v>33</v>
      </c>
      <c r="G348" s="34">
        <f t="shared" si="12"/>
        <v>34</v>
      </c>
      <c r="H348" s="34">
        <f t="shared" si="13"/>
        <v>1</v>
      </c>
      <c r="I348" s="34">
        <v>0</v>
      </c>
      <c r="J348" s="34">
        <v>1</v>
      </c>
      <c r="K348" s="40">
        <v>45245</v>
      </c>
      <c r="L348" s="40">
        <v>32763</v>
      </c>
      <c r="M348" s="34" t="s">
        <v>55</v>
      </c>
      <c r="N348" s="34" t="s">
        <v>47</v>
      </c>
      <c r="O348" s="34" t="s">
        <v>43</v>
      </c>
      <c r="P348" s="34"/>
      <c r="Q348" s="7" t="s">
        <v>71</v>
      </c>
      <c r="X348" t="s">
        <v>50</v>
      </c>
      <c r="Y348" t="s">
        <v>50</v>
      </c>
      <c r="Z348" t="s">
        <v>50</v>
      </c>
      <c r="AA348" t="s">
        <v>50</v>
      </c>
      <c r="AB348" t="s">
        <v>1053</v>
      </c>
      <c r="AC348" t="s">
        <v>917</v>
      </c>
      <c r="AD348" t="s">
        <v>314</v>
      </c>
      <c r="AE348" t="s">
        <v>1186</v>
      </c>
      <c r="AF348" t="s">
        <v>1187</v>
      </c>
      <c r="AG348" t="s">
        <v>1188</v>
      </c>
    </row>
    <row r="349" spans="1:41" ht="14.45">
      <c r="A349" s="34" t="s">
        <v>1189</v>
      </c>
      <c r="B349" s="27" t="s">
        <v>1190</v>
      </c>
      <c r="C349" s="62"/>
      <c r="D349" s="34">
        <v>2521920</v>
      </c>
      <c r="E349" s="34"/>
      <c r="F349" s="34"/>
      <c r="G349" s="34">
        <f t="shared" si="12"/>
        <v>62</v>
      </c>
      <c r="H349" s="34">
        <f t="shared" si="13"/>
        <v>0</v>
      </c>
      <c r="I349" s="34">
        <v>0</v>
      </c>
      <c r="J349" s="34">
        <v>1</v>
      </c>
      <c r="K349" s="40">
        <v>45252</v>
      </c>
      <c r="L349" s="40">
        <v>22460</v>
      </c>
      <c r="M349" s="34" t="s">
        <v>106</v>
      </c>
      <c r="N349" s="34" t="s">
        <v>70</v>
      </c>
      <c r="O349" s="34" t="s">
        <v>48</v>
      </c>
      <c r="P349" s="55"/>
      <c r="Q349" s="7" t="s">
        <v>49</v>
      </c>
      <c r="X349" t="s">
        <v>50</v>
      </c>
      <c r="Y349" t="s">
        <v>50</v>
      </c>
      <c r="Z349" t="s">
        <v>1191</v>
      </c>
      <c r="AA349" t="s">
        <v>1192</v>
      </c>
      <c r="AB349" t="s">
        <v>81</v>
      </c>
      <c r="AC349" t="s">
        <v>1193</v>
      </c>
      <c r="AD349" t="s">
        <v>1194</v>
      </c>
    </row>
    <row r="350" spans="1:41" ht="14.45">
      <c r="A350" s="34" t="s">
        <v>1195</v>
      </c>
      <c r="B350" s="27" t="s">
        <v>1196</v>
      </c>
      <c r="C350" s="62"/>
      <c r="D350" s="34">
        <v>4127178</v>
      </c>
      <c r="E350" s="34"/>
      <c r="F350" s="34">
        <v>24</v>
      </c>
      <c r="G350" s="34">
        <f t="shared" si="12"/>
        <v>34</v>
      </c>
      <c r="H350" s="34">
        <f t="shared" si="13"/>
        <v>1</v>
      </c>
      <c r="I350" s="34">
        <v>0</v>
      </c>
      <c r="J350" s="34">
        <v>0</v>
      </c>
      <c r="K350" s="40">
        <v>45265</v>
      </c>
      <c r="L350" s="40">
        <v>32717</v>
      </c>
      <c r="M350" s="34" t="s">
        <v>99</v>
      </c>
      <c r="N350" s="34" t="s">
        <v>1135</v>
      </c>
      <c r="O350" s="34" t="s">
        <v>43</v>
      </c>
      <c r="P350" s="34"/>
      <c r="Q350" s="7" t="s">
        <v>50</v>
      </c>
      <c r="R350" s="32"/>
      <c r="S350" s="32"/>
      <c r="T350" s="32"/>
      <c r="U350" s="32"/>
      <c r="V350" s="32"/>
      <c r="W350" s="32"/>
      <c r="X350" t="s">
        <v>50</v>
      </c>
      <c r="Y350" t="s">
        <v>64</v>
      </c>
      <c r="Z350" t="s">
        <v>50</v>
      </c>
      <c r="AA350" t="s">
        <v>50</v>
      </c>
      <c r="AB350" t="s">
        <v>1197</v>
      </c>
      <c r="AC350" t="s">
        <v>1069</v>
      </c>
    </row>
    <row r="351" spans="1:41" ht="14.45">
      <c r="A351" s="34" t="s">
        <v>1198</v>
      </c>
      <c r="B351" s="27" t="s">
        <v>1199</v>
      </c>
      <c r="C351" s="62"/>
      <c r="D351" s="34">
        <v>7231108</v>
      </c>
      <c r="E351" s="34"/>
      <c r="F351" s="34"/>
      <c r="G351" s="34">
        <f t="shared" si="12"/>
        <v>35</v>
      </c>
      <c r="H351" s="34">
        <f t="shared" si="13"/>
        <v>1</v>
      </c>
      <c r="I351" s="34">
        <v>0</v>
      </c>
      <c r="J351" s="34">
        <v>0</v>
      </c>
      <c r="K351" s="40">
        <v>45268</v>
      </c>
      <c r="L351" s="40">
        <v>32261</v>
      </c>
      <c r="M351" s="34" t="s">
        <v>55</v>
      </c>
      <c r="N351" s="34" t="s">
        <v>42</v>
      </c>
      <c r="O351" s="34" t="s">
        <v>48</v>
      </c>
      <c r="P351" s="34"/>
      <c r="Q351" s="7" t="s">
        <v>49</v>
      </c>
      <c r="X351" t="s">
        <v>50</v>
      </c>
      <c r="Y351" t="s">
        <v>50</v>
      </c>
      <c r="Z351" t="s">
        <v>50</v>
      </c>
      <c r="AA351" t="s">
        <v>50</v>
      </c>
      <c r="AB351" t="s">
        <v>1200</v>
      </c>
    </row>
    <row r="352" spans="1:41" ht="14.45">
      <c r="A352" s="34" t="s">
        <v>1201</v>
      </c>
      <c r="B352" s="27" t="s">
        <v>1202</v>
      </c>
      <c r="C352" s="62"/>
      <c r="D352" s="34">
        <v>7235770</v>
      </c>
      <c r="E352" s="34"/>
      <c r="F352" s="34"/>
      <c r="G352" s="34">
        <f t="shared" si="12"/>
        <v>58</v>
      </c>
      <c r="H352" s="34">
        <f t="shared" si="13"/>
        <v>0</v>
      </c>
      <c r="I352" s="34">
        <v>0</v>
      </c>
      <c r="J352" s="34">
        <v>1</v>
      </c>
      <c r="K352" s="40">
        <v>45279</v>
      </c>
      <c r="L352" s="40">
        <v>24072</v>
      </c>
      <c r="M352" s="34" t="s">
        <v>55</v>
      </c>
      <c r="N352" s="34" t="s">
        <v>47</v>
      </c>
      <c r="O352" s="34" t="s">
        <v>48</v>
      </c>
      <c r="P352" s="34"/>
      <c r="Q352" s="7" t="s">
        <v>71</v>
      </c>
      <c r="R352" s="32"/>
      <c r="S352" s="32"/>
      <c r="T352" s="32"/>
      <c r="U352" s="32"/>
      <c r="V352" s="32"/>
      <c r="W352" s="32"/>
      <c r="X352" t="s">
        <v>50</v>
      </c>
      <c r="Y352" t="s">
        <v>50</v>
      </c>
      <c r="Z352" t="s">
        <v>1203</v>
      </c>
      <c r="AA352" t="s">
        <v>1192</v>
      </c>
      <c r="AB352" t="s">
        <v>963</v>
      </c>
      <c r="AD352" t="s">
        <v>1204</v>
      </c>
    </row>
    <row r="353" spans="1:41" s="32" customFormat="1" ht="14.45">
      <c r="A353" s="34" t="s">
        <v>1205</v>
      </c>
      <c r="B353" s="27" t="s">
        <v>1206</v>
      </c>
      <c r="C353" s="62"/>
      <c r="D353" s="34">
        <v>7231643</v>
      </c>
      <c r="E353" s="34"/>
      <c r="F353" s="34"/>
      <c r="G353" s="34">
        <f t="shared" si="12"/>
        <v>43</v>
      </c>
      <c r="H353" s="34">
        <f t="shared" si="13"/>
        <v>0</v>
      </c>
      <c r="I353" s="34">
        <v>0</v>
      </c>
      <c r="J353" s="34">
        <v>1</v>
      </c>
      <c r="K353" s="35">
        <v>45280</v>
      </c>
      <c r="L353" s="35">
        <v>29385</v>
      </c>
      <c r="M353" s="32" t="s">
        <v>55</v>
      </c>
      <c r="N353" s="34" t="s">
        <v>47</v>
      </c>
      <c r="O353" s="34" t="s">
        <v>48</v>
      </c>
      <c r="P353" s="34"/>
      <c r="Q353" s="7" t="s">
        <v>71</v>
      </c>
      <c r="X353" t="s">
        <v>50</v>
      </c>
      <c r="Y353" t="s">
        <v>50</v>
      </c>
      <c r="Z353" t="s">
        <v>50</v>
      </c>
      <c r="AA353" t="s">
        <v>50</v>
      </c>
      <c r="AB353" t="s">
        <v>314</v>
      </c>
      <c r="AC353" t="s">
        <v>1207</v>
      </c>
      <c r="AD353" t="s">
        <v>1208</v>
      </c>
      <c r="AE353" t="s">
        <v>1209</v>
      </c>
      <c r="AF353"/>
      <c r="AG353"/>
      <c r="AH353"/>
      <c r="AI353"/>
      <c r="AJ353"/>
      <c r="AK353"/>
      <c r="AL353"/>
      <c r="AM353"/>
      <c r="AN353"/>
      <c r="AO353"/>
    </row>
    <row r="354" spans="1:41" ht="14.1">
      <c r="A354" s="34" t="s">
        <v>1210</v>
      </c>
      <c r="B354" t="s">
        <v>1211</v>
      </c>
      <c r="C354" s="61"/>
      <c r="D354" s="34">
        <v>7212381</v>
      </c>
      <c r="E354" s="34" t="s">
        <v>753</v>
      </c>
      <c r="F354" s="34"/>
      <c r="G354" s="34">
        <f t="shared" si="12"/>
        <v>77</v>
      </c>
      <c r="H354" s="34">
        <f t="shared" si="13"/>
        <v>0</v>
      </c>
      <c r="I354" s="34">
        <v>0</v>
      </c>
      <c r="J354" s="34">
        <v>1</v>
      </c>
      <c r="K354" s="40">
        <v>45295</v>
      </c>
      <c r="L354" s="40">
        <v>17117</v>
      </c>
      <c r="M354" s="34" t="s">
        <v>106</v>
      </c>
      <c r="N354" s="34" t="s">
        <v>47</v>
      </c>
      <c r="O354" s="34" t="s">
        <v>48</v>
      </c>
      <c r="P354" s="34"/>
      <c r="Q354" s="7" t="s">
        <v>71</v>
      </c>
      <c r="X354" t="s">
        <v>50</v>
      </c>
      <c r="Y354" t="s">
        <v>1212</v>
      </c>
      <c r="Z354" t="s">
        <v>50</v>
      </c>
      <c r="AA354" t="s">
        <v>50</v>
      </c>
      <c r="AB354" t="s">
        <v>1213</v>
      </c>
      <c r="AC354" t="s">
        <v>1147</v>
      </c>
    </row>
    <row r="355" spans="1:41" ht="14.1">
      <c r="A355" s="34" t="s">
        <v>1214</v>
      </c>
      <c r="B355" t="s">
        <v>1215</v>
      </c>
      <c r="C355" s="61"/>
      <c r="D355" s="34">
        <v>7239504</v>
      </c>
      <c r="E355" s="34" t="s">
        <v>799</v>
      </c>
      <c r="F355" s="34"/>
      <c r="G355" s="34">
        <f t="shared" si="12"/>
        <v>49</v>
      </c>
      <c r="H355" s="34">
        <f t="shared" si="13"/>
        <v>0</v>
      </c>
      <c r="I355" s="34">
        <v>0</v>
      </c>
      <c r="J355" s="34">
        <v>1</v>
      </c>
      <c r="K355" s="40">
        <v>45295</v>
      </c>
      <c r="L355" s="40">
        <v>27181</v>
      </c>
      <c r="M355" s="34" t="s">
        <v>106</v>
      </c>
      <c r="N355" s="34" t="s">
        <v>47</v>
      </c>
      <c r="O355" s="34" t="s">
        <v>48</v>
      </c>
      <c r="P355" s="34"/>
      <c r="Q355" s="7" t="s">
        <v>71</v>
      </c>
      <c r="AB355" t="s">
        <v>1216</v>
      </c>
      <c r="AC355" t="s">
        <v>1217</v>
      </c>
      <c r="AD355" t="s">
        <v>1218</v>
      </c>
      <c r="AE355" t="s">
        <v>1219</v>
      </c>
    </row>
    <row r="356" spans="1:41" s="32" customFormat="1" ht="14.1">
      <c r="A356" s="34" t="s">
        <v>1220</v>
      </c>
      <c r="B356" t="s">
        <v>1221</v>
      </c>
      <c r="C356" s="61"/>
      <c r="D356" s="34">
        <v>7201917</v>
      </c>
      <c r="E356" s="34" t="s">
        <v>753</v>
      </c>
      <c r="F356" s="34"/>
      <c r="G356" s="34">
        <f t="shared" si="12"/>
        <v>24</v>
      </c>
      <c r="H356" s="34">
        <f t="shared" si="13"/>
        <v>1</v>
      </c>
      <c r="I356" s="34">
        <v>0</v>
      </c>
      <c r="J356" s="34">
        <v>1</v>
      </c>
      <c r="K356" s="40">
        <v>45308</v>
      </c>
      <c r="L356" s="40">
        <v>36481</v>
      </c>
      <c r="M356" s="34" t="s">
        <v>55</v>
      </c>
      <c r="N356" s="34" t="s">
        <v>100</v>
      </c>
      <c r="O356" s="34" t="s">
        <v>48</v>
      </c>
      <c r="P356" s="34"/>
      <c r="Q356" s="7" t="s">
        <v>50</v>
      </c>
      <c r="X356" t="s">
        <v>50</v>
      </c>
      <c r="Y356" t="s">
        <v>1222</v>
      </c>
      <c r="Z356" t="s">
        <v>50</v>
      </c>
      <c r="AA356" t="s">
        <v>50</v>
      </c>
      <c r="AB356" t="s">
        <v>1223</v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</row>
    <row r="357" spans="1:41" s="32" customFormat="1" ht="14.1">
      <c r="A357" s="34" t="s">
        <v>1224</v>
      </c>
      <c r="B357" t="s">
        <v>1225</v>
      </c>
      <c r="C357" s="61"/>
      <c r="D357" s="34">
        <v>7132964</v>
      </c>
      <c r="E357" s="34" t="s">
        <v>753</v>
      </c>
      <c r="F357" s="34"/>
      <c r="G357" s="34">
        <f t="shared" ref="G357:G380" si="14">DATEDIF(L357,K357,"Y")</f>
        <v>79</v>
      </c>
      <c r="H357" s="34">
        <f t="shared" ref="H357:H380" si="15">IF(G357&lt;=39,1,0)</f>
        <v>0</v>
      </c>
      <c r="I357" s="34">
        <v>0</v>
      </c>
      <c r="J357" s="34">
        <v>0</v>
      </c>
      <c r="K357" s="40">
        <v>45314</v>
      </c>
      <c r="L357" s="40">
        <v>16402</v>
      </c>
      <c r="M357" s="34" t="s">
        <v>474</v>
      </c>
      <c r="N357" s="34" t="s">
        <v>452</v>
      </c>
      <c r="O357" s="34" t="s">
        <v>48</v>
      </c>
      <c r="P357" s="34"/>
      <c r="Q357" s="7"/>
      <c r="X357" t="s">
        <v>50</v>
      </c>
      <c r="Y357" t="s">
        <v>50</v>
      </c>
      <c r="Z357" t="s">
        <v>50</v>
      </c>
      <c r="AA357" t="s">
        <v>50</v>
      </c>
      <c r="AB357" t="s">
        <v>81</v>
      </c>
      <c r="AC357"/>
      <c r="AD357"/>
      <c r="AE357"/>
      <c r="AF357"/>
      <c r="AG357"/>
      <c r="AH357"/>
      <c r="AI357"/>
      <c r="AJ357"/>
      <c r="AK357"/>
      <c r="AL357"/>
      <c r="AM357"/>
      <c r="AN357"/>
      <c r="AO357"/>
    </row>
    <row r="358" spans="1:41" ht="14.1">
      <c r="A358" s="34" t="s">
        <v>1226</v>
      </c>
      <c r="B358" t="s">
        <v>1227</v>
      </c>
      <c r="C358" s="61"/>
      <c r="D358" s="34">
        <v>7227399</v>
      </c>
      <c r="E358" s="34" t="s">
        <v>753</v>
      </c>
      <c r="F358" s="34"/>
      <c r="G358" s="34">
        <f t="shared" si="14"/>
        <v>79</v>
      </c>
      <c r="H358" s="34">
        <f t="shared" si="15"/>
        <v>0</v>
      </c>
      <c r="I358" s="34">
        <v>0</v>
      </c>
      <c r="J358" s="34">
        <v>1</v>
      </c>
      <c r="K358" s="40">
        <v>45315</v>
      </c>
      <c r="L358" s="40">
        <v>16255</v>
      </c>
      <c r="M358" s="34" t="s">
        <v>46</v>
      </c>
      <c r="N358" s="34" t="s">
        <v>47</v>
      </c>
      <c r="O358" s="34" t="s">
        <v>48</v>
      </c>
      <c r="P358" s="34"/>
      <c r="Q358" s="7" t="s">
        <v>71</v>
      </c>
      <c r="R358" s="32"/>
      <c r="S358" s="32"/>
      <c r="T358" s="32"/>
      <c r="U358" s="32"/>
      <c r="V358" s="32"/>
      <c r="W358" s="32"/>
      <c r="X358" t="s">
        <v>50</v>
      </c>
      <c r="Y358" t="s">
        <v>50</v>
      </c>
      <c r="Z358" t="s">
        <v>50</v>
      </c>
      <c r="AA358" t="s">
        <v>50</v>
      </c>
      <c r="AB358" t="s">
        <v>1228</v>
      </c>
      <c r="AC358" t="s">
        <v>81</v>
      </c>
      <c r="AD358" t="s">
        <v>1229</v>
      </c>
      <c r="AE358" t="s">
        <v>1230</v>
      </c>
      <c r="AF358" t="s">
        <v>1231</v>
      </c>
    </row>
    <row r="359" spans="1:41" ht="14.1">
      <c r="A359" s="34" t="s">
        <v>1232</v>
      </c>
      <c r="B359" t="s">
        <v>1233</v>
      </c>
      <c r="C359" s="61"/>
      <c r="D359" s="34">
        <v>7253033</v>
      </c>
      <c r="E359" s="34" t="s">
        <v>799</v>
      </c>
      <c r="F359" s="34"/>
      <c r="G359" s="34">
        <f t="shared" si="14"/>
        <v>28</v>
      </c>
      <c r="H359" s="34">
        <f t="shared" si="15"/>
        <v>1</v>
      </c>
      <c r="I359" s="34">
        <v>0</v>
      </c>
      <c r="J359" s="34">
        <v>1</v>
      </c>
      <c r="K359" s="40">
        <v>45330</v>
      </c>
      <c r="L359" s="40">
        <v>34896</v>
      </c>
      <c r="M359" s="34" t="s">
        <v>55</v>
      </c>
      <c r="N359" s="34" t="s">
        <v>155</v>
      </c>
      <c r="O359" s="34" t="s">
        <v>48</v>
      </c>
      <c r="P359" s="34"/>
      <c r="Q359" s="7" t="s">
        <v>49</v>
      </c>
      <c r="R359" s="32"/>
      <c r="S359" s="32"/>
      <c r="T359" s="32"/>
      <c r="U359" s="32"/>
      <c r="V359" s="32"/>
      <c r="W359" s="32"/>
      <c r="X359" t="s">
        <v>1234</v>
      </c>
      <c r="Y359" t="s">
        <v>50</v>
      </c>
      <c r="Z359" t="s">
        <v>50</v>
      </c>
      <c r="AA359" t="s">
        <v>50</v>
      </c>
      <c r="AB359" t="s">
        <v>81</v>
      </c>
      <c r="AC359" t="s">
        <v>314</v>
      </c>
      <c r="AD359" t="s">
        <v>1235</v>
      </c>
    </row>
    <row r="360" spans="1:41" ht="14.1">
      <c r="A360" s="34" t="s">
        <v>1236</v>
      </c>
      <c r="B360" t="s">
        <v>1237</v>
      </c>
      <c r="C360" s="61"/>
      <c r="D360" s="34">
        <v>2049741</v>
      </c>
      <c r="E360" s="34" t="s">
        <v>753</v>
      </c>
      <c r="F360" s="34"/>
      <c r="G360" s="34">
        <f t="shared" si="14"/>
        <v>54</v>
      </c>
      <c r="H360" s="34">
        <f t="shared" si="15"/>
        <v>0</v>
      </c>
      <c r="I360" s="34">
        <v>0</v>
      </c>
      <c r="J360" s="34">
        <v>1</v>
      </c>
      <c r="K360" s="40">
        <v>45333</v>
      </c>
      <c r="L360" s="40">
        <v>25315</v>
      </c>
      <c r="M360" s="34" t="s">
        <v>55</v>
      </c>
      <c r="N360" s="34" t="s">
        <v>47</v>
      </c>
      <c r="O360" s="34" t="s">
        <v>48</v>
      </c>
      <c r="P360" s="34"/>
      <c r="Q360" s="7" t="s">
        <v>49</v>
      </c>
      <c r="X360" t="s">
        <v>50</v>
      </c>
      <c r="Y360" t="s">
        <v>50</v>
      </c>
      <c r="Z360" t="s">
        <v>50</v>
      </c>
      <c r="AA360" t="s">
        <v>50</v>
      </c>
      <c r="AB360" t="s">
        <v>81</v>
      </c>
      <c r="AC360" t="s">
        <v>1238</v>
      </c>
    </row>
    <row r="361" spans="1:41" ht="14.1">
      <c r="A361" s="34" t="s">
        <v>1239</v>
      </c>
      <c r="B361" t="s">
        <v>1240</v>
      </c>
      <c r="C361" s="61"/>
      <c r="D361" s="34">
        <v>4468539</v>
      </c>
      <c r="E361" s="34" t="s">
        <v>753</v>
      </c>
      <c r="F361" s="32"/>
      <c r="G361" s="34">
        <f t="shared" si="14"/>
        <v>34</v>
      </c>
      <c r="H361" s="34">
        <f t="shared" si="15"/>
        <v>1</v>
      </c>
      <c r="I361" s="34">
        <v>0</v>
      </c>
      <c r="J361" s="34">
        <v>0</v>
      </c>
      <c r="K361" s="35">
        <v>45334</v>
      </c>
      <c r="L361" s="35">
        <v>32873</v>
      </c>
      <c r="M361" s="34" t="s">
        <v>99</v>
      </c>
      <c r="N361" s="34" t="s">
        <v>180</v>
      </c>
      <c r="O361" s="34" t="s">
        <v>48</v>
      </c>
      <c r="P361" s="32"/>
      <c r="Q361" s="7" t="s">
        <v>50</v>
      </c>
      <c r="R361" s="32"/>
      <c r="S361" s="32"/>
      <c r="T361" s="32"/>
      <c r="U361" s="32"/>
      <c r="V361" s="32"/>
      <c r="W361" s="32"/>
      <c r="X361" t="s">
        <v>50</v>
      </c>
      <c r="Y361" t="s">
        <v>50</v>
      </c>
      <c r="Z361" t="s">
        <v>50</v>
      </c>
      <c r="AA361" t="s">
        <v>50</v>
      </c>
      <c r="AB361" t="s">
        <v>1007</v>
      </c>
      <c r="AC361" t="s">
        <v>1069</v>
      </c>
    </row>
    <row r="362" spans="1:41" ht="14.1">
      <c r="A362" s="34" t="s">
        <v>1241</v>
      </c>
      <c r="B362" t="s">
        <v>1242</v>
      </c>
      <c r="C362" s="61"/>
      <c r="D362" s="34">
        <v>7172644</v>
      </c>
      <c r="E362" s="34" t="s">
        <v>799</v>
      </c>
      <c r="F362" s="32"/>
      <c r="G362" s="34">
        <f t="shared" si="14"/>
        <v>24</v>
      </c>
      <c r="H362" s="34">
        <f t="shared" si="15"/>
        <v>1</v>
      </c>
      <c r="I362" s="34">
        <v>0</v>
      </c>
      <c r="J362" s="32">
        <v>1</v>
      </c>
      <c r="K362" s="35">
        <v>45335</v>
      </c>
      <c r="L362" s="35">
        <v>36328</v>
      </c>
      <c r="M362" s="34" t="s">
        <v>164</v>
      </c>
      <c r="N362" s="34" t="s">
        <v>100</v>
      </c>
      <c r="O362" s="34" t="s">
        <v>48</v>
      </c>
      <c r="P362" s="32"/>
      <c r="Q362" s="7" t="s">
        <v>50</v>
      </c>
      <c r="X362" t="s">
        <v>50</v>
      </c>
      <c r="Y362" t="s">
        <v>50</v>
      </c>
      <c r="Z362" t="s">
        <v>50</v>
      </c>
      <c r="AA362" t="s">
        <v>50</v>
      </c>
      <c r="AB362" t="s">
        <v>81</v>
      </c>
    </row>
    <row r="363" spans="1:41" ht="14.1">
      <c r="A363" s="34" t="s">
        <v>1243</v>
      </c>
      <c r="B363" t="s">
        <v>1244</v>
      </c>
      <c r="C363" s="61"/>
      <c r="D363" s="34">
        <v>7258691</v>
      </c>
      <c r="E363" s="34" t="s">
        <v>753</v>
      </c>
      <c r="F363" s="32"/>
      <c r="G363" s="34">
        <f t="shared" si="14"/>
        <v>26</v>
      </c>
      <c r="H363" s="34">
        <f t="shared" si="15"/>
        <v>1</v>
      </c>
      <c r="I363" s="34">
        <v>0</v>
      </c>
      <c r="J363" s="34">
        <v>1</v>
      </c>
      <c r="K363" s="35">
        <v>45342</v>
      </c>
      <c r="L363" s="35">
        <v>35809</v>
      </c>
      <c r="M363" s="34" t="s">
        <v>99</v>
      </c>
      <c r="N363" s="34" t="s">
        <v>91</v>
      </c>
      <c r="O363" s="34" t="s">
        <v>48</v>
      </c>
      <c r="P363" s="32"/>
      <c r="Q363" s="7" t="s">
        <v>49</v>
      </c>
      <c r="X363" t="s">
        <v>50</v>
      </c>
      <c r="Y363" t="s">
        <v>50</v>
      </c>
      <c r="Z363" t="s">
        <v>50</v>
      </c>
      <c r="AA363" t="s">
        <v>50</v>
      </c>
      <c r="AB363" t="s">
        <v>1098</v>
      </c>
      <c r="AC363" t="s">
        <v>1245</v>
      </c>
      <c r="AD363" t="s">
        <v>1246</v>
      </c>
    </row>
    <row r="364" spans="1:41" ht="14.1">
      <c r="A364" s="34" t="s">
        <v>1247</v>
      </c>
      <c r="B364" t="s">
        <v>1248</v>
      </c>
      <c r="C364" s="61"/>
      <c r="D364" s="34">
        <v>7152777</v>
      </c>
      <c r="E364" s="34" t="s">
        <v>799</v>
      </c>
      <c r="F364" s="32"/>
      <c r="G364" s="34">
        <f t="shared" si="14"/>
        <v>34</v>
      </c>
      <c r="H364" s="34">
        <f t="shared" si="15"/>
        <v>1</v>
      </c>
      <c r="I364" s="34">
        <v>1</v>
      </c>
      <c r="J364" s="34">
        <v>1</v>
      </c>
      <c r="K364" s="35">
        <v>45342</v>
      </c>
      <c r="L364" s="35">
        <v>32674</v>
      </c>
      <c r="M364" s="34" t="s">
        <v>106</v>
      </c>
      <c r="N364" s="32" t="s">
        <v>445</v>
      </c>
      <c r="O364" s="32" t="s">
        <v>48</v>
      </c>
      <c r="P364" s="32"/>
      <c r="Q364" s="7" t="s">
        <v>50</v>
      </c>
      <c r="X364" t="s">
        <v>50</v>
      </c>
      <c r="Y364" t="s">
        <v>64</v>
      </c>
      <c r="Z364" t="s">
        <v>50</v>
      </c>
      <c r="AA364" t="s">
        <v>50</v>
      </c>
      <c r="AB364" t="s">
        <v>1249</v>
      </c>
    </row>
    <row r="365" spans="1:41" ht="14.1">
      <c r="A365" s="34" t="s">
        <v>1250</v>
      </c>
      <c r="B365" t="s">
        <v>1251</v>
      </c>
      <c r="C365" s="61"/>
      <c r="D365" s="34">
        <v>2700092</v>
      </c>
      <c r="E365" s="34" t="s">
        <v>799</v>
      </c>
      <c r="F365" s="34"/>
      <c r="G365" s="34">
        <f t="shared" si="14"/>
        <v>49</v>
      </c>
      <c r="H365" s="34">
        <f t="shared" si="15"/>
        <v>0</v>
      </c>
      <c r="I365" s="34">
        <v>0</v>
      </c>
      <c r="J365" s="34">
        <v>1</v>
      </c>
      <c r="K365" s="40">
        <v>45415</v>
      </c>
      <c r="L365" s="40">
        <v>27233</v>
      </c>
      <c r="M365" s="34" t="s">
        <v>106</v>
      </c>
      <c r="N365" s="34" t="s">
        <v>91</v>
      </c>
      <c r="O365" s="34" t="s">
        <v>48</v>
      </c>
      <c r="P365" s="34"/>
      <c r="Q365" s="7" t="s">
        <v>71</v>
      </c>
      <c r="R365" s="32"/>
      <c r="S365" s="32"/>
      <c r="T365" s="32"/>
      <c r="U365" s="32"/>
      <c r="V365" s="32"/>
      <c r="W365" s="32"/>
      <c r="X365" t="s">
        <v>50</v>
      </c>
      <c r="Y365" t="s">
        <v>50</v>
      </c>
      <c r="Z365" t="s">
        <v>50</v>
      </c>
      <c r="AA365" t="s">
        <v>50</v>
      </c>
      <c r="AB365" t="s">
        <v>81</v>
      </c>
      <c r="AC365" t="s">
        <v>963</v>
      </c>
      <c r="AD365" t="s">
        <v>1252</v>
      </c>
      <c r="AE365" t="s">
        <v>1253</v>
      </c>
      <c r="AF365" t="s">
        <v>1254</v>
      </c>
      <c r="AG365" t="s">
        <v>1060</v>
      </c>
    </row>
    <row r="366" spans="1:41" ht="14.1">
      <c r="A366" s="34" t="s">
        <v>1255</v>
      </c>
      <c r="B366" t="s">
        <v>1256</v>
      </c>
      <c r="C366" s="61"/>
      <c r="D366" s="34">
        <v>2980267</v>
      </c>
      <c r="E366" s="34" t="s">
        <v>799</v>
      </c>
      <c r="F366" s="34"/>
      <c r="G366" s="34">
        <f t="shared" si="14"/>
        <v>37</v>
      </c>
      <c r="H366" s="34">
        <f t="shared" si="15"/>
        <v>1</v>
      </c>
      <c r="I366" s="34">
        <v>0</v>
      </c>
      <c r="J366" s="34">
        <v>1</v>
      </c>
      <c r="K366" s="40">
        <v>45365</v>
      </c>
      <c r="L366" s="40">
        <v>31582</v>
      </c>
      <c r="M366" s="34" t="s">
        <v>140</v>
      </c>
      <c r="N366" s="34" t="s">
        <v>70</v>
      </c>
      <c r="O366" s="34" t="s">
        <v>48</v>
      </c>
      <c r="P366" s="34"/>
      <c r="Q366" s="7" t="s">
        <v>50</v>
      </c>
      <c r="X366" t="s">
        <v>50</v>
      </c>
      <c r="Y366" t="s">
        <v>50</v>
      </c>
      <c r="Z366" t="s">
        <v>50</v>
      </c>
      <c r="AA366" t="s">
        <v>50</v>
      </c>
      <c r="AB366" t="s">
        <v>1098</v>
      </c>
      <c r="AC366" t="s">
        <v>1257</v>
      </c>
      <c r="AD366" t="s">
        <v>1258</v>
      </c>
    </row>
    <row r="367" spans="1:41" ht="14.1">
      <c r="A367" s="34" t="s">
        <v>1259</v>
      </c>
      <c r="B367" t="s">
        <v>1260</v>
      </c>
      <c r="C367" s="61"/>
      <c r="D367" s="34">
        <v>7168519</v>
      </c>
      <c r="E367" s="34" t="s">
        <v>753</v>
      </c>
      <c r="F367" s="34">
        <v>63</v>
      </c>
      <c r="G367" s="34">
        <f t="shared" si="14"/>
        <v>67</v>
      </c>
      <c r="H367" s="34">
        <f t="shared" si="15"/>
        <v>0</v>
      </c>
      <c r="I367" s="34">
        <v>0</v>
      </c>
      <c r="J367" s="34">
        <v>1</v>
      </c>
      <c r="K367" s="40">
        <v>45378</v>
      </c>
      <c r="L367" s="40">
        <v>20641</v>
      </c>
      <c r="M367" s="34" t="s">
        <v>106</v>
      </c>
      <c r="N367" s="34" t="s">
        <v>47</v>
      </c>
      <c r="O367" s="34" t="s">
        <v>43</v>
      </c>
      <c r="P367" s="34"/>
      <c r="Q367" s="7" t="s">
        <v>50</v>
      </c>
      <c r="R367" s="32"/>
      <c r="S367" s="32"/>
      <c r="T367" s="32"/>
      <c r="U367" s="32"/>
      <c r="V367" s="32"/>
      <c r="W367" s="32"/>
      <c r="X367" t="s">
        <v>50</v>
      </c>
      <c r="Y367" t="s">
        <v>50</v>
      </c>
      <c r="Z367" t="s">
        <v>50</v>
      </c>
      <c r="AA367" t="s">
        <v>50</v>
      </c>
      <c r="AB367" t="s">
        <v>1261</v>
      </c>
      <c r="AC367" t="s">
        <v>81</v>
      </c>
      <c r="AD367" t="s">
        <v>1262</v>
      </c>
      <c r="AE367" t="s">
        <v>1263</v>
      </c>
      <c r="AF367" t="s">
        <v>1060</v>
      </c>
      <c r="AG367" t="s">
        <v>1264</v>
      </c>
      <c r="AH367" t="s">
        <v>1265</v>
      </c>
      <c r="AI367" t="s">
        <v>1266</v>
      </c>
      <c r="AK367" t="s">
        <v>1267</v>
      </c>
      <c r="AL367" t="s">
        <v>1122</v>
      </c>
      <c r="AM367" t="s">
        <v>1268</v>
      </c>
    </row>
    <row r="368" spans="1:41" ht="14.1">
      <c r="A368" s="34" t="s">
        <v>1269</v>
      </c>
      <c r="B368" t="s">
        <v>1270</v>
      </c>
      <c r="C368" s="61"/>
      <c r="D368" s="34">
        <v>1014901</v>
      </c>
      <c r="E368" s="34" t="s">
        <v>799</v>
      </c>
      <c r="F368" s="34"/>
      <c r="G368" s="34">
        <f t="shared" si="14"/>
        <v>63</v>
      </c>
      <c r="H368" s="34">
        <f t="shared" si="15"/>
        <v>0</v>
      </c>
      <c r="I368" s="34">
        <v>0</v>
      </c>
      <c r="J368" s="34">
        <v>1</v>
      </c>
      <c r="K368" s="40">
        <v>45384</v>
      </c>
      <c r="L368" s="40">
        <v>22132</v>
      </c>
      <c r="M368" s="34" t="s">
        <v>140</v>
      </c>
      <c r="N368" s="34" t="s">
        <v>47</v>
      </c>
      <c r="O368" s="34" t="s">
        <v>48</v>
      </c>
      <c r="P368" s="34"/>
      <c r="Q368" s="7" t="s">
        <v>201</v>
      </c>
      <c r="X368" t="s">
        <v>50</v>
      </c>
      <c r="Y368" t="s">
        <v>50</v>
      </c>
      <c r="Z368" t="s">
        <v>50</v>
      </c>
      <c r="AA368" t="s">
        <v>50</v>
      </c>
      <c r="AB368" t="s">
        <v>1271</v>
      </c>
      <c r="AC368" t="s">
        <v>1053</v>
      </c>
      <c r="AD368" t="s">
        <v>1054</v>
      </c>
      <c r="AE368" t="s">
        <v>1272</v>
      </c>
      <c r="AF368" t="s">
        <v>933</v>
      </c>
      <c r="AG368" t="s">
        <v>1273</v>
      </c>
      <c r="AH368" t="s">
        <v>1274</v>
      </c>
      <c r="AI368" t="s">
        <v>1275</v>
      </c>
    </row>
    <row r="369" spans="1:34" ht="14.1">
      <c r="A369" s="34" t="s">
        <v>1276</v>
      </c>
      <c r="B369" t="s">
        <v>1277</v>
      </c>
      <c r="C369" s="61"/>
      <c r="D369" s="34">
        <v>2424552</v>
      </c>
      <c r="E369" s="34" t="s">
        <v>753</v>
      </c>
      <c r="F369" s="32"/>
      <c r="G369" s="34">
        <f t="shared" si="14"/>
        <v>52</v>
      </c>
      <c r="H369" s="34">
        <f t="shared" si="15"/>
        <v>0</v>
      </c>
      <c r="I369" s="34">
        <v>1</v>
      </c>
      <c r="J369" s="34">
        <v>1</v>
      </c>
      <c r="K369" s="35">
        <v>45387</v>
      </c>
      <c r="L369" s="35">
        <v>26269</v>
      </c>
      <c r="M369" s="34" t="s">
        <v>106</v>
      </c>
      <c r="N369" s="34" t="s">
        <v>133</v>
      </c>
      <c r="O369" s="34" t="s">
        <v>48</v>
      </c>
      <c r="P369" s="32"/>
      <c r="Q369" s="7" t="s">
        <v>50</v>
      </c>
      <c r="X369" t="s">
        <v>50</v>
      </c>
      <c r="Y369" t="s">
        <v>64</v>
      </c>
      <c r="Z369" t="s">
        <v>50</v>
      </c>
      <c r="AA369" t="s">
        <v>50</v>
      </c>
      <c r="AB369" t="s">
        <v>1223</v>
      </c>
    </row>
    <row r="370" spans="1:34" ht="14.45">
      <c r="A370" s="34" t="s">
        <v>1278</v>
      </c>
      <c r="B370" t="s">
        <v>1279</v>
      </c>
      <c r="C370" s="61"/>
      <c r="D370" s="32">
        <v>7271251</v>
      </c>
      <c r="E370" s="32" t="s">
        <v>799</v>
      </c>
      <c r="F370" s="32"/>
      <c r="G370" s="34">
        <f t="shared" si="14"/>
        <v>34</v>
      </c>
      <c r="H370" s="34">
        <f t="shared" si="15"/>
        <v>1</v>
      </c>
      <c r="I370" s="32">
        <v>0</v>
      </c>
      <c r="J370" s="32">
        <v>1</v>
      </c>
      <c r="K370" s="35">
        <v>45394</v>
      </c>
      <c r="L370" s="35">
        <v>32844</v>
      </c>
      <c r="M370" s="32" t="s">
        <v>106</v>
      </c>
      <c r="N370" s="32" t="s">
        <v>91</v>
      </c>
      <c r="O370" s="32" t="s">
        <v>48</v>
      </c>
      <c r="P370" s="55"/>
      <c r="Q370" s="7" t="s">
        <v>71</v>
      </c>
      <c r="X370" t="s">
        <v>50</v>
      </c>
      <c r="Y370" t="s">
        <v>1280</v>
      </c>
      <c r="Z370" t="s">
        <v>50</v>
      </c>
      <c r="AA370" t="s">
        <v>50</v>
      </c>
      <c r="AB370" t="s">
        <v>1281</v>
      </c>
      <c r="AC370" t="s">
        <v>1282</v>
      </c>
      <c r="AD370" t="s">
        <v>377</v>
      </c>
    </row>
    <row r="371" spans="1:34" ht="14.1">
      <c r="A371" s="34" t="s">
        <v>1283</v>
      </c>
      <c r="B371" t="s">
        <v>1284</v>
      </c>
      <c r="C371" s="61"/>
      <c r="D371" s="32">
        <v>7284512</v>
      </c>
      <c r="E371" s="32" t="s">
        <v>799</v>
      </c>
      <c r="F371" s="34">
        <v>21</v>
      </c>
      <c r="G371" s="34">
        <f t="shared" si="14"/>
        <v>22</v>
      </c>
      <c r="H371" s="34">
        <f t="shared" si="15"/>
        <v>1</v>
      </c>
      <c r="I371" s="32">
        <v>0</v>
      </c>
      <c r="J371" s="32">
        <v>1</v>
      </c>
      <c r="K371" s="35">
        <v>45396</v>
      </c>
      <c r="L371" s="35">
        <v>37266</v>
      </c>
      <c r="M371" s="32" t="s">
        <v>685</v>
      </c>
      <c r="N371" s="32" t="s">
        <v>47</v>
      </c>
      <c r="O371" s="32" t="s">
        <v>43</v>
      </c>
      <c r="P371" s="32"/>
      <c r="Q371" s="7" t="s">
        <v>201</v>
      </c>
      <c r="X371" t="s">
        <v>50</v>
      </c>
      <c r="Y371" t="s">
        <v>1285</v>
      </c>
      <c r="Z371" t="s">
        <v>50</v>
      </c>
      <c r="AA371" t="s">
        <v>50</v>
      </c>
      <c r="AB371" t="s">
        <v>64</v>
      </c>
    </row>
    <row r="372" spans="1:34" ht="14.1">
      <c r="A372" s="34" t="s">
        <v>1286</v>
      </c>
      <c r="B372" t="s">
        <v>1287</v>
      </c>
      <c r="C372" s="61"/>
      <c r="D372" s="32">
        <v>7099248</v>
      </c>
      <c r="E372" s="32" t="s">
        <v>753</v>
      </c>
      <c r="F372" s="32"/>
      <c r="G372" s="34">
        <f t="shared" si="14"/>
        <v>33</v>
      </c>
      <c r="H372" s="34">
        <f t="shared" si="15"/>
        <v>1</v>
      </c>
      <c r="I372" s="32">
        <v>0</v>
      </c>
      <c r="J372" s="32">
        <v>1</v>
      </c>
      <c r="K372" s="35">
        <v>45397</v>
      </c>
      <c r="L372" s="35">
        <v>33335</v>
      </c>
      <c r="M372" s="32" t="s">
        <v>55</v>
      </c>
      <c r="N372" s="32" t="s">
        <v>47</v>
      </c>
      <c r="O372" s="32" t="s">
        <v>48</v>
      </c>
      <c r="P372" s="32"/>
      <c r="Q372" s="7" t="s">
        <v>201</v>
      </c>
      <c r="X372" t="s">
        <v>50</v>
      </c>
      <c r="Y372" t="s">
        <v>50</v>
      </c>
      <c r="Z372" t="s">
        <v>50</v>
      </c>
      <c r="AA372" t="s">
        <v>50</v>
      </c>
      <c r="AB372" t="s">
        <v>1022</v>
      </c>
      <c r="AC372" t="s">
        <v>1288</v>
      </c>
      <c r="AD372" t="s">
        <v>1289</v>
      </c>
      <c r="AE372" t="s">
        <v>1290</v>
      </c>
      <c r="AF372" t="s">
        <v>459</v>
      </c>
      <c r="AG372" t="s">
        <v>1291</v>
      </c>
      <c r="AH372" t="s">
        <v>1117</v>
      </c>
    </row>
    <row r="373" spans="1:34" ht="14.1">
      <c r="A373" s="34" t="s">
        <v>1292</v>
      </c>
      <c r="B373" t="s">
        <v>1293</v>
      </c>
      <c r="C373" s="61"/>
      <c r="D373" s="32">
        <v>7285469</v>
      </c>
      <c r="E373" s="32" t="s">
        <v>799</v>
      </c>
      <c r="F373" s="32"/>
      <c r="G373" s="34">
        <f t="shared" si="14"/>
        <v>54</v>
      </c>
      <c r="H373" s="34">
        <f t="shared" si="15"/>
        <v>0</v>
      </c>
      <c r="I373" s="32">
        <v>0</v>
      </c>
      <c r="J373" s="32">
        <v>1</v>
      </c>
      <c r="K373" s="35">
        <v>45405</v>
      </c>
      <c r="L373" s="35">
        <v>25513</v>
      </c>
      <c r="M373" s="32" t="s">
        <v>106</v>
      </c>
      <c r="N373" s="32" t="s">
        <v>47</v>
      </c>
      <c r="O373" s="32" t="s">
        <v>48</v>
      </c>
      <c r="P373" s="32"/>
    </row>
    <row r="374" spans="1:34" ht="14.1">
      <c r="A374" s="34" t="s">
        <v>1294</v>
      </c>
      <c r="B374" t="s">
        <v>1295</v>
      </c>
      <c r="C374" s="61"/>
      <c r="D374" s="32">
        <v>7279081</v>
      </c>
      <c r="E374" s="32" t="s">
        <v>753</v>
      </c>
      <c r="F374" s="32"/>
      <c r="G374" s="34">
        <f t="shared" si="14"/>
        <v>23</v>
      </c>
      <c r="H374" s="34">
        <f t="shared" si="15"/>
        <v>1</v>
      </c>
      <c r="I374" s="32">
        <v>0</v>
      </c>
      <c r="J374" s="32">
        <v>0</v>
      </c>
      <c r="K374" s="35">
        <v>45406</v>
      </c>
      <c r="L374" s="35">
        <v>36651</v>
      </c>
      <c r="M374" s="32" t="s">
        <v>685</v>
      </c>
      <c r="N374" s="32" t="s">
        <v>180</v>
      </c>
      <c r="O374" s="32" t="s">
        <v>48</v>
      </c>
      <c r="P374" s="32"/>
    </row>
    <row r="375" spans="1:34" ht="14.1">
      <c r="A375" s="34" t="s">
        <v>1296</v>
      </c>
      <c r="B375" t="s">
        <v>1297</v>
      </c>
      <c r="C375" s="61"/>
      <c r="D375" s="34">
        <v>2014419</v>
      </c>
      <c r="E375" s="34" t="s">
        <v>753</v>
      </c>
      <c r="F375" s="34"/>
      <c r="G375" s="34">
        <f t="shared" si="14"/>
        <v>59</v>
      </c>
      <c r="H375" s="34">
        <f t="shared" si="15"/>
        <v>0</v>
      </c>
      <c r="I375" s="34">
        <v>0</v>
      </c>
      <c r="J375" s="34">
        <v>1</v>
      </c>
      <c r="K375" s="40">
        <v>45413</v>
      </c>
      <c r="L375" s="40">
        <v>23777</v>
      </c>
      <c r="M375" s="34" t="s">
        <v>140</v>
      </c>
      <c r="N375" s="34" t="s">
        <v>47</v>
      </c>
      <c r="O375" s="34" t="s">
        <v>48</v>
      </c>
      <c r="P375" s="34"/>
    </row>
    <row r="376" spans="1:34" ht="14.1">
      <c r="A376" s="34" t="s">
        <v>1298</v>
      </c>
      <c r="B376" t="s">
        <v>1299</v>
      </c>
      <c r="C376" s="61"/>
      <c r="D376" s="34">
        <v>3122432</v>
      </c>
      <c r="E376" s="34" t="s">
        <v>753</v>
      </c>
      <c r="F376" s="34"/>
      <c r="G376" s="34">
        <f t="shared" si="14"/>
        <v>50</v>
      </c>
      <c r="H376" s="34">
        <f t="shared" si="15"/>
        <v>0</v>
      </c>
      <c r="I376" s="34">
        <v>0</v>
      </c>
      <c r="J376" s="34">
        <v>1</v>
      </c>
      <c r="K376" s="40">
        <v>45420</v>
      </c>
      <c r="L376" s="40">
        <v>26889</v>
      </c>
      <c r="M376" s="34" t="s">
        <v>46</v>
      </c>
      <c r="N376" s="34" t="s">
        <v>47</v>
      </c>
      <c r="O376" s="34" t="s">
        <v>48</v>
      </c>
      <c r="P376" s="34"/>
    </row>
    <row r="377" spans="1:34" ht="14.45">
      <c r="A377" s="34" t="s">
        <v>1300</v>
      </c>
      <c r="B377" t="s">
        <v>1301</v>
      </c>
      <c r="C377" s="61"/>
      <c r="D377" s="34">
        <v>7306242</v>
      </c>
      <c r="E377" s="34" t="s">
        <v>753</v>
      </c>
      <c r="F377" s="34"/>
      <c r="G377" s="34">
        <f t="shared" si="14"/>
        <v>54</v>
      </c>
      <c r="H377" s="34">
        <f t="shared" si="15"/>
        <v>0</v>
      </c>
      <c r="I377" s="34">
        <v>0</v>
      </c>
      <c r="J377" s="34">
        <v>1</v>
      </c>
      <c r="K377" s="35">
        <v>45438</v>
      </c>
      <c r="L377" s="35">
        <v>25463</v>
      </c>
      <c r="M377" s="34" t="s">
        <v>164</v>
      </c>
      <c r="N377" s="34" t="s">
        <v>47</v>
      </c>
      <c r="O377" s="34" t="s">
        <v>48</v>
      </c>
      <c r="P377" s="55"/>
    </row>
    <row r="378" spans="1:34" ht="14.45">
      <c r="A378" s="34" t="s">
        <v>1302</v>
      </c>
      <c r="B378" t="s">
        <v>1303</v>
      </c>
      <c r="C378" s="61"/>
      <c r="D378" s="34">
        <v>4603544</v>
      </c>
      <c r="E378" s="34" t="s">
        <v>753</v>
      </c>
      <c r="F378" s="34">
        <v>36</v>
      </c>
      <c r="G378" s="34">
        <f t="shared" si="14"/>
        <v>41</v>
      </c>
      <c r="H378" s="34">
        <f t="shared" si="15"/>
        <v>0</v>
      </c>
      <c r="I378" s="34">
        <v>0</v>
      </c>
      <c r="J378" s="34">
        <v>1</v>
      </c>
      <c r="K378" s="40">
        <v>45449</v>
      </c>
      <c r="L378" s="40">
        <v>30261</v>
      </c>
      <c r="M378" s="34" t="s">
        <v>55</v>
      </c>
      <c r="N378" s="34" t="s">
        <v>47</v>
      </c>
      <c r="O378" s="34" t="s">
        <v>43</v>
      </c>
      <c r="P378" s="55"/>
    </row>
    <row r="379" spans="1:34" ht="14.1">
      <c r="A379" s="34" t="s">
        <v>1304</v>
      </c>
      <c r="B379" t="s">
        <v>1305</v>
      </c>
      <c r="C379" s="61"/>
      <c r="D379" s="34">
        <v>7310042</v>
      </c>
      <c r="E379" s="34" t="s">
        <v>799</v>
      </c>
      <c r="F379" s="34"/>
      <c r="G379" s="34">
        <f t="shared" si="14"/>
        <v>75</v>
      </c>
      <c r="H379" s="34">
        <f t="shared" si="15"/>
        <v>0</v>
      </c>
      <c r="I379" s="34">
        <v>0</v>
      </c>
      <c r="J379" s="34">
        <v>1</v>
      </c>
      <c r="K379" s="40">
        <v>45453</v>
      </c>
      <c r="L379" s="40">
        <v>17898</v>
      </c>
      <c r="M379" s="34" t="s">
        <v>106</v>
      </c>
      <c r="N379" s="34" t="s">
        <v>47</v>
      </c>
      <c r="O379" s="34" t="s">
        <v>48</v>
      </c>
      <c r="P379" s="34"/>
    </row>
    <row r="380" spans="1:34" ht="14.1">
      <c r="A380" s="34" t="s">
        <v>1306</v>
      </c>
      <c r="B380" t="s">
        <v>1307</v>
      </c>
      <c r="C380" s="61"/>
      <c r="D380" s="34">
        <v>7294980</v>
      </c>
      <c r="E380" s="34" t="s">
        <v>753</v>
      </c>
      <c r="F380" s="34"/>
      <c r="G380" s="34">
        <f t="shared" si="14"/>
        <v>65</v>
      </c>
      <c r="H380" s="34">
        <f t="shared" si="15"/>
        <v>0</v>
      </c>
      <c r="I380" s="34">
        <v>0</v>
      </c>
      <c r="J380" s="34">
        <v>1</v>
      </c>
      <c r="K380" s="40">
        <v>45453</v>
      </c>
      <c r="L380" s="40">
        <v>21706</v>
      </c>
      <c r="M380" s="34" t="s">
        <v>55</v>
      </c>
      <c r="N380" s="34" t="s">
        <v>70</v>
      </c>
      <c r="O380" s="34" t="s">
        <v>43</v>
      </c>
      <c r="P380" s="34"/>
    </row>
    <row r="382" spans="1:34" ht="14.1">
      <c r="A382" s="57" t="s">
        <v>1308</v>
      </c>
    </row>
    <row r="383" spans="1:34" ht="14.1">
      <c r="A383" s="57" t="s">
        <v>85</v>
      </c>
    </row>
    <row r="384" spans="1:34" ht="14.1">
      <c r="A384" s="42" t="s">
        <v>1309</v>
      </c>
    </row>
    <row r="385" spans="1:1" ht="14.1">
      <c r="A385" s="42" t="s">
        <v>53</v>
      </c>
    </row>
    <row r="386" spans="1:1" ht="14.1">
      <c r="A386" t="s">
        <v>1310</v>
      </c>
    </row>
    <row r="387" spans="1:1" ht="14.1">
      <c r="A387" s="42" t="s">
        <v>1311</v>
      </c>
    </row>
    <row r="388" spans="1:1" ht="14.1">
      <c r="A388" s="42" t="s">
        <v>1312</v>
      </c>
    </row>
    <row r="389" spans="1:1" ht="14.1">
      <c r="A389" s="42" t="s">
        <v>1313</v>
      </c>
    </row>
    <row r="390" spans="1:1" ht="14.1">
      <c r="A390" s="57" t="s">
        <v>1314</v>
      </c>
    </row>
    <row r="391" spans="1:1" ht="14.1">
      <c r="A391" s="57" t="s">
        <v>1315</v>
      </c>
    </row>
    <row r="392" spans="1:1" ht="14.1">
      <c r="A392" s="58" t="s">
        <v>1316</v>
      </c>
    </row>
    <row r="393" spans="1:1" ht="14.1">
      <c r="A393" s="58" t="s">
        <v>39</v>
      </c>
    </row>
    <row r="394" spans="1:1" ht="14.1">
      <c r="A394" t="s">
        <v>1317</v>
      </c>
    </row>
    <row r="395" spans="1:1" ht="14.1">
      <c r="A395" t="s">
        <v>1318</v>
      </c>
    </row>
    <row r="396" spans="1:1" ht="14.1">
      <c r="A396" t="s">
        <v>1319</v>
      </c>
    </row>
    <row r="397" spans="1:1" ht="14.1">
      <c r="A397" s="42" t="s">
        <v>1320</v>
      </c>
    </row>
    <row r="398" spans="1:1" ht="14.1">
      <c r="A398" t="s">
        <v>1321</v>
      </c>
    </row>
    <row r="399" spans="1:1" ht="14.1">
      <c r="A399" s="6" t="s">
        <v>1322</v>
      </c>
    </row>
    <row r="400" spans="1:1" ht="14.1">
      <c r="A400" s="42" t="s">
        <v>1323</v>
      </c>
    </row>
    <row r="401" spans="1:1" ht="14.1">
      <c r="A401" s="42" t="s">
        <v>1324</v>
      </c>
    </row>
    <row r="402" spans="1:1" ht="14.1">
      <c r="A402" s="42" t="s">
        <v>1325</v>
      </c>
    </row>
    <row r="403" spans="1:1" ht="14.1">
      <c r="A403" s="42" t="s">
        <v>1326</v>
      </c>
    </row>
    <row r="404" spans="1:1" ht="14.1">
      <c r="A404" s="42" t="s">
        <v>1327</v>
      </c>
    </row>
    <row r="405" spans="1:1" ht="14.1">
      <c r="A405" s="42" t="s">
        <v>1328</v>
      </c>
    </row>
    <row r="406" spans="1:1" ht="14.1">
      <c r="A406" s="42" t="s">
        <v>1329</v>
      </c>
    </row>
    <row r="407" spans="1:1" ht="14.1">
      <c r="A407" t="s">
        <v>1330</v>
      </c>
    </row>
    <row r="408" spans="1:1" ht="14.1">
      <c r="A408" t="s">
        <v>1331</v>
      </c>
    </row>
    <row r="409" spans="1:1" ht="14.1">
      <c r="A409" t="s">
        <v>1332</v>
      </c>
    </row>
    <row r="410" spans="1:1" ht="14.1">
      <c r="A410" t="s">
        <v>1333</v>
      </c>
    </row>
    <row r="411" spans="1:1" ht="14.1">
      <c r="A411" t="s">
        <v>1334</v>
      </c>
    </row>
    <row r="412" spans="1:1" ht="14.1">
      <c r="A412" t="s">
        <v>1335</v>
      </c>
    </row>
    <row r="413" spans="1:1" ht="14.1">
      <c r="A413" t="s">
        <v>1336</v>
      </c>
    </row>
    <row r="414" spans="1:1" ht="14.1">
      <c r="A414" t="s">
        <v>1337</v>
      </c>
    </row>
    <row r="415" spans="1:1" ht="14.1">
      <c r="A415" t="s">
        <v>1338</v>
      </c>
    </row>
    <row r="416" spans="1:1" ht="14.1">
      <c r="A416" t="s">
        <v>1339</v>
      </c>
    </row>
    <row r="417" spans="1:1" ht="14.1">
      <c r="A417" t="s">
        <v>44</v>
      </c>
    </row>
    <row r="418" spans="1:1" ht="14.1">
      <c r="A418" t="s">
        <v>1340</v>
      </c>
    </row>
    <row r="419" spans="1:1" ht="14.1">
      <c r="A419" t="s">
        <v>1341</v>
      </c>
    </row>
    <row r="420" spans="1:1" ht="14.1">
      <c r="A420" t="s">
        <v>1342</v>
      </c>
    </row>
    <row r="421" spans="1:1" ht="14.1">
      <c r="A421" t="s">
        <v>1343</v>
      </c>
    </row>
    <row r="422" spans="1:1" ht="14.1"/>
    <row r="423" spans="1:1" ht="14.1"/>
    <row r="424" spans="1:1" ht="14.1"/>
    <row r="425" spans="1:1" ht="14.1"/>
    <row r="426" spans="1:1" ht="14.1"/>
    <row r="427" spans="1:1" ht="14.1"/>
    <row r="428" spans="1:1" ht="14.1"/>
    <row r="429" spans="1:1" ht="14.1"/>
    <row r="430" spans="1:1" ht="14.1"/>
    <row r="431" spans="1:1" ht="14.1"/>
    <row r="432" spans="1:1" ht="14.1"/>
    <row r="433" ht="14.1"/>
    <row r="434" ht="14.1"/>
    <row r="435" ht="14.1"/>
    <row r="436" ht="14.1"/>
    <row r="437" ht="14.1"/>
    <row r="438" ht="14.1"/>
    <row r="439" ht="14.1"/>
    <row r="440" ht="14.1"/>
    <row r="441" ht="14.1"/>
    <row r="442" ht="14.1"/>
    <row r="443" ht="14.1"/>
    <row r="444" ht="14.1"/>
    <row r="445" ht="14.1"/>
    <row r="446" ht="14.1"/>
    <row r="447" ht="14.1"/>
    <row r="448" ht="14.1"/>
    <row r="449" ht="14.1"/>
    <row r="450" ht="14.1"/>
    <row r="451" ht="14.1"/>
    <row r="452" ht="14.1"/>
    <row r="453" ht="14.1"/>
    <row r="454" ht="14.1"/>
    <row r="455" ht="14.1"/>
    <row r="456" ht="14.1"/>
    <row r="457" ht="14.1"/>
    <row r="458" ht="14.1"/>
    <row r="459" ht="14.1"/>
    <row r="460" ht="14.1"/>
    <row r="461" ht="14.1"/>
    <row r="462" ht="14.1"/>
    <row r="463" ht="14.1"/>
    <row r="464" ht="14.1"/>
    <row r="465" ht="14.1"/>
    <row r="466" ht="14.1"/>
    <row r="467" ht="14.1"/>
    <row r="468" ht="14.1"/>
    <row r="469" ht="14.1"/>
    <row r="470" ht="14.1"/>
    <row r="471" ht="14.1"/>
    <row r="472" ht="14.1"/>
    <row r="473" ht="14.1"/>
    <row r="474" ht="14.1"/>
    <row r="475" ht="14.1"/>
    <row r="476" ht="14.1"/>
    <row r="477" ht="14.1"/>
    <row r="478" ht="14.1"/>
    <row r="479" ht="14.1"/>
    <row r="480" ht="14.1"/>
    <row r="481" ht="14.1"/>
    <row r="482" ht="14.1"/>
    <row r="483" ht="14.1"/>
    <row r="484" ht="14.1"/>
    <row r="485" ht="14.1"/>
    <row r="486" ht="14.1"/>
    <row r="487" ht="14.1"/>
    <row r="488" ht="14.1"/>
    <row r="489" ht="14.1"/>
    <row r="490" ht="14.1"/>
    <row r="491" ht="14.1"/>
    <row r="492" ht="14.1"/>
    <row r="493" ht="14.1"/>
    <row r="494" ht="14.1"/>
    <row r="495" ht="14.1"/>
    <row r="496" ht="14.1"/>
    <row r="497" ht="14.1"/>
    <row r="498" ht="14.1"/>
    <row r="499" ht="14.1"/>
    <row r="500" ht="14.1"/>
    <row r="501" ht="14.1"/>
    <row r="502" ht="14.1"/>
    <row r="503" ht="14.1"/>
    <row r="504" ht="14.1"/>
    <row r="505" ht="14.1"/>
    <row r="506" ht="14.1"/>
    <row r="507" ht="14.1"/>
    <row r="508" ht="14.1"/>
    <row r="509" ht="14.1"/>
    <row r="510" ht="14.1"/>
    <row r="511" ht="14.1"/>
    <row r="512" ht="14.1"/>
    <row r="513" ht="14.1"/>
    <row r="514" ht="14.1"/>
    <row r="515" ht="14.1"/>
    <row r="516" ht="14.1"/>
    <row r="517" ht="14.1"/>
    <row r="518" ht="14.1"/>
    <row r="519" ht="14.1"/>
    <row r="520" ht="14.1"/>
    <row r="521" ht="14.1"/>
    <row r="522" ht="14.1"/>
    <row r="523" ht="14.1"/>
    <row r="524" ht="14.1"/>
    <row r="525" ht="14.1"/>
    <row r="526" ht="14.1"/>
    <row r="527" ht="14.1"/>
    <row r="528" ht="14.1"/>
    <row r="529" ht="14.1"/>
    <row r="530" ht="14.1"/>
    <row r="531" ht="14.1"/>
    <row r="532" ht="14.1"/>
    <row r="533" ht="14.1"/>
    <row r="534" ht="14.1"/>
    <row r="535" ht="14.1"/>
    <row r="536" ht="14.1"/>
    <row r="537" ht="14.1"/>
    <row r="538" ht="14.1"/>
    <row r="539" ht="14.1"/>
    <row r="540" ht="14.1"/>
    <row r="541" ht="14.1"/>
    <row r="542" ht="14.1"/>
    <row r="543" ht="14.1"/>
    <row r="544" ht="14.1"/>
    <row r="545" ht="14.1"/>
    <row r="546" ht="14.1"/>
    <row r="547" ht="14.1"/>
    <row r="548" ht="14.1"/>
    <row r="549" ht="14.1"/>
    <row r="550" ht="14.1"/>
    <row r="551" ht="14.1"/>
    <row r="552" ht="14.1"/>
    <row r="553" ht="14.1"/>
    <row r="554" ht="14.1"/>
    <row r="555" ht="14.1"/>
    <row r="556" ht="14.1"/>
    <row r="557" ht="14.1"/>
    <row r="558" ht="14.1"/>
    <row r="559" ht="14.1"/>
    <row r="560" ht="14.1"/>
    <row r="561" ht="14.1"/>
    <row r="562" ht="14.1"/>
    <row r="563" ht="14.1"/>
    <row r="564" ht="14.1"/>
    <row r="565" ht="14.1"/>
    <row r="566" ht="14.1"/>
    <row r="568" ht="14.1"/>
    <row r="569" ht="14.1"/>
    <row r="570" ht="14.1"/>
    <row r="571" ht="14.1"/>
    <row r="573" ht="14.1"/>
    <row r="574" ht="14.1"/>
    <row r="575" ht="14.1"/>
    <row r="576" ht="14.1"/>
    <row r="577" ht="14.1"/>
    <row r="583" ht="14.1"/>
    <row r="585" ht="14.1"/>
    <row r="586" ht="14.1"/>
    <row r="587" ht="14.1"/>
    <row r="588" ht="14.1"/>
    <row r="589" ht="14.1"/>
    <row r="590" ht="14.1"/>
    <row r="591" ht="14.1"/>
    <row r="592" ht="14.1"/>
  </sheetData>
  <autoFilter ref="A1:AM380" xr:uid="{49F9FB04-5239-4E03-BED4-F2C34684C407}"/>
  <phoneticPr fontId="11" type="noConversion"/>
  <conditionalFormatting sqref="D1:D1048576">
    <cfRule type="duplicateValues" dxfId="12" priority="1"/>
    <cfRule type="duplicateValues" dxfId="11" priority="14"/>
  </conditionalFormatting>
  <conditionalFormatting sqref="A383:A386">
    <cfRule type="duplicateValues" dxfId="10" priority="12"/>
  </conditionalFormatting>
  <conditionalFormatting sqref="A387">
    <cfRule type="duplicateValues" dxfId="9" priority="11"/>
  </conditionalFormatting>
  <conditionalFormatting sqref="A388">
    <cfRule type="duplicateValues" dxfId="8" priority="10"/>
  </conditionalFormatting>
  <conditionalFormatting sqref="A1 A5:A8 A10:A19 A40:A1048576">
    <cfRule type="duplicateValues" dxfId="7" priority="3"/>
  </conditionalFormatting>
  <conditionalFormatting sqref="A1 A5:A8 A10:A1048576">
    <cfRule type="duplicateValues" dxfId="6" priority="2"/>
  </conditionalFormatting>
  <conditionalFormatting sqref="A413:A421 A366:A380 A382:A410">
    <cfRule type="duplicateValues" dxfId="5" priority="198"/>
    <cfRule type="duplicateValues" dxfId="4" priority="199"/>
  </conditionalFormatting>
  <conditionalFormatting sqref="A413:A421 A366:A380 A382:A410">
    <cfRule type="duplicateValues" dxfId="3" priority="208"/>
    <cfRule type="duplicateValues" dxfId="2" priority="209"/>
    <cfRule type="duplicateValues" dxfId="1" priority="210"/>
  </conditionalFormatting>
  <conditionalFormatting sqref="A366:A380 A382:A421">
    <cfRule type="duplicateValues" dxfId="0" priority="773"/>
  </conditionalFormatting>
  <pageMargins left="0.7" right="0.7" top="0.75" bottom="0.75" header="0.3" footer="0.3"/>
  <pageSetup orientation="portrait" verticalDpi="599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44E56BBB380347988F46A5F6BB01FA" ma:contentTypeVersion="17" ma:contentTypeDescription="Create a new document." ma:contentTypeScope="" ma:versionID="f4d1562cd89fa5daea28eedbf3c76d2d">
  <xsd:schema xmlns:xsd="http://www.w3.org/2001/XMLSchema" xmlns:xs="http://www.w3.org/2001/XMLSchema" xmlns:p="http://schemas.microsoft.com/office/2006/metadata/properties" xmlns:ns3="03c00e0d-f22f-493f-a783-9308080ba505" xmlns:ns4="7d8f097a-b283-4243-8a14-7a99eef490a8" targetNamespace="http://schemas.microsoft.com/office/2006/metadata/properties" ma:root="true" ma:fieldsID="24a0ae035c85810b7c387c1839fa620f" ns3:_="" ns4:_="">
    <xsd:import namespace="03c00e0d-f22f-493f-a783-9308080ba505"/>
    <xsd:import namespace="7d8f097a-b283-4243-8a14-7a99eef490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00e0d-f22f-493f-a783-9308080ba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f097a-b283-4243-8a14-7a99eef490a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c00e0d-f22f-493f-a783-9308080ba50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BF84F3-33A8-4612-ACE1-D00544EEA2A7}"/>
</file>

<file path=customXml/itemProps2.xml><?xml version="1.0" encoding="utf-8"?>
<ds:datastoreItem xmlns:ds="http://schemas.openxmlformats.org/officeDocument/2006/customXml" ds:itemID="{51F7A582-C297-4FE6-97D0-F742B8591AFA}"/>
</file>

<file path=customXml/itemProps3.xml><?xml version="1.0" encoding="utf-8"?>
<ds:datastoreItem xmlns:ds="http://schemas.openxmlformats.org/officeDocument/2006/customXml" ds:itemID="{B6E0B416-C18A-4D19-A2B2-059E3C0B6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Gao, Andrew</dc:creator>
  <cp:keywords/>
  <dc:description/>
  <cp:lastModifiedBy/>
  <cp:revision/>
  <dcterms:created xsi:type="dcterms:W3CDTF">2024-07-11T19:13:14Z</dcterms:created>
  <dcterms:modified xsi:type="dcterms:W3CDTF">2025-05-21T18:17:13Z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0x010100D344E56BBB380347988F46A5F6BB01FA</vt:lpwstr>
  </property>
</Properties>
</file>